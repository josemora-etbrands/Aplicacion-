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ancas" sheetId="1" r:id="rId5"/>
    <sheet state="visible" name="Intro - Productos 2026" sheetId="2" r:id="rId6"/>
    <sheet state="visible" name="Revisión velocidades" sheetId="3" r:id="rId7"/>
    <sheet state="visible" name="datos de inventario" sheetId="4" r:id="rId8"/>
    <sheet state="visible" name="Tarifas" sheetId="5" r:id="rId9"/>
    <sheet state="visible" name="Cruce APP Velocidad ultimas 5 s" sheetId="6" r:id="rId10"/>
    <sheet state="visible" name="App dashboard año actual" sheetId="7" r:id="rId11"/>
    <sheet state="visible" name="revision de medidas y pesos " sheetId="8" r:id="rId12"/>
    <sheet state="visible" name="creacion de publicaciones 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High ticket: cerrarlos en 9.990 o 4.990</t>
      </text>
    </comment>
    <comment authorId="0" ref="J1">
      <text>
        <t xml:space="preserve">Hight ticket: AON quede en 9.990 
Desde 20 lukas hacia arriba</t>
      </text>
    </comment>
    <comment authorId="0" ref="L1">
      <text>
        <t xml:space="preserve">La diferencia entre AON y DOD tiene que ser mayor a 5%
Desde 20 lukas para arriba
</t>
      </text>
    </comment>
    <comment authorId="0" ref="T1">
      <text>
        <t xml:space="preserve">Pasar a mes: x 4,3</t>
      </text>
    </comment>
    <comment authorId="0" ref="H61">
      <text>
        <t xml:space="preserve">margenes considerados con venta normal 15% y 700 de envio, tiene opcion super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Negra</t>
      </text>
    </comment>
    <comment authorId="0" ref="C22">
      <text>
        <t xml:space="preserve">Marrón</t>
      </text>
    </comment>
    <comment authorId="0" ref="D25">
      <text>
        <t xml:space="preserve">Greentime 7.7
HY 7.07</t>
      </text>
    </comment>
    <comment authorId="0" ref="C84">
      <text>
        <t xml:space="preserve">Negro y rojo</t>
      </text>
    </comment>
    <comment authorId="0" ref="D91">
      <text>
        <t xml:space="preserve">Precio nuevo sobre MOQ 11.87
Precio Qty baja 12.23</t>
      </text>
    </comment>
    <comment authorId="0" ref="D92">
      <text>
        <t xml:space="preserve">Precio nuevo sobre MOQ 11.87
Precio Qty baja 12.23</t>
      </text>
    </comment>
    <comment authorId="0" ref="A96">
      <text>
        <t xml:space="preserve">Finales de abril
</t>
      </text>
    </comment>
    <comment authorId="0" ref="A111">
      <text>
        <t xml:space="preserve">Mitad de mayo aprox</t>
      </text>
    </comment>
    <comment authorId="0" ref="D122">
      <text>
        <t xml:space="preserve">4,48 si es GR
3,84 si es HY</t>
      </text>
    </comment>
    <comment authorId="0" ref="D123">
      <text>
        <t xml:space="preserve">4,48 si es GR
3,84 si es HY</t>
      </text>
    </comment>
    <comment authorId="0" ref="D124">
      <text>
        <t xml:space="preserve">4,48 si es GR
3,84 si es HY</t>
      </text>
    </comment>
    <comment authorId="0" ref="D125">
      <text>
        <t xml:space="preserve">4,48 si es GR
3,84 si es HY</t>
      </text>
    </comment>
    <comment authorId="0" ref="D126">
      <text>
        <t xml:space="preserve">4,2 si es HY
3,52 si es GR
</t>
      </text>
    </comment>
    <comment authorId="0" ref="D248">
      <text>
        <t xml:space="preserve">Precio producción full
4,01$
Precio reorden 
3.740 hasta agotar producción full.
</t>
      </text>
    </comment>
    <comment authorId="0" ref="D412">
      <text>
        <t xml:space="preserve">Precio sin guerra y sin comision $73
nuevo precio 75</t>
      </text>
    </comment>
    <comment authorId="0" ref="D516">
      <text>
        <t xml:space="preserve">Nueva orden 4,42 
Segunda orden 3,33</t>
      </text>
    </comment>
    <comment authorId="0" ref="D517">
      <text>
        <t xml:space="preserve">Costo primera orden: 3.21
Costo segunda orden: 1.65</t>
      </text>
    </comment>
  </commentList>
</comments>
</file>

<file path=xl/sharedStrings.xml><?xml version="1.0" encoding="utf-8"?>
<sst xmlns="http://schemas.openxmlformats.org/spreadsheetml/2006/main" count="6612" uniqueCount="3131">
  <si>
    <t>Aumentar venta</t>
  </si>
  <si>
    <t>Disminuir venta</t>
  </si>
  <si>
    <t>Oportunidades SEO</t>
  </si>
  <si>
    <t>Disminuir inversión en ads</t>
  </si>
  <si>
    <t>Oportunidades imágenes</t>
  </si>
  <si>
    <t>Sacar/ Modificar AON</t>
  </si>
  <si>
    <t>Busqueda</t>
  </si>
  <si>
    <t>Oportunidad clip</t>
  </si>
  <si>
    <t>Sacar/ Modificar DOD/Relámpago</t>
  </si>
  <si>
    <t>Republicar por mala experiencia/reseñas</t>
  </si>
  <si>
    <t>Oportunidades imágenes/Clips</t>
  </si>
  <si>
    <t>Profundizar DOD</t>
  </si>
  <si>
    <t>Aplicar descuentos mayoristas</t>
  </si>
  <si>
    <t>Aplicar Relámpago</t>
  </si>
  <si>
    <t>Subir el gasto en publicidad</t>
  </si>
  <si>
    <t>Profundizar AON</t>
  </si>
  <si>
    <t>Aplicar CMR</t>
  </si>
  <si>
    <t>Oportunidades logísticas (FULL, FLEX)</t>
  </si>
  <si>
    <t>Oportunidad ficha técnica</t>
  </si>
  <si>
    <t>Mayoristas</t>
  </si>
  <si>
    <t xml:space="preserve">Imagenes con AI </t>
  </si>
  <si>
    <t>Venta</t>
  </si>
  <si>
    <t>Impresiones</t>
  </si>
  <si>
    <t>CTR</t>
  </si>
  <si>
    <t>CVR</t>
  </si>
  <si>
    <t>SEO</t>
  </si>
  <si>
    <t>Imagen de portada</t>
  </si>
  <si>
    <t>Metodos logisticos</t>
  </si>
  <si>
    <t>Fotos</t>
  </si>
  <si>
    <t>Reseñas</t>
  </si>
  <si>
    <t>Promesa de envio</t>
  </si>
  <si>
    <t>Historial de venta</t>
  </si>
  <si>
    <t>reseñas</t>
  </si>
  <si>
    <t>Categorizacion</t>
  </si>
  <si>
    <t>preguntas</t>
  </si>
  <si>
    <t>Ads</t>
  </si>
  <si>
    <t>etc</t>
  </si>
  <si>
    <t xml:space="preserve">ancho cm </t>
  </si>
  <si>
    <t xml:space="preserve">largo cm </t>
  </si>
  <si>
    <t xml:space="preserve">alto cm </t>
  </si>
  <si>
    <t>peso kg</t>
  </si>
  <si>
    <t>BANCOGYM001</t>
  </si>
  <si>
    <t>BATERIAELE001</t>
  </si>
  <si>
    <t>BICE003</t>
  </si>
  <si>
    <t>BICE004</t>
  </si>
  <si>
    <t>BICE005MAGNETIC</t>
  </si>
  <si>
    <t>FRAZADAKING003AZUL</t>
  </si>
  <si>
    <t>FRAZADAKING003GRIS</t>
  </si>
  <si>
    <t>FRAZADAQUEEN004AZUL</t>
  </si>
  <si>
    <t>FRAZADAQUEEN004GRIS</t>
  </si>
  <si>
    <t>MONCURGAMER27</t>
  </si>
  <si>
    <t>MONCURGAMER34</t>
  </si>
  <si>
    <t>TROTAELEC002</t>
  </si>
  <si>
    <t>TROTAELEC003</t>
  </si>
  <si>
    <t>SKU</t>
  </si>
  <si>
    <t>Maestro producto</t>
  </si>
  <si>
    <t>MELI</t>
  </si>
  <si>
    <t xml:space="preserve">Cuena de titulo </t>
  </si>
  <si>
    <t>CATALOGO</t>
  </si>
  <si>
    <t>FALA</t>
  </si>
  <si>
    <t>Cantidad de caracteres</t>
  </si>
  <si>
    <t>PREICO FULL</t>
  </si>
  <si>
    <t>%</t>
  </si>
  <si>
    <t>AON</t>
  </si>
  <si>
    <t>DOD</t>
  </si>
  <si>
    <t>Categoria a publicar</t>
  </si>
  <si>
    <t>Descripcion</t>
  </si>
  <si>
    <t>Velocidad Semanal Inicial</t>
  </si>
  <si>
    <t>Mes Inicial</t>
  </si>
  <si>
    <t>Velocidad Semanal Madura</t>
  </si>
  <si>
    <t>Mes maduro</t>
  </si>
  <si>
    <t>Mes desarrollo</t>
  </si>
  <si>
    <t>variacion % FULL-AON</t>
  </si>
  <si>
    <t>variacion% AON-DOD</t>
  </si>
  <si>
    <t>Ancho / cm</t>
  </si>
  <si>
    <t>Largo / cm</t>
  </si>
  <si>
    <t>Alto / cm</t>
  </si>
  <si>
    <t>Peso</t>
  </si>
  <si>
    <t>Comentarios</t>
  </si>
  <si>
    <t>CBM Unitario</t>
  </si>
  <si>
    <t>FUNGUI002</t>
  </si>
  <si>
    <t>-</t>
  </si>
  <si>
    <t>MOCHBOMBA001</t>
  </si>
  <si>
    <t>MOCHBOMBA002</t>
  </si>
  <si>
    <t>MOCHBOMBA003</t>
  </si>
  <si>
    <t>MOCHVIAJE010</t>
  </si>
  <si>
    <t>MOCHVIAJE011</t>
  </si>
  <si>
    <t>Frazada King Polar 300gsm Homely 250x230 Cm Azul Manta Lisa</t>
  </si>
  <si>
    <t>Frazada King Polar 300gsm Homely 250x230 Cm Azul Manta Lisa Super Suave</t>
  </si>
  <si>
    <t>Frazada King Polar 300gsm Homely 250x230 Cm Gris Manta Lisa</t>
  </si>
  <si>
    <t>Frazada King Polar 300gsm Homely 250x230 Cm Gris Manta Lisa Super Suave</t>
  </si>
  <si>
    <t>Frazada 2 Plazas Polar 300gsm Homely 220x220 Cm Azul Queen</t>
  </si>
  <si>
    <t>Frazada 2 Plazas Polar 300gsm Homely 220x220 Cm Azul Manta Lisa Queen Super Suave</t>
  </si>
  <si>
    <t>Frazada 2 Plazas Polar 300gsm Homely 220x220Cm Gris Queen</t>
  </si>
  <si>
    <t>Frazada 2 Plazas Polar 300gsm Homely 220x220 Cm Gris Manta Lisa Queen Super Suave</t>
  </si>
  <si>
    <t>COLCHONETALIS002NEG</t>
  </si>
  <si>
    <t>GUIELE004</t>
  </si>
  <si>
    <t>GUIELE002ZURDO</t>
  </si>
  <si>
    <t>AMPLIFBAJO001</t>
  </si>
  <si>
    <t>CALIENTACAM2P</t>
  </si>
  <si>
    <t>CALIENTACAMKING</t>
  </si>
  <si>
    <t>KITGLUCOMETRO001</t>
  </si>
  <si>
    <t>PACKLANCETAS50U</t>
  </si>
  <si>
    <t>PACKTIRAS50U</t>
  </si>
  <si>
    <t>ACV004NEGRA</t>
  </si>
  <si>
    <t>PACKUKE003</t>
  </si>
  <si>
    <t>SILLARUEDA001</t>
  </si>
  <si>
    <t>CUCHILLOSANTOKU002</t>
  </si>
  <si>
    <t>MATYOG003NEG</t>
  </si>
  <si>
    <t>CUCHI002</t>
  </si>
  <si>
    <t>MATYOGNBR002ROS</t>
  </si>
  <si>
    <t>LAMPARAMES002NEG</t>
  </si>
  <si>
    <t>TIRASNASALE30U001</t>
  </si>
  <si>
    <t>BOTASCOMPRESION001</t>
  </si>
  <si>
    <t>DISCOGOMA5KG</t>
  </si>
  <si>
    <t>DISCOGOMA10KG</t>
  </si>
  <si>
    <t>DISCOGOMA15KG</t>
  </si>
  <si>
    <t>DISCOGOMA20KG</t>
  </si>
  <si>
    <t>MAN30KGCRO</t>
  </si>
  <si>
    <t>HEXBAR23KG</t>
  </si>
  <si>
    <t>TECLM004</t>
  </si>
  <si>
    <t>STRAPGYM001</t>
  </si>
  <si>
    <t>Straps Correas Levantamiento De Pesas Gym</t>
  </si>
  <si>
    <t>Lifting Straps Muñequeras Overfit Gym Correas Levantamientos</t>
  </si>
  <si>
    <t>Lifting Straps Muñequeras Overfit Gym Correas Para Levantamientos De Pesas Y Barras</t>
  </si>
  <si>
    <t>Vestuario y CalzadoRopa DeportivaOtrosMunequera Levantamiento de Pesas</t>
  </si>
  <si>
    <t>GUANTESGYM001</t>
  </si>
  <si>
    <t>Guantes gym entrenamiento pesas talla L</t>
  </si>
  <si>
    <t>Guantes Gym Deportivos Overfit Talla L Entrenamiento Pesas</t>
  </si>
  <si>
    <t>Guantes Gym Deportivos Overfit Talla L Entrenamiento Levantamiento Pesas Fitness</t>
  </si>
  <si>
    <t>Vestuario y CalzadoRopa DeportivaGuantes</t>
  </si>
  <si>
    <t>GUANTESGYM002</t>
  </si>
  <si>
    <t>Guantes gym entrenamiento fitness talla L</t>
  </si>
  <si>
    <t>Guantes Gym Deportivos Overfit Talla L Entrenamiento Fitness</t>
  </si>
  <si>
    <t>Guantes Gym Deportivos Overfit Talla L Entrenamiento Levantamiento Fitness Pesas</t>
  </si>
  <si>
    <t>BARRALED002BLA</t>
  </si>
  <si>
    <t>Luz barra Led 30cm Portátil sensor de movimiento blanca</t>
  </si>
  <si>
    <t>Aplique Pared Luz Led Hosser Barra Con Sensor De Movimiento</t>
  </si>
  <si>
    <t xml:space="preserve">Aplique Pared Luz Led Hosser Barra Con Sensor De Movimiento Blanco </t>
  </si>
  <si>
    <t>Hogar y MueblesIluminación para el HogarLámparasApliques de ParedAplique</t>
  </si>
  <si>
    <t>CABLETRENZACC2M</t>
  </si>
  <si>
    <t>Cable conexion USB C A USB C 2 metros</t>
  </si>
  <si>
    <t>Cable Usb C A C 2 Metros Iphone Samsung Carga Rapida Hosser</t>
  </si>
  <si>
    <t>Cable Usb Tipo C A C 2 metros Carga Rapida Iphone Samsung 100 Watts Hosser Trenzado Negro</t>
  </si>
  <si>
    <t>Celulares y TelefoníaAccesorios para CelularesCables de DatosUgreen Cargador</t>
  </si>
  <si>
    <t>CABLETRENZAUSBC5M</t>
  </si>
  <si>
    <t>Cable conexion USB A USB C 5 metros</t>
  </si>
  <si>
    <t>Cable Usb Tipo C To Usb 5 M Iphone Samsung Hosser Carga Rapi</t>
  </si>
  <si>
    <t xml:space="preserve">Cable Usb Tipo C To Usb 5 metros Carga rapida Iphone Samsung 60 Watts Hosser Trenzado Negro </t>
  </si>
  <si>
    <t>Cable Usb Tipo C To Usb 5 M Iphone Samsung Hosser Carga Rapida</t>
  </si>
  <si>
    <t>CABLETRENZAUSBC2M</t>
  </si>
  <si>
    <t>Cable conexion USB A USB C 2 metros</t>
  </si>
  <si>
    <t>Cable Usb Tipo C To Usb 2 M Iphone Samsung Hosser Carga Rapi</t>
  </si>
  <si>
    <t xml:space="preserve">Cable Usb Tipo C To Usb 2 metros Carga rapida Iphone Samsung 60 Watts Hosser Trenzado Negro </t>
  </si>
  <si>
    <t>Cable Usb Tipo C To Usb 2 M Iphone Samsung Hosser Carga Rapida</t>
  </si>
  <si>
    <t>Masajeador de compresión de piernas bota inalámbrica</t>
  </si>
  <si>
    <t xml:space="preserve">Bota De Compresion Presoterapia Pierna Masajeador Howell </t>
  </si>
  <si>
    <t xml:space="preserve">Bota De Compresion Equipo Presoterapia Para Pierna Masajeador Aire Inalambrico Howell Negro  </t>
  </si>
  <si>
    <t>Bota Compresion Equipo Presoterapia Pierna Masajeador Aire  Howell</t>
  </si>
  <si>
    <t>Belleza y Cuidado PersonalTratamientos de BellezaEquipos de Estética CorporalPresoterapia</t>
  </si>
  <si>
    <t>Cuchillo chef 7 pulgadas acero inoxidable</t>
  </si>
  <si>
    <t>Cuchillo Chef Profesional 18 Cm Fervora Cocina Acero Inox</t>
  </si>
  <si>
    <t xml:space="preserve">Cuchillo Chef Profesional 18 Cm Fervora Cocina Acero Inoxidable Gris </t>
  </si>
  <si>
    <t>Hogar y MueblesCocina y MenajeVajilla y Artículos de ServirCuchilleríaCuchillos de Cocina</t>
  </si>
  <si>
    <t>WIPESADULTO001X8</t>
  </si>
  <si>
    <t>toallitas húmedas de adulto pack x 8</t>
  </si>
  <si>
    <t>Toallas Humedas Adultos Hipoalergenicas 60U Howell Pack 8</t>
  </si>
  <si>
    <t>Toallas Humedas Adultos Tamaño XG Howell Caja Family Set 8x60 Unidades Hipoalergenicas Con Aloe Vera</t>
  </si>
  <si>
    <t>Toallas Humedas Adultos Hipoalergenicas 60 Unidades Howell Pack 8</t>
  </si>
  <si>
    <t>Belleza y Cuidado PersonalHigiene PersonalToallas HúmedasToallas Humedas Adultos</t>
  </si>
  <si>
    <t>WIPESBEBE001X12</t>
  </si>
  <si>
    <t>toallitas húmedas de bebe pack x12</t>
  </si>
  <si>
    <t>Toallitas Humedas Wipes Caja 12x60U 99% Agua  Bebe Mimoru</t>
  </si>
  <si>
    <t xml:space="preserve">Toallitas Humedas Mimoru Bebe Caja 12 x 60 Unidades Wipes 99% Agua Hipoalergenica </t>
  </si>
  <si>
    <t xml:space="preserve">Toallitas Humedas Mimoru Bebe Caja 12 x 60 Unidades Wipes 99% Agua </t>
  </si>
  <si>
    <t>BebésHigiene y Cuidado del BebéToallitas Húmedas</t>
  </si>
  <si>
    <t>WIPESADULTO001</t>
  </si>
  <si>
    <t>WIPESBEBE001</t>
  </si>
  <si>
    <t>PAPELOPALITEXTUR002</t>
  </si>
  <si>
    <t>Papel opalina texturizado A4 50 unidades 230 gramos</t>
  </si>
  <si>
    <t>Papel Opalina Texturizada A4 230 Gramos Homely 50 Hojas</t>
  </si>
  <si>
    <t xml:space="preserve">Arte, Librería y Cordonería/Librería/Comercial y oficina/Papeles de impresion </t>
  </si>
  <si>
    <t>PAPELHOLOGRAFICODIS001</t>
  </si>
  <si>
    <t>Papel laminado en frío holográfico diseños adhesivo mix A4 18 hojas</t>
  </si>
  <si>
    <t>Papel Laminado Frio Holografico Adhesivo A4 Homely 18 Hojas</t>
  </si>
  <si>
    <t>Papel Laminado En Frio Holografico Adhesivo A4 Homely 18 Hojas</t>
  </si>
  <si>
    <t>PAPELVINILOHOLO001</t>
  </si>
  <si>
    <t>Papel vinilo adhesivo holográfico liso A4 20 hojas 210 g</t>
  </si>
  <si>
    <t>Papel Vinilo Adhesivo Holografico A4 20 Hojas Homely 210G</t>
  </si>
  <si>
    <t xml:space="preserve">Papel Vinilo Adhesivo Holografico Liso A4 20 Hojas Homely Imprimible 210 Gramos Tornasol </t>
  </si>
  <si>
    <t>Papel Vinilo Adhesivo Holografico Liso A4 20 Hojas Homely 210 Gramos</t>
  </si>
  <si>
    <t>Cámaras y Accesorios/Accesorios para Cámaras/Rollos/Para Cámaras Instantáneas</t>
  </si>
  <si>
    <t>PAPELVINILOTRANSPARENT001</t>
  </si>
  <si>
    <t>Papel vinilo adhesivo transparente A4 20 hojas 90 g</t>
  </si>
  <si>
    <t>Papel Vinilo Adhesivo Transparente A4 20 Hojas Homely 90G</t>
  </si>
  <si>
    <t xml:space="preserve">Papel Vinilo Adhesivo Transparente A4 20 Hojas Homely Imprimible Inkjet 90 Gramos </t>
  </si>
  <si>
    <t>Papel Vinilo Adhesivo Transparente A4 20 Hojas Homely Inkjet 90 Gramos</t>
  </si>
  <si>
    <t>PAPFOT005</t>
  </si>
  <si>
    <t>Papel fotográfico doble faz brillante A4 100 hojas 180 g</t>
  </si>
  <si>
    <t>Papel Fotografico Doble Faz Glossy A4 180G Homely 100 Hojas</t>
  </si>
  <si>
    <t>Papel Fotografico Doble Faz Glossy A4 100 Hojas Homely Imprimible 180 Gramos</t>
  </si>
  <si>
    <t>Papel Fotografico Doble Faz Glossy A4 100 Hojas Homely 180 Gramos</t>
  </si>
  <si>
    <t>PAPFOT006</t>
  </si>
  <si>
    <t>Papel fotográfico doble faz brillante A4 100 hojas 220 g</t>
  </si>
  <si>
    <t>Papel Fotografico Doble Faz Glossy A4 220G Homely 100 Hojas</t>
  </si>
  <si>
    <t>Papel Fotografico Doble Faz Glossy A4 100 Hojas Homely Imprimible 220 Gramos</t>
  </si>
  <si>
    <t>Papel Fotografico Doble Faz Glossy A4 100 Hojas Homely 220 Gramos</t>
  </si>
  <si>
    <t>PAPFOT4R001</t>
  </si>
  <si>
    <t>Papel fotográfico glossy 4R 100 hojas 230 g</t>
  </si>
  <si>
    <t>Papel Fotografico Glossy 4R 230 Gramos Homely 100 Hojas</t>
  </si>
  <si>
    <t xml:space="preserve">Papel Fotografico Glossy 4R 10x15 Cm 230 Gramos Homely 100 Hojas Blanco </t>
  </si>
  <si>
    <t xml:space="preserve">Papel Fotografico Glossy 4R 10x15 Cm 230 Gramos Homely 100 Hojas </t>
  </si>
  <si>
    <t>PAPELLAMINADOFRIO001</t>
  </si>
  <si>
    <t>Papel laminado en frío adhesivo transparente A4 50 hojas</t>
  </si>
  <si>
    <t>Papel Laminado Frio Adhesivo Transparente A4 Homely 50 Hojas</t>
  </si>
  <si>
    <t>Papel Laminado En Frio Adhesivo Transparente A4 Homely 50 Hojas</t>
  </si>
  <si>
    <t>Arte, Librería y Cordonería/Librería/Otros</t>
  </si>
  <si>
    <t>PAPELMATTE001</t>
  </si>
  <si>
    <t>Papel adhesivo matte A4 50 hojas 135 g</t>
  </si>
  <si>
    <t>Papel Fotografico Adhesivo Matte A4 135G Homely 50 Hojas</t>
  </si>
  <si>
    <t>Papel Fotografico Adhesivo Matte A4 135 Gramos Homely 50 Hojas Blanco</t>
  </si>
  <si>
    <t>Papel Fotografico Adhesivo Matte A4 135 Gramos Homely 50 Hojas blanco</t>
  </si>
  <si>
    <t>Arte, Librería y Cordonería/Librería/Comercial y oficina/Papeles de impresion</t>
  </si>
  <si>
    <t>CAFETERAPREN002</t>
  </si>
  <si>
    <t>Cafetera prensa francesa 600Ml + dosificador</t>
  </si>
  <si>
    <t>Cafetera Francesa 600Ml Atelier Prensa Vidrio Acero Portatil</t>
  </si>
  <si>
    <t>Cafetera Francesa 600ml Atelier Prensa Vidrio Acero Inoxidable Portatil Con Dosificador</t>
  </si>
  <si>
    <t>Cafetera Francesa 600ml Atelier Prensa Vidrio Portatil Con Dosificador</t>
  </si>
  <si>
    <t>ElectrodomésticosPequeños ElectrodomésticosPara CocinaCafeteras</t>
  </si>
  <si>
    <t>MANHEX25KG</t>
  </si>
  <si>
    <t>Mancuerna Hexagonal 2,5Kg Acero y Caucho Overfit</t>
  </si>
  <si>
    <t>Mancuerna Hexagonal 2.5kg Acero Y Caucho Overfit Negro</t>
  </si>
  <si>
    <t xml:space="preserve">Mancuerna Hexagonal 2.5kg Acero Y Caucho Overfit Negro Pesas </t>
  </si>
  <si>
    <t>Deportes y FitnessFitness y MusculaciónPesas, Discos y BarrasMancuernas</t>
  </si>
  <si>
    <t>TOPPERKING001</t>
  </si>
  <si>
    <t>Cubre colchón topper acolchado tamaño king</t>
  </si>
  <si>
    <t xml:space="preserve">Topper Cubre Colchon King Homely Acolchado Premium Blanco </t>
  </si>
  <si>
    <t>Topper Cubre Colchon King Homely Acolchado Hipoalergenico Eslastico Premium Blanco Protector Viscoelastico</t>
  </si>
  <si>
    <t>Topper Cubre Colchon King Homely Acolchado Premium Blanco Protector</t>
  </si>
  <si>
    <t>Hogar y MueblesTextiles de Hogar y DecoraciónRopa de CamaCubre Colchones</t>
  </si>
  <si>
    <t>FUNDALAPTOP14001NEG</t>
  </si>
  <si>
    <t>Funda protectora de laptop 14" Hosser</t>
  </si>
  <si>
    <t xml:space="preserve">Funda Notebook 13 - 14 Pulgadas Hosser Portatil 14" Negro </t>
  </si>
  <si>
    <t xml:space="preserve">Funda Notebook 13 - 14 Pulgadas Hosser Bolsa Protectora Laptop Portatil Negro </t>
  </si>
  <si>
    <t xml:space="preserve">Funda Notebook 13-14 Pulgadas Hosser Protectora Laptop Portatil Negro </t>
  </si>
  <si>
    <t>ComputaciónNotebooks y AccesoriosAccesorios para NotebooksMochilas, Maletines y FundasMaletines y Bolsos</t>
  </si>
  <si>
    <t>TOALLAUTO001GRI</t>
  </si>
  <si>
    <t>Toalla De Microfibra Secado Auto 1200 Gsm</t>
  </si>
  <si>
    <t>Paño Microfibra Para Autos Galanta Toalla  Secado 1200 GSM</t>
  </si>
  <si>
    <t>Paño De Microfibra Para Autos Galanta Toalla Secado 1200 GSM Limpieza Profesional Ultra Absorbente</t>
  </si>
  <si>
    <t>Paño De Microfibra Para Autos Galanta Toalla Secado 1200 GSM Limpieza</t>
  </si>
  <si>
    <t xml:space="preserve">Accesorios para VehículosLimpieza de VehículosPaños/super mercado </t>
  </si>
  <si>
    <t>MICA002CARTA</t>
  </si>
  <si>
    <t>Láminas Termolaminadora Carta 125 micrones 100 Micas</t>
  </si>
  <si>
    <t xml:space="preserve">Laminas Termolaminadora Carta 100 Micas 125 Micrones Homely </t>
  </si>
  <si>
    <t>Laminas Para Termolaminadora Tamaño Carta 100 Micas 125 Micrones Homely Plastificadora</t>
  </si>
  <si>
    <t>Industrias y OficinasGráfica e ImpresiónPlastificadoPlastificadoras</t>
  </si>
  <si>
    <t>COJLAC002</t>
  </si>
  <si>
    <t>Cojin Almohada Lactancia Maternal con funda herradura</t>
  </si>
  <si>
    <t>Cojin Maternal Lactancia Embarazada Mimoru Almohada U Dormir</t>
  </si>
  <si>
    <t>Cojin Maternal De Lactancia Embarazada Mimoru Almohada U Funda Extra Suave Para Dormir Antimolestia Gris</t>
  </si>
  <si>
    <t>Cojin Maternal De Lactancia Embarazada Mimoru Almohada U Extra Suave</t>
  </si>
  <si>
    <t>BebésArticulos de MaternidadCojines de LactanciaCojin Maternal</t>
  </si>
  <si>
    <t>COJLAC003</t>
  </si>
  <si>
    <t>Cojin Almohada Lactancia Maternal con funda luna</t>
  </si>
  <si>
    <t>Cojin Maternal Lactancia Embarazada Mimoru Almohada 102x71Cm</t>
  </si>
  <si>
    <t>Cojin Maternal De Lactancia Embarazada Mimoru Almohada 102x71 Cm Funda Extra Suave Para Dormir Antimolestia Gris</t>
  </si>
  <si>
    <t xml:space="preserve">Cojin Maternal De Lactancia Embarazada Mimoru Almohada 102x71 Cm </t>
  </si>
  <si>
    <t>BAJOACUSTIC001NEG</t>
  </si>
  <si>
    <t>Bajo electroacústico 43 pulgadas negro Ibrah music</t>
  </si>
  <si>
    <t>Bajo Electroacustico Ibrah Music 43" Negro + Pack Accesorios</t>
  </si>
  <si>
    <t>Bajo Electroacustico Ibrah Music 43" Negro Con Funda De Transporte Y Pack Accesesorios</t>
  </si>
  <si>
    <t xml:space="preserve">Bajo Electroacustico Ibrah Music 43" Negro Con Funda De Transporte </t>
  </si>
  <si>
    <t>Instrumentos MusicalesInstrumentos de CuerdaBajos</t>
  </si>
  <si>
    <t>GUIELECTROACUS002NEG</t>
  </si>
  <si>
    <t>Guitarra electroacústica 41 pulgadas 12 cuerdas negra Ibrah music</t>
  </si>
  <si>
    <t>Guitarra Electroacustica De 12 Cuerdas Ibrah Music 41" Negra</t>
  </si>
  <si>
    <t>Guitarra Electroacustica De 12 Cuerdas Ibrah Music 41" Color Negra Con Funda De Transporte Y Pack Accesesorios</t>
  </si>
  <si>
    <t>Guitarra Electroacustica Ibrah Music 41" De 12 Cuerdas Color Negra</t>
  </si>
  <si>
    <t>Instrumentos MusicalesInstrumentos de CuerdaGuitarrasAcústicasGuitarra Acustica</t>
  </si>
  <si>
    <t>ELEVADORTALONES001</t>
  </si>
  <si>
    <t>Elevador De Talones De Caucho cuña 70 cm largo</t>
  </si>
  <si>
    <t>Cuña Talonera Sentadillas Plataforma Inclinada 20° Overfit</t>
  </si>
  <si>
    <t>Cuña Talonera De Goma Para Sentadillas Plataforma Inclinada 20 Grados Overfit Gym Elevaciones Pantorrilla</t>
  </si>
  <si>
    <t>Talonera De Goma Bloque De Cuña Inclinada 20 Grados Para Gym Overfit</t>
  </si>
  <si>
    <t>Deportes y FitnessFitness y MusculaciónFuncional, Pilates y YogaSteps</t>
  </si>
  <si>
    <t>SET3ELEVADORTALONES001</t>
  </si>
  <si>
    <t>Elevadores de talones set 3 niveles ajustables</t>
  </si>
  <si>
    <t>Cuña Sentadilla Talonera Bloque 3 Niveles Gym Overfit Rampa</t>
  </si>
  <si>
    <t>Cuña Para Sentadilla Talonera Bloque De 3 Niveles Gym Overfit Rampa Soporte Ajustable Mejora de postura Elevaciones</t>
  </si>
  <si>
    <t xml:space="preserve">Talonera Bloque De Cuña Sentadilla Overfit 3 Niveles Ajustable Gym </t>
  </si>
  <si>
    <t>MUDADORBEBE001GRIS</t>
  </si>
  <si>
    <t>Mudador cambiador de bebé portatil plegable impermeable</t>
  </si>
  <si>
    <t>Mudador Portatil Bebe Impermeable Mimoru Cambiador Plegable</t>
  </si>
  <si>
    <t>Mudador Portatil Bebe Impermeable Mimoru Para Cambiar Pañales Plegable</t>
  </si>
  <si>
    <t>BebésArticulos de MaternidadCambiadores PortátilesMudador Plegable</t>
  </si>
  <si>
    <t>MUDADORBEBE002</t>
  </si>
  <si>
    <t>Mudador bebé colchoneta impermeable anatómico portatil</t>
  </si>
  <si>
    <t xml:space="preserve">Mudador Bebe Anatomico Horizontal Mimoru Ergonomico Blanco </t>
  </si>
  <si>
    <t xml:space="preserve">Mudador De Bebe Anatomico Horizontal Mimoru Ergonomico Impermeable Color Blanco </t>
  </si>
  <si>
    <t>Mudador De Bebe Anatomico Horizontal Mimoru Ergonomico Impermeable</t>
  </si>
  <si>
    <t>BebésArticulos de MaternidadCambiadores PortátilesColchoneta Mudador</t>
  </si>
  <si>
    <t>CAJAORGA005</t>
  </si>
  <si>
    <t>Carrito organizadores bajo cama 48 litros unidad</t>
  </si>
  <si>
    <t>Cajas Organizadoras Bajo Cama Homely Carrito Ruedas 48Litros</t>
  </si>
  <si>
    <t>Bolsas Organizadoras Almacenamiento Bajo Cama Cajas Plasticas Homely Carrito De Metal Con Ruedas 78 X 43 X 17 Cm 48 Litros Gris</t>
  </si>
  <si>
    <t>Bolsas Organizadoras Almacenamiento Bajo Cama Homely 48 Litros Gris</t>
  </si>
  <si>
    <t>Hogar y MueblesOrganización para el HogarCajas</t>
  </si>
  <si>
    <t>COJLAC004</t>
  </si>
  <si>
    <t>Almohadilla cojin de lactancia para bebe diseño estrellas</t>
  </si>
  <si>
    <t>Cojin Maternal De Lactancia Bebe Almuhada Embarazada Mimoru</t>
  </si>
  <si>
    <t xml:space="preserve">Cojin Maternal De Lactancia Para Bebe Almuhada Embarazada Mimoru Multifuncional  </t>
  </si>
  <si>
    <t>Cojin Maternal De Lactancia Para Bebe Almuhada Embarazada Mimoru</t>
  </si>
  <si>
    <t>BebésArticulos de MaternidadCojines de Lactancia</t>
  </si>
  <si>
    <t>CAJAORGA006</t>
  </si>
  <si>
    <t xml:space="preserve">Set x 2 bolsas organizadoras malla transparente bajo cama </t>
  </si>
  <si>
    <t>Bolsas Organizadoras Bajo Cama Homely trasnparente 52L Set 2</t>
  </si>
  <si>
    <t xml:space="preserve">Bolsas Organizadoras Almacenamiento Bajo Cama Homely Cajas Plasticas Contenedor 52 Litros Set X2 Transparante </t>
  </si>
  <si>
    <t>Bolsas Organizadoras Almacenamiento Homely 52L Set X2 Transparante</t>
  </si>
  <si>
    <t>BOLSASMUDANZA001</t>
  </si>
  <si>
    <t xml:space="preserve">Set x 2 bolsas mudanza gris 90 Litros </t>
  </si>
  <si>
    <t>Bolsas Mudanzas Almacenamiento Grande Homely 90L Gris Set 2</t>
  </si>
  <si>
    <t>Bolsas Mudanzas Almacenamiento Extra Grande Homely 90 Litros Color Gris  Set x2</t>
  </si>
  <si>
    <t>Bolsas Mudanzas Almacenamiento Extra Grande Homely 85L Gris Set x2</t>
  </si>
  <si>
    <t xml:space="preserve">Hogar y MueblesOrganización para el HogarCajas / tambien vende mucho en Vestuario y CalzadoBolsos, Carteras y MochilasEquipaje y Accesorios de ViajeBolsos de Viaje </t>
  </si>
  <si>
    <t>CAJAORGA007</t>
  </si>
  <si>
    <t>Set x 6 Cajas Cubo Organizadoras Closet Ropa Accesorios Plegables Beige</t>
  </si>
  <si>
    <t>Cajas Organizadoras Cubo Plegable Homely Beige Ropa Pack 6</t>
  </si>
  <si>
    <t>Cajas Organizadoras Cubo Plegable Homely Color Beige Closet Ropa Accesorios Pack 6</t>
  </si>
  <si>
    <t>Cajas Organizadoras Cubo Plegable Homely Beige Ropa Accesorios Pack 6</t>
  </si>
  <si>
    <t>CAJAORGA008</t>
  </si>
  <si>
    <t>Set x 4 Bolsas Organizadoras Ropa Plegable Asa Almacenamiento</t>
  </si>
  <si>
    <t>Cajas Organizadoras Plegable Homely Almacenamiento Asa Set 4</t>
  </si>
  <si>
    <t>Cajas Organizadoras Plegable Homely Almacenamiento Closet Ropa Accesorios Asa Set 4</t>
  </si>
  <si>
    <t>CAJAORGA009</t>
  </si>
  <si>
    <t xml:space="preserve">Set x 2 Bolsas Organizadoras Almacenamiento Bajo Cama 90 litros negro </t>
  </si>
  <si>
    <t>Bolsas Organizadoras Bajo Cama Homely Negro 90 Litros Set  2</t>
  </si>
  <si>
    <t>Bolsas Organizadoras Plegable Almacenamiento Bajo Cama Homely Color Negro 90 Litros Set x2</t>
  </si>
  <si>
    <t>Bolsas Organizadoras Plegable Bajo Cama Homely Negro 90 Litros Set x2</t>
  </si>
  <si>
    <t>PISOCAUCHO002</t>
  </si>
  <si>
    <t>Pack x2 piso de caucho gym 50x50x2cm</t>
  </si>
  <si>
    <t>Pack x2 Piso de Caucho Gym Overfit 50x50x2 Cm Alta Densidad</t>
  </si>
  <si>
    <t>Pack x2 Piso de Caucho Para Gimnasio 50x50x2 Cm Overfit Gym De Alta Densidad Y Intensidad</t>
  </si>
  <si>
    <t>Pack x2 Piso de Caucho Gimnasio 50x50x2 Cm Overfit De Alta Densidad</t>
  </si>
  <si>
    <t>Deportes y FitnessFitness y MusculaciónOtros</t>
  </si>
  <si>
    <t>CINTURONPESAS001</t>
  </si>
  <si>
    <t>Cinturon levantamiento de pesas gym overfit</t>
  </si>
  <si>
    <t>Cinturon Levantamiento Pesas Gym Overfit Lumbar Crossfit</t>
  </si>
  <si>
    <t>Cinturon Levantamiento De Pesas Gym Overfit Lumbar Crossfit Ajustable Negro</t>
  </si>
  <si>
    <t>Deportes y FitnessFitness y MusculaciónFuncional, otros</t>
  </si>
  <si>
    <t>PESARUSAKET12KG</t>
  </si>
  <si>
    <t>Pesa Rusa Kettlebell 12 kg PVC cemento</t>
  </si>
  <si>
    <t>Pesa Rusa Kettlebell 12kg Overfit Entrenamiento PVC Cemento</t>
  </si>
  <si>
    <t xml:space="preserve">Pesa Rusa Kettlebell 12 kg Overfit Entrenamiento Gym Crossfit PVC Cemento </t>
  </si>
  <si>
    <t xml:space="preserve">Pesa Rusa Kettlebell 12 kg Overfit Entrenamiento Gym PVC Cemento </t>
  </si>
  <si>
    <t>Deportes y FitnessFitness y MusculaciónFuncional, pesas discos y barras,pesas rusas</t>
  </si>
  <si>
    <t>PESARUSAKET20KG</t>
  </si>
  <si>
    <t>Pesa Rusa Kettlebell 20 kg PVC cemento</t>
  </si>
  <si>
    <t>Pesa Rusa Kettlebell 20kg Overfit Entrenamiento PVC Cemento</t>
  </si>
  <si>
    <t xml:space="preserve">Pesa Rusa Kettlebell 20 kg Overfit Entrenamiento Gym Crossfit PVC Cemento </t>
  </si>
  <si>
    <t xml:space="preserve">Pesa Rusa Kettlebell 20 kg Overfit Entrenamiento Gym PVC Cemento </t>
  </si>
  <si>
    <t>TUPPERACERO004</t>
  </si>
  <si>
    <t xml:space="preserve">Tupper individual acero inoxidable tapa cuerpo 850 ml </t>
  </si>
  <si>
    <t>Tupper Frasco 850ml Atelier Acero Inoxidable Individual</t>
  </si>
  <si>
    <t xml:space="preserve">Tupper Frasco 850ml Atelier  De Acero Inoxidable Individual Con Tapa Acero Inoxidable Hermetico Plateado </t>
  </si>
  <si>
    <t xml:space="preserve">Tupper Frasco 850ml Atelier  De Acero Inoxidable Individual </t>
  </si>
  <si>
    <t>Hogar y MueblesCocina y MenajeAlmacenamiento y OrganizaciónFrascos y Contenedores</t>
  </si>
  <si>
    <t>TUPPERACERO005</t>
  </si>
  <si>
    <t xml:space="preserve">Tupper individual acero inoxidable tapa plastico 1350 ml </t>
  </si>
  <si>
    <t>Tupper Frasco 1350ml Atelier Acero Inoxidable Individual</t>
  </si>
  <si>
    <t xml:space="preserve">Tupper Frasco 1350ml Atelier Acero Inoxidable Individual Con tapa De Plastico Hermetico Plateado </t>
  </si>
  <si>
    <t xml:space="preserve">Tupper Frasco 1350ml Atelier Acero Inoxidable Individual </t>
  </si>
  <si>
    <t>AREGAT004LIM</t>
  </si>
  <si>
    <t>Arena Para Gato 20 Kilos Duke Bentonita Aglutinante Aroma Limon</t>
  </si>
  <si>
    <t>Arena Para Gato 20 Kg Duke Bentonita Aglutinante Aroma Limon</t>
  </si>
  <si>
    <t>Arena Para Gato 20 Kilos Duke Bentonita Arena Sanitaria 20kg Aglutinante Absorbente Aroma Limon</t>
  </si>
  <si>
    <t>Arena Gato 20Kg Duke Bentonita Arena Sanitaria Aglutinante Aroma Limon</t>
  </si>
  <si>
    <t>MascotasGatosEstética y CuidadoArtículos SanitariosArena SanitariaArena Gatos</t>
  </si>
  <si>
    <t>AREGATCRIS001</t>
  </si>
  <si>
    <t>Arena de gato de cristal 1,6 kg Duke Lavanda</t>
  </si>
  <si>
    <t xml:space="preserve">Arena Para Gato Cristal Duke Sanitaria 1.6 Kg Aroma Lavanda </t>
  </si>
  <si>
    <t xml:space="preserve">Arena Para Gato Cristales Sanitarios  Duke 1.6 Kg Aroma Lavanda </t>
  </si>
  <si>
    <t>SABPERRO006PACK30</t>
  </si>
  <si>
    <t>Sabanillas Para Perro 60x60 Duke Pack bolsa 30 Unidades</t>
  </si>
  <si>
    <t>Sabanillas Para Perros 60 x 60 Duke Training Pad pack 30 U</t>
  </si>
  <si>
    <t>Sabanillas Para Perros 60 x 60 Duke Training Pad pack 30 Unidades Aroma Lavanda</t>
  </si>
  <si>
    <t>MascotasPerrosAdiestramientoBaños Sanitarios</t>
  </si>
  <si>
    <t>SABPERRO007PACK30</t>
  </si>
  <si>
    <t>Sabanillas Para Perro 60x90 Duke Pack bolsa 30 Unidades</t>
  </si>
  <si>
    <t>Sabanillas Para Perros 90 x 60 Duke Training Pad pack 30 U</t>
  </si>
  <si>
    <t>Sabanillas Para Perros 90 x 60 Duke Training Pad pack 30 Unidades Aroma Lavanda</t>
  </si>
  <si>
    <t>TETERA2500ML001</t>
  </si>
  <si>
    <t>Tetera 2.5 Litros Acero Inoxidable granito</t>
  </si>
  <si>
    <t xml:space="preserve">Tetera Acero Inoxidable 2.5 Litros Te Atelier Color Granito </t>
  </si>
  <si>
    <t xml:space="preserve">Tetera Acero Inoxidable 2.5 Litros Para Te Infuciones Atelier Color Granito </t>
  </si>
  <si>
    <t>CAFETERAITA001</t>
  </si>
  <si>
    <t>Cafetera italiana 4 tazas 300 ml color crema</t>
  </si>
  <si>
    <t>Cafetera italiana Espresso Atelier 300ml Acero Inoxidable</t>
  </si>
  <si>
    <t xml:space="preserve">Cafetera italiana Espresso Atelier 300ml De Acero Inoxidable Color Crema </t>
  </si>
  <si>
    <t>GUIELELP002NARAN</t>
  </si>
  <si>
    <t>Guitarra Eléctrica LP Ibrah + Amplif + Accesorios Naranja Sunburst</t>
  </si>
  <si>
    <t>GUIELECTROACUS002CAFE</t>
  </si>
  <si>
    <t>Guitarra Electroacustica Ibrah 41 Pulgadas Cafe + accesorios</t>
  </si>
  <si>
    <t>GUIELECNIN002NEG</t>
  </si>
  <si>
    <t>Guitarra Eléctrica Niño 30 pulgadas Negro Blanco + accesorios</t>
  </si>
  <si>
    <t>CAMZEKSOL001</t>
  </si>
  <si>
    <t>Camara de seguridad panel Solar wifi 2.4G Zeker 4MP</t>
  </si>
  <si>
    <t>Producto</t>
  </si>
  <si>
    <t xml:space="preserve">Margen Marzo </t>
  </si>
  <si>
    <t>Gasto publicidad mes actual 
Acos</t>
  </si>
  <si>
    <t xml:space="preserve">Precio de venta calculado </t>
  </si>
  <si>
    <t>Velocidad inicial semanal</t>
  </si>
  <si>
    <t>Velocidad madura semanal</t>
  </si>
  <si>
    <t>Fehca de llegada</t>
  </si>
  <si>
    <t>Días de rotación</t>
  </si>
  <si>
    <t xml:space="preserve">stock </t>
  </si>
  <si>
    <t>Nota</t>
  </si>
  <si>
    <t>Palancas</t>
  </si>
  <si>
    <t xml:space="preserve">Listo </t>
  </si>
  <si>
    <t>GUIACU003</t>
  </si>
  <si>
    <t>GUIELEFV004NEG</t>
  </si>
  <si>
    <t xml:space="preserve">revisar en reunion de el miercoles con el equipo </t>
  </si>
  <si>
    <t>GUIELEBG005NEG</t>
  </si>
  <si>
    <t xml:space="preserve">se le sumo mas visibilidad </t>
  </si>
  <si>
    <t>aplicar relampagos</t>
  </si>
  <si>
    <t>AMPLIFGUI001</t>
  </si>
  <si>
    <t>aplicar relampagos / profundizar DOD</t>
  </si>
  <si>
    <t xml:space="preserve">Pasar a lanzamiento </t>
  </si>
  <si>
    <t xml:space="preserve">deberia tomar mas velocidad por estrategia </t>
  </si>
  <si>
    <t xml:space="preserve">Clip </t>
  </si>
  <si>
    <t>supero inicial / esperar</t>
  </si>
  <si>
    <t>SKU CL</t>
  </si>
  <si>
    <t>SKU CN</t>
  </si>
  <si>
    <t>Nombre Producto</t>
  </si>
  <si>
    <t>Precio FOB</t>
  </si>
  <si>
    <t>Unidaes</t>
  </si>
  <si>
    <t>CBM unit</t>
  </si>
  <si>
    <t>Costo estimado CLP</t>
  </si>
  <si>
    <t>Celda</t>
  </si>
  <si>
    <t>Descripción</t>
  </si>
  <si>
    <t>Valor (Ejemplo)</t>
  </si>
  <si>
    <t>MAN20KG001</t>
  </si>
  <si>
    <t>ALN05</t>
  </si>
  <si>
    <t>Set Mancuernas Y Barra Unibles 20kg Fitness Pesas Ajustables</t>
  </si>
  <si>
    <t>H1</t>
  </si>
  <si>
    <t>Dólar Producto</t>
  </si>
  <si>
    <t>TRIPRO004</t>
  </si>
  <si>
    <t>FM-1</t>
  </si>
  <si>
    <t>Trípode Celular Camara Portátil Aluminio Carga 10 kg 170 cm</t>
  </si>
  <si>
    <t>H2</t>
  </si>
  <si>
    <t>Dólar Envío</t>
  </si>
  <si>
    <t>MASHOM002</t>
  </si>
  <si>
    <t>YC-303D4</t>
  </si>
  <si>
    <t>Masajeador Cervical Howell Espalda Cuello Hombros Masajes</t>
  </si>
  <si>
    <t>H3</t>
  </si>
  <si>
    <t>Precio por CBM</t>
  </si>
  <si>
    <t>MAN15KG001</t>
  </si>
  <si>
    <t>RH-B0123-5</t>
  </si>
  <si>
    <t>Set Mancuernas Y Barra Unibles 15kg Fitness Pesas Ajustables</t>
  </si>
  <si>
    <t>HOWELL001GRI</t>
  </si>
  <si>
    <t>MG-3</t>
  </si>
  <si>
    <t>Pistola De Masajes Howell Profesional Masajeador Muscular</t>
  </si>
  <si>
    <t>ACV001</t>
  </si>
  <si>
    <t>FM-AD-1s</t>
  </si>
  <si>
    <t>Almohada Cervical Viscoelástica Flex Memoria Dormir Descanso</t>
  </si>
  <si>
    <t>ACV001x2</t>
  </si>
  <si>
    <t>FM-AD-1s*2</t>
  </si>
  <si>
    <t>Pack X2 Almohada Memory Cervical Ortopédica Con Memoria</t>
  </si>
  <si>
    <t>MASHOM004</t>
  </si>
  <si>
    <t>Masajeador De Cuello Espalda Howell Cervical V3 Cuero</t>
  </si>
  <si>
    <t>COP001</t>
  </si>
  <si>
    <t>FM-AD-2</t>
  </si>
  <si>
    <t>Cojín de piernas Howell</t>
  </si>
  <si>
    <t>MANHOW001</t>
  </si>
  <si>
    <t>QCC-7</t>
  </si>
  <si>
    <t>Manta de Gravedad Pesada Howell Single 8Kg Trastornos Sueño</t>
  </si>
  <si>
    <t>HOWELL002</t>
  </si>
  <si>
    <t>RH-MD-5</t>
  </si>
  <si>
    <t>Masajeador Inalámbrico Howell Corporal Para Cuello Hombros</t>
  </si>
  <si>
    <t>COJHOW001</t>
  </si>
  <si>
    <t>QCC-4</t>
  </si>
  <si>
    <t>Cojín Ortopédico de Asiento Lumbar Howell Antideslizante</t>
  </si>
  <si>
    <t>ENTPIE001</t>
  </si>
  <si>
    <t>ALN03</t>
  </si>
  <si>
    <t>Ejercitador De Piernas Movilizador Howell Healthy Legs</t>
  </si>
  <si>
    <t>MASHOM005</t>
  </si>
  <si>
    <t>Masajeador De Cuello Espalda Howell Cervical V4 Celeste</t>
  </si>
  <si>
    <t>COJHOW002</t>
  </si>
  <si>
    <t>RH-MD-6</t>
  </si>
  <si>
    <t>Cojín Masajeador Inalámbrico Howell Almohada Masaje Calor</t>
  </si>
  <si>
    <t>HOWELL003</t>
  </si>
  <si>
    <t>MG-2</t>
  </si>
  <si>
    <t>Pistola de Masajes Corporal Howell PRO 12 Masajeador Espalda</t>
  </si>
  <si>
    <t>FUNGUI001</t>
  </si>
  <si>
    <t>FM-3</t>
  </si>
  <si>
    <t>Funda Para Guitarra 39 Pulgadas Ibrah Bolso De Transporte</t>
  </si>
  <si>
    <t>BICE001</t>
  </si>
  <si>
    <t>GB1</t>
  </si>
  <si>
    <t>Bicicleta de Spinning Estática Profesional Ejercicio 4 kg</t>
  </si>
  <si>
    <t>BANRES001</t>
  </si>
  <si>
    <t>SC-82334-1</t>
  </si>
  <si>
    <t>Bandas resistencia ejercicio</t>
  </si>
  <si>
    <t>GUIACU001</t>
  </si>
  <si>
    <t>RH-GNI-18</t>
  </si>
  <si>
    <t>Guitarra Acústica Clásica Ibrah 39 Pulgadas Colores + Funda</t>
  </si>
  <si>
    <t>GUIACU002</t>
  </si>
  <si>
    <t>RH-GNI-17</t>
  </si>
  <si>
    <t>TELPLA001</t>
  </si>
  <si>
    <t>70076M</t>
  </si>
  <si>
    <t>Telescopio Astronómico Newtoniano F70076 Planex + Soporte</t>
  </si>
  <si>
    <t>MAN50KG001</t>
  </si>
  <si>
    <t>ACN-1</t>
  </si>
  <si>
    <t>Set Mancuernas 50kg Fitness Pesas Peso Regulable</t>
  </si>
  <si>
    <t>MAN30KG001</t>
  </si>
  <si>
    <t>ALN06</t>
  </si>
  <si>
    <t>Set Mancuernas Y Barra Unibles 30kg Fitness Pesas Ajustables</t>
  </si>
  <si>
    <t>CAMHOW001</t>
  </si>
  <si>
    <t>RH-GJ-6/GB8 - BLACK</t>
  </si>
  <si>
    <t>Camilla De Masajes Portátil Howell Plegable Estética + Bolso</t>
  </si>
  <si>
    <t>TELPLA003</t>
  </si>
  <si>
    <t>GB3</t>
  </si>
  <si>
    <t>Telescopio Astronómico Monocular F40070 Planex + Soporte</t>
  </si>
  <si>
    <t>LAMPSAL001</t>
  </si>
  <si>
    <t>GB2</t>
  </si>
  <si>
    <t>Lámpara de sal Himalaya Roca Intensidad Regulable Dormitorio</t>
  </si>
  <si>
    <t>TECLM001</t>
  </si>
  <si>
    <t>YM-2800</t>
  </si>
  <si>
    <t>Piano Eléctrico Yongmei 61 Teclas Teclado Musical USB</t>
  </si>
  <si>
    <t>TECLM001-OUT</t>
  </si>
  <si>
    <t>YM-2800-OUT</t>
  </si>
  <si>
    <t>ATRI001</t>
  </si>
  <si>
    <t>ATRIL/KCT-1</t>
  </si>
  <si>
    <t>Atril para teclado Ibrah</t>
  </si>
  <si>
    <t>FUNTEC001</t>
  </si>
  <si>
    <t>RH-GNI-23</t>
  </si>
  <si>
    <t>Funda para teclado Ibrah</t>
  </si>
  <si>
    <t>TELPLA002</t>
  </si>
  <si>
    <t>F70060M</t>
  </si>
  <si>
    <t>Telescopio Astronómico Monocular F70060 Planex + Soporte</t>
  </si>
  <si>
    <t>RODBIC001</t>
  </si>
  <si>
    <t>FM-6</t>
  </si>
  <si>
    <t>Rodillo De Rulo Bicicleta Ciclismo Entrenamiento Overfit</t>
  </si>
  <si>
    <t>ASIMAS001</t>
  </si>
  <si>
    <t>RH-B0123-7</t>
  </si>
  <si>
    <t>Asiento Masajeador Shiatsu Howell Con Calor Espalda Cuello</t>
  </si>
  <si>
    <t>STEAER001</t>
  </si>
  <si>
    <t>ALN04</t>
  </si>
  <si>
    <t>Step Aeróbico Ajustable 2 Niveles Antideslizante Overfit</t>
  </si>
  <si>
    <t>RODBIC002</t>
  </si>
  <si>
    <t>FM-5</t>
  </si>
  <si>
    <t>Rodillo Magnético Bicicleta Ciclismo Entrenamiento Overfit</t>
  </si>
  <si>
    <t>CAMHOW003</t>
  </si>
  <si>
    <t>GB8</t>
  </si>
  <si>
    <t>Camilla Howell Blanca + Bolso</t>
  </si>
  <si>
    <t>CAMZEK001</t>
  </si>
  <si>
    <t>CAM2MP</t>
  </si>
  <si>
    <t xml:space="preserve">Cámara de seguridad 2MP </t>
  </si>
  <si>
    <t>CAMZEK001-OUT</t>
  </si>
  <si>
    <t>CAM2MP-OUT</t>
  </si>
  <si>
    <t>COJHOW003</t>
  </si>
  <si>
    <t>RH-GJ-9</t>
  </si>
  <si>
    <t>Cojín Howell asiento</t>
  </si>
  <si>
    <t>CUEQUI001</t>
  </si>
  <si>
    <t>RH-B0123-6</t>
  </si>
  <si>
    <t>Cojín Ortopedico Cuello Howell</t>
  </si>
  <si>
    <t>COJHOW004</t>
  </si>
  <si>
    <t>RH-GJ-10</t>
  </si>
  <si>
    <t>Cojín Howell Espalda</t>
  </si>
  <si>
    <t>FDA005</t>
  </si>
  <si>
    <t>RH-GJ-12</t>
  </si>
  <si>
    <t>Freidora de aire Kasser 6LT</t>
  </si>
  <si>
    <t>HOWELL005</t>
  </si>
  <si>
    <t>RH-GJ-11</t>
  </si>
  <si>
    <t>Pistola de masajes howell EVO 6</t>
  </si>
  <si>
    <t>MAN10KG001</t>
  </si>
  <si>
    <t>RH-B0123-4</t>
  </si>
  <si>
    <t>Set mancuernas + Barra 10kg</t>
  </si>
  <si>
    <t>MAN10KG002</t>
  </si>
  <si>
    <t>RH-PS-1</t>
  </si>
  <si>
    <t>Set mancuerna + Kettlebell 10kg</t>
  </si>
  <si>
    <t>MAN20KG002</t>
  </si>
  <si>
    <t>RH-PS-2</t>
  </si>
  <si>
    <t>Set mancuerna + Kettlebell 20kg</t>
  </si>
  <si>
    <t>MANHOW002</t>
  </si>
  <si>
    <t>RH-GJ-7</t>
  </si>
  <si>
    <t>Manta de gravedad Howell 12kg</t>
  </si>
  <si>
    <t>MANHOW003</t>
  </si>
  <si>
    <t>RH-GJ-8</t>
  </si>
  <si>
    <t>Manta de gravedad Howell 15kg</t>
  </si>
  <si>
    <t>MARDEM001</t>
  </si>
  <si>
    <t>RH-GJ-5</t>
  </si>
  <si>
    <t>Martillo demoledor 1</t>
  </si>
  <si>
    <t>NIVLAS001</t>
  </si>
  <si>
    <t>NIVEL-16</t>
  </si>
  <si>
    <t>Nivel laser + trípode</t>
  </si>
  <si>
    <t>NIVLAS001-OUT</t>
  </si>
  <si>
    <t>NIVEL-16-OUT</t>
  </si>
  <si>
    <t>TALELE001</t>
  </si>
  <si>
    <t>RH-GJ-1</t>
  </si>
  <si>
    <t>Taladro eléctrico + Accesorios</t>
  </si>
  <si>
    <t>BDK001</t>
  </si>
  <si>
    <t>BA40</t>
  </si>
  <si>
    <t>Balanza Digital Kasser Pesa 40 kilos Comercial Recargable</t>
  </si>
  <si>
    <t>TELNIN001</t>
  </si>
  <si>
    <t>RH-GNI-4</t>
  </si>
  <si>
    <t>Telescopio Niño Astronómico Aficionado  Portatil H620 36050</t>
  </si>
  <si>
    <t>GUISOL002</t>
  </si>
  <si>
    <t>RH-GNI-19</t>
  </si>
  <si>
    <t>Guirnalda Terraza Exterior 10 Metros + 10 Ampolletas</t>
  </si>
  <si>
    <t>GUISOL002-OUT</t>
  </si>
  <si>
    <t>RH-GNI-19-OUT</t>
  </si>
  <si>
    <t>GUISOL001</t>
  </si>
  <si>
    <t>RH-GNI-20A</t>
  </si>
  <si>
    <t>Guirnalda Terraza Solar Cascada Luces Led 10 Metros</t>
  </si>
  <si>
    <t>BIN001</t>
  </si>
  <si>
    <t>RH-LPG-2</t>
  </si>
  <si>
    <t>Binoculares Prismáticos Zoom Ajustable Semi Profesional</t>
  </si>
  <si>
    <t>RADBOA001</t>
  </si>
  <si>
    <t>RH-LPG-6</t>
  </si>
  <si>
    <t>Radios Baofeng Walkie Talkie Pack Dos Transmisores 1500 mAh</t>
  </si>
  <si>
    <t>CACT001</t>
  </si>
  <si>
    <t>RH-LPG-13</t>
  </si>
  <si>
    <t>Cactus Bailarín Que Canta Juguete Musical Niño Niña</t>
  </si>
  <si>
    <t>TOLPLE002</t>
  </si>
  <si>
    <t>RH-HWY-3</t>
  </si>
  <si>
    <t>Toldo Araña Plegable 2x2 Impermeable Retráctil Araña</t>
  </si>
  <si>
    <t>COLCAMP006</t>
  </si>
  <si>
    <t>RH-CMI-3</t>
  </si>
  <si>
    <t>Colchoneta Inflabe Individual Camping Overfit Light 5cm</t>
  </si>
  <si>
    <t>COLCAMP010</t>
  </si>
  <si>
    <t>RH-CMI-4</t>
  </si>
  <si>
    <t>Colchoneta Inflabe Individual Camping Overfit Light 10cm</t>
  </si>
  <si>
    <t>MOCHTACT001</t>
  </si>
  <si>
    <t>RH-ZSB-1</t>
  </si>
  <si>
    <t>Mochila de Táctica Militar 45L Camuflaje Overfit Trekking</t>
  </si>
  <si>
    <t>MOCHTACT002</t>
  </si>
  <si>
    <t>RH-ZSB-4</t>
  </si>
  <si>
    <t>Mochila de Táctica Militar 30L Overfit Trekking Edition</t>
  </si>
  <si>
    <t>BOLSORG001</t>
  </si>
  <si>
    <t>RH-LB-1</t>
  </si>
  <si>
    <t>Set de Bolsas organizadoras de maleta Homely</t>
  </si>
  <si>
    <t>MALETA001</t>
  </si>
  <si>
    <t>RH-KH-1</t>
  </si>
  <si>
    <t>Maleta Cabina Homely 10kg +  Bolso Notebook + Necesser Set</t>
  </si>
  <si>
    <t>BOLNOTE001</t>
  </si>
  <si>
    <t>RH-KH-2-2</t>
  </si>
  <si>
    <t>Bolso Funda Cobertor Notebook Homely 15,6' Portátil</t>
  </si>
  <si>
    <t>SABPERRO001</t>
  </si>
  <si>
    <t>RH-HLD-1</t>
  </si>
  <si>
    <t>Sabanillas Para Perro  60x60 Duke 6 Capas Aromáticas 100U</t>
  </si>
  <si>
    <t>CABLEZEK10M</t>
  </si>
  <si>
    <t>RH-10M-CMA</t>
  </si>
  <si>
    <t>Cable Cámara Seguridad Extensor Universal 10 Metros 12V</t>
  </si>
  <si>
    <t>CABLEZEK5M</t>
  </si>
  <si>
    <t>RH-5M-CMA</t>
  </si>
  <si>
    <t>Cable Cámara Seguridad Extensor Universal 5 Metros 12V</t>
  </si>
  <si>
    <t>MOCHOFI001</t>
  </si>
  <si>
    <t>RH-AJ-1</t>
  </si>
  <si>
    <t>Mochila Notebook Antirrobo Homely Impermeable Ejecutiva</t>
  </si>
  <si>
    <t>GUIELE001</t>
  </si>
  <si>
    <t>ST39KITBK-20W</t>
  </si>
  <si>
    <t>Guitarra Eléctrica Ibrah + Amplificador</t>
  </si>
  <si>
    <t>GUIELE001-OUT</t>
  </si>
  <si>
    <t>SIERR003</t>
  </si>
  <si>
    <t>RH-GNI-13</t>
  </si>
  <si>
    <t>Sierra Eléctrica Watson 6 pulgadas + 2 baterías</t>
  </si>
  <si>
    <t>SIERR003-OUT</t>
  </si>
  <si>
    <t>RH-GNI-13-OUT</t>
  </si>
  <si>
    <t>COBAS001</t>
  </si>
  <si>
    <t>RH-GNI-14</t>
  </si>
  <si>
    <t>Asiento Para Mascotas Auto Duke Reforzado</t>
  </si>
  <si>
    <t>COBAS002</t>
  </si>
  <si>
    <t>RH-GNI-15</t>
  </si>
  <si>
    <t>Funda Cobertor Maletero Auto Para Mascotas Duke Asiento</t>
  </si>
  <si>
    <t>COBAS003</t>
  </si>
  <si>
    <t>RH-GNI-MAT18</t>
  </si>
  <si>
    <t>Cubre Asiento Auto Para Mascotas Funda Cobertor Duke 5 en 1</t>
  </si>
  <si>
    <t>META001AMA</t>
  </si>
  <si>
    <t>RH-GNI-21</t>
  </si>
  <si>
    <t>Metalófono Cromático 25 Notas Ibrah Amarillo Escolar</t>
  </si>
  <si>
    <t>PADEL001</t>
  </si>
  <si>
    <t>RH-KCL-4</t>
  </si>
  <si>
    <t>Pala de Padel Overfit ProStrike 38mm Fibra Híbrida + Bolso</t>
  </si>
  <si>
    <t>COBCUER001</t>
  </si>
  <si>
    <t>RH-QCD-3</t>
  </si>
  <si>
    <t>Funda Cubre Asiento Ecocuero Galanta Set 5 Asientos Luxury</t>
  </si>
  <si>
    <t>MANGPIS001</t>
  </si>
  <si>
    <t>RH-HWY-1</t>
  </si>
  <si>
    <t>Manguera Para Piscina 10m Limpiafondos Homely PVC 38mm</t>
  </si>
  <si>
    <t>KITPIS001</t>
  </si>
  <si>
    <t>RH-HWY-2</t>
  </si>
  <si>
    <t>Limpiafondos Piscina Homely + Pértiga 2.4m + Accesorios</t>
  </si>
  <si>
    <t>PISOMALE001</t>
  </si>
  <si>
    <t>RH-CMI-2</t>
  </si>
  <si>
    <t>Cubre Maletero SUV Piso De Goma Galanta Camioneta Auto</t>
  </si>
  <si>
    <t>MOCHBASK001</t>
  </si>
  <si>
    <t>RH-AJ-2</t>
  </si>
  <si>
    <t>Mochila Deportiva Basketball Edition By Overfit</t>
  </si>
  <si>
    <t>FRACON001</t>
  </si>
  <si>
    <t>CTCT23-002</t>
  </si>
  <si>
    <t>Set 7 Frascos Conserveros Homely</t>
  </si>
  <si>
    <t>BIDET001</t>
  </si>
  <si>
    <t>XYC-MJY3</t>
  </si>
  <si>
    <t>Bidet Ducha Árabe Turca Homely Para WC Inodoro Set Completo</t>
  </si>
  <si>
    <t>TERMOLAM001</t>
  </si>
  <si>
    <t>XYC-GJ-2</t>
  </si>
  <si>
    <t>Termolaminadora 6 en 1 + Accesorios + 100 Láminas</t>
  </si>
  <si>
    <t>TERMOLAM001-OUT</t>
  </si>
  <si>
    <t>XYC-GJ-2-OUT</t>
  </si>
  <si>
    <t>MICA001</t>
  </si>
  <si>
    <t>XYC-A4-80</t>
  </si>
  <si>
    <t>Láminas Termolaminadora A4 100 Micas Plastificadoras 22x30</t>
  </si>
  <si>
    <t>COJPIC001</t>
  </si>
  <si>
    <t>XYC-KZ2</t>
  </si>
  <si>
    <t>Cojín Picaron Antiescaras Howell Gel Viscoelástico Memoria</t>
  </si>
  <si>
    <t>COJASIESP001V2</t>
  </si>
  <si>
    <t>XYC-KZ4</t>
  </si>
  <si>
    <t>Cojín Ortopédico Espalda y Asiento Lumbar Howell 2 En 1</t>
  </si>
  <si>
    <t>SILLBAR001NEG</t>
  </si>
  <si>
    <t>XYCJBYZ01</t>
  </si>
  <si>
    <t>Silla De Bar Piso Taburete Homely Noir Comfort 61-81CM - Negro</t>
  </si>
  <si>
    <t>SILLBAR001CAF</t>
  </si>
  <si>
    <t>XYCJBYZ01-Brown</t>
  </si>
  <si>
    <t>Silla De Bar Piso Taburete Homely Noir Comfort 61-81CM - Café</t>
  </si>
  <si>
    <t>SILLBAR001BLA</t>
  </si>
  <si>
    <t>CTCT23-004-B</t>
  </si>
  <si>
    <t>Silla De Bar Piso Taburete Homely Noir Comfort 61-81CM  Blanco</t>
  </si>
  <si>
    <t>COJHOW006</t>
  </si>
  <si>
    <t>CTCT23-005</t>
  </si>
  <si>
    <t>Cojín Antiescaras Picarón Ortopédico Howell Asiento Memoria</t>
  </si>
  <si>
    <t>MUÑE001</t>
  </si>
  <si>
    <t>XYCWO001</t>
  </si>
  <si>
    <t>Bebé Reborn Ojos Cerrados Muñeca Realista Silicona 55 Cm</t>
  </si>
  <si>
    <t>SETTERMO001</t>
  </si>
  <si>
    <t>CTCT23-007</t>
  </si>
  <si>
    <t>Guillotina + Perforadora + Corchetera Termolaminadora Set</t>
  </si>
  <si>
    <t>BAJOELE001CAF</t>
  </si>
  <si>
    <t>PB43KITSB-20W</t>
  </si>
  <si>
    <t>Bajo Eléctrico Ibrah 4 Cuerdas + Amplificador 20W + Acces - Café</t>
  </si>
  <si>
    <t>BAJOELE001CAF-OUT</t>
  </si>
  <si>
    <t>COBCUER002NEG</t>
  </si>
  <si>
    <t>RH-QCD-3-BLACK</t>
  </si>
  <si>
    <t>Funda Cubre Asiento Ecocuero Galanta Set 5 Asientos Luxury NEGRO</t>
  </si>
  <si>
    <t>BAJOELE001BLA</t>
  </si>
  <si>
    <t>PB43KITWH-20W</t>
  </si>
  <si>
    <t>Bajo Eléctrico Ibrah 4 Cuerdas + Amplificador 20W + Acces - Blanco</t>
  </si>
  <si>
    <t>BAJOELE001BLA-OUT</t>
  </si>
  <si>
    <t>CUBCAM001KING</t>
  </si>
  <si>
    <t>XYCYR01</t>
  </si>
  <si>
    <t>Cubrecama Cobertor King 90% Pluma Pecho Ganso Homely Luxury</t>
  </si>
  <si>
    <t>CUBRECOL001SINGLE</t>
  </si>
  <si>
    <t>XYC-061</t>
  </si>
  <si>
    <t>Cubre Colchon Bambu Cobertor Impermeable Varios Tamaños - 1 1/2 plazas</t>
  </si>
  <si>
    <t>CUBRECOL001QUEEN</t>
  </si>
  <si>
    <t>XYC-062</t>
  </si>
  <si>
    <t>Cubre Colchon Bambu Cobertor Impermeable Varios Tamaños - Queen</t>
  </si>
  <si>
    <t>CUBRECOL001KING</t>
  </si>
  <si>
    <t>XYC-063</t>
  </si>
  <si>
    <t>Cubre Colchon Bambu Cobertor Impermeable Varios Tamaños - King</t>
  </si>
  <si>
    <t>ANDADOR001</t>
  </si>
  <si>
    <t>XIY-CW-4</t>
  </si>
  <si>
    <t>Burrito Ortopedico Andador Howell 4 Ruedas Freno y Asiento</t>
  </si>
  <si>
    <t>MOCHOFI002NEG</t>
  </si>
  <si>
    <t>XYCSW03221NEG</t>
  </si>
  <si>
    <t>Mochila Notebook Oficina Luxgear UrbanTech Impermeable - Negro</t>
  </si>
  <si>
    <t>MOCHOFI002AZU</t>
  </si>
  <si>
    <t>XYCSW03221AZU</t>
  </si>
  <si>
    <t>Mochila Notebook Oficina Luxgear UrbanTech Impermeable - Azul</t>
  </si>
  <si>
    <t>MOCHOFI002GRI</t>
  </si>
  <si>
    <t>XYCSW03221GRI</t>
  </si>
  <si>
    <t>Mochila Notebook Oficina Luxgear UrbanTech Impermeable - Gris</t>
  </si>
  <si>
    <t>MOCHVIAJE001AZU</t>
  </si>
  <si>
    <t>XYCLXB0258</t>
  </si>
  <si>
    <t>Mochila De Viaje Expansible Luxgear Prestige Impermeable - Azul</t>
  </si>
  <si>
    <t>MOCHVIAJE001NEG</t>
  </si>
  <si>
    <t>Mochila De Viaje Expansible Luxgear Prestige Impermeable</t>
  </si>
  <si>
    <t>MOCHVIAJE002GRI</t>
  </si>
  <si>
    <t>Mochila De Viaje Luxgear NomadLife Impermeable Cabina - Gris</t>
  </si>
  <si>
    <t>MOCHVIAJE002NEG</t>
  </si>
  <si>
    <t>Mochila De Viaje Luxgear NomadLife Impermeable Cabina - Negro</t>
  </si>
  <si>
    <t>MOCHVIAJE003GRI</t>
  </si>
  <si>
    <t>Mochila De Viaje Expansible Luxgear NomadLifeV2 Impermeable - Gris</t>
  </si>
  <si>
    <t>MOCHVIAJE003NEG</t>
  </si>
  <si>
    <t>Mochila De Viaje Expansible Luxgear NomadLifeV2 Impermeable - Negro</t>
  </si>
  <si>
    <t>MOCHVIAJE003BEI</t>
  </si>
  <si>
    <t>Mochila De Viaje Expansible Luxgear NomadLifeV2 Impermeable - Beige</t>
  </si>
  <si>
    <t>PISOBEBE001AZUBEI</t>
  </si>
  <si>
    <t>XYCDDZ04-1 - Tibetan green + white</t>
  </si>
  <si>
    <t>Piso De Goma Eva Bebé Alfombra Babynest 10mm 60x60cm Set x8 -AyB</t>
  </si>
  <si>
    <t>PISOBEBE001NARBEI</t>
  </si>
  <si>
    <t>XYCDDZ04-1- Orange + beige</t>
  </si>
  <si>
    <t>Piso De Goma Eva Bebé Alfombra Babynest 10mm 60x60cm Set x8 NyB</t>
  </si>
  <si>
    <t>PISOBEBE001ROSBLA</t>
  </si>
  <si>
    <t>XYCDDZ04-1 - Pink + white</t>
  </si>
  <si>
    <t>Piso De Goma Eva Bebé Alfombra Babynest 10mm 60x60cm Set x8 - RyB</t>
  </si>
  <si>
    <t>PISOBEBE001GRIBEI</t>
  </si>
  <si>
    <t>XYCDDZ04-1 - Grey + Beige</t>
  </si>
  <si>
    <t>Piso De Goma Eva Bebé Alfombra Babynest 10mm 60x60cm Set x8 - GyB</t>
  </si>
  <si>
    <t>PISOGYM001NEG</t>
  </si>
  <si>
    <t>RAI25-7-001</t>
  </si>
  <si>
    <t>Piso Goma Eva Alfombra Deportiva Gimansio 12mm 60x60cm x8Un</t>
  </si>
  <si>
    <t>SILLACOM001AZU</t>
  </si>
  <si>
    <t>RAI24-001</t>
  </si>
  <si>
    <t>Silla Comer Bebe Portatil BabyNest Plegable Ruedas 2 en 1</t>
  </si>
  <si>
    <t>ALFOMAG001</t>
  </si>
  <si>
    <t>RAI24-002</t>
  </si>
  <si>
    <t>Alfombra Antigolpes Bebe Plegable BabyNest 180x200x1cm  - Jirafa</t>
  </si>
  <si>
    <t>ALFOMAG002</t>
  </si>
  <si>
    <t>RAI24-003</t>
  </si>
  <si>
    <t>Alfombra Antigolpes Bebe Plegable BabyNest 180x200x1cm  - Arbol</t>
  </si>
  <si>
    <t>FELLOW001NEG</t>
  </si>
  <si>
    <t>RAI24-004-N</t>
  </si>
  <si>
    <t>Vaso Termico 1,2Lts Electra By Fellow Mug Tumblr + Bombilla</t>
  </si>
  <si>
    <t>FELLOW001BLA</t>
  </si>
  <si>
    <t>RAI24-004-B</t>
  </si>
  <si>
    <t>FELLOW001ROS</t>
  </si>
  <si>
    <t>RAI24-004-Ro</t>
  </si>
  <si>
    <t>FELLOW001CEL</t>
  </si>
  <si>
    <t>RAI24-004-Cl</t>
  </si>
  <si>
    <t>FELLOW001VER</t>
  </si>
  <si>
    <t>RAI24-004-V</t>
  </si>
  <si>
    <t>SILLACOM002AZU</t>
  </si>
  <si>
    <t>RAI24-005</t>
  </si>
  <si>
    <t>Silla Comer Bebe BabyNest TotTaste 2 en 1 + Canasto</t>
  </si>
  <si>
    <t>MECELE001</t>
  </si>
  <si>
    <t>RAI24-006</t>
  </si>
  <si>
    <t>Silla Mecedora Electrica BabyNest SwingIt Musica Luces</t>
  </si>
  <si>
    <t>SETX3MALE003</t>
  </si>
  <si>
    <t>RAI24-007</t>
  </si>
  <si>
    <t>Maletas 10 15 23kg Luxgear Set x3 Maletas Viaje Antigolpes</t>
  </si>
  <si>
    <t>CADENA001</t>
  </si>
  <si>
    <t>XYCFHL165-215</t>
  </si>
  <si>
    <t>Cadenas Para Nieve Auto Camioneta Galanta Set x6 165-215mm</t>
  </si>
  <si>
    <t>CADENA002</t>
  </si>
  <si>
    <t>XYCFHL225-275</t>
  </si>
  <si>
    <t>Cadenas Para Nieve Auto Camioneta Galanta Set x6 225-275mm</t>
  </si>
  <si>
    <t>MAN20KGCRO</t>
  </si>
  <si>
    <t>XYCDDYL20B</t>
  </si>
  <si>
    <t>Mancuernas Cromadas 20kg Ajustables + Barra Unibles Overfit</t>
  </si>
  <si>
    <t>MANHEX5KG</t>
  </si>
  <si>
    <t>XYBJYL01</t>
  </si>
  <si>
    <t>Mancuerna Hexagonal 5Kg Acero y Caucho Overfit</t>
  </si>
  <si>
    <t>MANHEX75KG</t>
  </si>
  <si>
    <t>XYBJYL05</t>
  </si>
  <si>
    <t>Mancuerna Hexagonal 7,5Kg Acero y Caucho Overfit</t>
  </si>
  <si>
    <t>TALLLAV001</t>
  </si>
  <si>
    <t>XYCDDBS-02</t>
  </si>
  <si>
    <t>Taladro Inalámbrico Watson 36V + Llave Impacto + 2 Baterías</t>
  </si>
  <si>
    <t>LLAIMP001</t>
  </si>
  <si>
    <t>XYCDDBS-03</t>
  </si>
  <si>
    <t>Llave Impacto 350N/M Watson + Accesorios + 2 Baterías</t>
  </si>
  <si>
    <t>CAMZEK004</t>
  </si>
  <si>
    <t>XYCSXT01</t>
  </si>
  <si>
    <t>Cámara De Seguridad 5G Zeker Doble 4MP Exterior Impermeable</t>
  </si>
  <si>
    <t>CAMZEK004-OUT</t>
  </si>
  <si>
    <t>XYCSXT01-OUT</t>
  </si>
  <si>
    <t>CAMZEK005</t>
  </si>
  <si>
    <t>XYCSXT02</t>
  </si>
  <si>
    <t>Cámara De Seguridad Interior Wifi IP Zeker 2MP 5G Pan Tilt</t>
  </si>
  <si>
    <t>CAMZEK005-OUT</t>
  </si>
  <si>
    <t>XYCSXT02-OUT</t>
  </si>
  <si>
    <t>MONPOR156</t>
  </si>
  <si>
    <t>X-T156</t>
  </si>
  <si>
    <t>Monitor Notebook Portátil Gaming 15.6 Hosser FHD Parlante</t>
  </si>
  <si>
    <t>MONPLA24</t>
  </si>
  <si>
    <t>X-T238E1</t>
  </si>
  <si>
    <t>Monitor PC Plano 24'' Hosser Frameless Full HD Ajustable</t>
  </si>
  <si>
    <t>MONCUR27</t>
  </si>
  <si>
    <t>X-T27E1C</t>
  </si>
  <si>
    <t>Monitor Gamer Curvo 27 Pulgadas Hosser FHD Gaming Monitor</t>
  </si>
  <si>
    <t>SOLD001</t>
  </si>
  <si>
    <t>XYCDHJ01</t>
  </si>
  <si>
    <t>Soldadora Inverter Watson 4KW 220V + Accesorios</t>
  </si>
  <si>
    <t>LAMPSAL003</t>
  </si>
  <si>
    <t>N-303</t>
  </si>
  <si>
    <t>Lámpara de Sal Himalaya 4-5 kg Homely Intensidad Regulable</t>
  </si>
  <si>
    <t>TENSI001</t>
  </si>
  <si>
    <t>XYCXY03</t>
  </si>
  <si>
    <t>Tensiómetro Toma Presión Digital Recargable Howell T-300</t>
  </si>
  <si>
    <t>NIVLAS002</t>
  </si>
  <si>
    <t>XYC03231</t>
  </si>
  <si>
    <t>Nivel Láser 12 Líneas Auto Watson + Trípode + 2 Baterías</t>
  </si>
  <si>
    <t>FELLOW002ROS</t>
  </si>
  <si>
    <t xml:space="preserve"> XYCBXGB01-Pink</t>
  </si>
  <si>
    <t>Termo térmico gopop 900ml Rosa</t>
  </si>
  <si>
    <t>FELLOW002BLA</t>
  </si>
  <si>
    <t>XYCBXGB01-White</t>
  </si>
  <si>
    <t>Termo térmico gopop 900ml Blanco</t>
  </si>
  <si>
    <t>FELLOW002VER</t>
  </si>
  <si>
    <t>XYCBXGB01-Green</t>
  </si>
  <si>
    <t>Termo térmico gopop 900ml Verde</t>
  </si>
  <si>
    <t>FELLOW003NEG</t>
  </si>
  <si>
    <t>XYCBXGB02-Black</t>
  </si>
  <si>
    <t>Termo Vaso Mug Térmico Juniper By Fellow 1.2L Acero Inox 304 - Negro</t>
  </si>
  <si>
    <t>FELLOW003BLA</t>
  </si>
  <si>
    <t>XYCBXGB02-White</t>
  </si>
  <si>
    <t>Termo Vaso Mug Térmico Juniper By Fellow 1.2L Acero Inox 304 - Blanco</t>
  </si>
  <si>
    <t>ACV002GEL</t>
  </si>
  <si>
    <t>XYCJYZ003</t>
  </si>
  <si>
    <t>Almohada Gel Ortopédica Viscoelástica Howell Memory 60x40cm</t>
  </si>
  <si>
    <t>CAJHER001</t>
  </si>
  <si>
    <t>RHTK0001</t>
  </si>
  <si>
    <t>Set 142 Herramientas Manuales Mecánicas Combinadas Dados</t>
  </si>
  <si>
    <t>MOCHVIAJE005</t>
  </si>
  <si>
    <t>Mochila Notebook 15,6'' Luxgear Luxor Oficina Viaje Imperm</t>
  </si>
  <si>
    <t>MOCHVIAJE006</t>
  </si>
  <si>
    <t>XYC03275</t>
  </si>
  <si>
    <t>Mochila Notebook Antirrobo Luxgear Sleek Impermeable 3 en 1</t>
  </si>
  <si>
    <t>MOCHVIAJE007</t>
  </si>
  <si>
    <t>Mochila Notebook Viaje Luxgear Elite Impermeable Ejecutiva</t>
  </si>
  <si>
    <t>MALCUER002</t>
  </si>
  <si>
    <t>XYC03277</t>
  </si>
  <si>
    <t>Maletín Cuero Luxgear Oficina Notebook Tablet 15.6 Pulgadas</t>
  </si>
  <si>
    <t>MASHOM006</t>
  </si>
  <si>
    <t>XYCAMQ04B</t>
  </si>
  <si>
    <t>Masajeador de Cuello Inalámbrico Howell V5 Cervical Espalda</t>
  </si>
  <si>
    <t>SABPERRO002</t>
  </si>
  <si>
    <t>RH-HLD-1L-40</t>
  </si>
  <si>
    <t>Sabanillas Para Perro 90x60 Duke 6 Capas Aromáticas 40U</t>
  </si>
  <si>
    <t>MUÑE002</t>
  </si>
  <si>
    <t>XYCWO003</t>
  </si>
  <si>
    <t>Bebé Reborn Candy Muñeca Sweet Pea Realista Silicona 55 Cm</t>
  </si>
  <si>
    <t>MUÑE003</t>
  </si>
  <si>
    <t>XYCWO004</t>
  </si>
  <si>
    <t>Bebé Reborn Vestido Rosado Sweet Pea Realista Silicona 55 Cm</t>
  </si>
  <si>
    <t>MUÑE004</t>
  </si>
  <si>
    <t>XYCWO006</t>
  </si>
  <si>
    <t>Bebé Reborn Ricitos D'Oro Sweet Pea Muñec Real Silicona 60 cm</t>
  </si>
  <si>
    <t>MAN10KGCE</t>
  </si>
  <si>
    <t>RAI24-5-001</t>
  </si>
  <si>
    <t>Mancuerna Hexagonal 10KG Par Set X2 Pesas PVC 20KG Total</t>
  </si>
  <si>
    <t>MAN5KGCE</t>
  </si>
  <si>
    <t>RAI24-5-002</t>
  </si>
  <si>
    <t>Mancuerna Hexagonal 5KG Par Set X2 Pesas PVC 10KG Total</t>
  </si>
  <si>
    <t>BANRES002</t>
  </si>
  <si>
    <t>RAI24-5-003</t>
  </si>
  <si>
    <t>Power Bands Overfit Bandas Elasticas Resistencia Set X4</t>
  </si>
  <si>
    <t>GUIELE002</t>
  </si>
  <si>
    <t>ST39KITBK-20W BLACK</t>
  </si>
  <si>
    <t>Guitarra Eléctrica Strato Ibrah + Amplif + Accesorios Negra</t>
  </si>
  <si>
    <t>GUIELE002-OUT</t>
  </si>
  <si>
    <t>ST39KITBK-20W BLACK-OUT</t>
  </si>
  <si>
    <t>GUIELE003</t>
  </si>
  <si>
    <t>ST39KITBK-20W BROWN</t>
  </si>
  <si>
    <t>Guitarra Eléctrica Strato Ibrah + Amplif + Accesorios Cafe</t>
  </si>
  <si>
    <t>ESCA001</t>
  </si>
  <si>
    <t>RAI24-5-005</t>
  </si>
  <si>
    <t>Escalera Plegable Metalica 2 Peldaños Homely Piso Escalera</t>
  </si>
  <si>
    <t>FELLOW004NEG</t>
  </si>
  <si>
    <t>XYCBWBBLACK</t>
  </si>
  <si>
    <t>Termo Botella Termica Astra By Fellow Mug Agua Cafe 800ML Negro</t>
  </si>
  <si>
    <t>FELLOW004BLA</t>
  </si>
  <si>
    <t>XYCBWBWHITE</t>
  </si>
  <si>
    <t>Termo Botella Termica Astra By Fellow Mug Agua Cafe 800ML Blanco</t>
  </si>
  <si>
    <t>FELLOW005M</t>
  </si>
  <si>
    <t>RAI24-5-007-1</t>
  </si>
  <si>
    <t>Termo Botella Termica Tauri By Fellow Mug Agua Cafe 800ML</t>
  </si>
  <si>
    <t>FELLOW005V</t>
  </si>
  <si>
    <t>RAI24-5-007-2</t>
  </si>
  <si>
    <t>FELLOW005A</t>
  </si>
  <si>
    <t>RAI24-5-007-3</t>
  </si>
  <si>
    <t>MAN10KG003</t>
  </si>
  <si>
    <t>XYCDBKB003</t>
  </si>
  <si>
    <t>Set mancuerna + Kettlebell cemento 10kg</t>
  </si>
  <si>
    <t>MAN15KG003</t>
  </si>
  <si>
    <t>XYCDBKB004</t>
  </si>
  <si>
    <t>Set mancuerna + Kettlebell cemento 15kg</t>
  </si>
  <si>
    <t>MAN20KG003</t>
  </si>
  <si>
    <t>XYCDBKB005</t>
  </si>
  <si>
    <t>Set mancuerna + Kettlebell cemento 20kg</t>
  </si>
  <si>
    <t>SACDORREC</t>
  </si>
  <si>
    <t>XYCSD002</t>
  </si>
  <si>
    <t>Saco de dormir forma rectangular</t>
  </si>
  <si>
    <t>SACDORMOM</t>
  </si>
  <si>
    <t>XYCSD005</t>
  </si>
  <si>
    <t>Saco de dormir forma momia</t>
  </si>
  <si>
    <t>MAN30KET002</t>
  </si>
  <si>
    <t>RH-PS-3</t>
  </si>
  <si>
    <t>Set mancuerna + Kettlebell 30kg</t>
  </si>
  <si>
    <t>COJLAC001</t>
  </si>
  <si>
    <t>XYCBZ01-S</t>
  </si>
  <si>
    <t xml:space="preserve">Cojin lactancia embarazo 130x55cm </t>
  </si>
  <si>
    <t>PACKUKE001</t>
  </si>
  <si>
    <t>RAI24-7-001</t>
  </si>
  <si>
    <t>Pack Ukelele + accesorios - Marrón</t>
  </si>
  <si>
    <t>PACKUKE002</t>
  </si>
  <si>
    <t>RAI24-7-002</t>
  </si>
  <si>
    <t>Pack Ukelele + accesorios - Negro</t>
  </si>
  <si>
    <t>COBAUT001</t>
  </si>
  <si>
    <t>XYCTRSCS003</t>
  </si>
  <si>
    <t>Funda Cubre Asiento Galanta Luxury negro 4.8mm 18D foam</t>
  </si>
  <si>
    <t>PAPFOT001</t>
  </si>
  <si>
    <t>Papel fotográfico adhesivo impresión 135g 50 hojas</t>
  </si>
  <si>
    <t>PAPFOT003</t>
  </si>
  <si>
    <t>XYCXZ001</t>
  </si>
  <si>
    <t>Papel Fotografico A4 Doble Faz Camara Foto Homely 50 Unidad</t>
  </si>
  <si>
    <t>Papel fotográfico adhesivo impresión 135g 100 hojas</t>
  </si>
  <si>
    <t>PAPFOT004</t>
  </si>
  <si>
    <t>XYCXZ003</t>
  </si>
  <si>
    <t>Papel Fotografico A4 Doble Faz Camara Foto Homely 100 Unidad</t>
  </si>
  <si>
    <t>CUBCAM001-2PLAZ</t>
  </si>
  <si>
    <t>XYCYR05</t>
  </si>
  <si>
    <t>Cubrecama Cobertor 2 Plazas 90% Pluma Pecho Ganso Homely Luxury</t>
  </si>
  <si>
    <t>COLIND001</t>
  </si>
  <si>
    <t>XYCSD0003</t>
  </si>
  <si>
    <t xml:space="preserve">Colchón memory tamaño individual 90x190x20cm </t>
  </si>
  <si>
    <t>COL2PLA002</t>
  </si>
  <si>
    <t>XYCSD0004</t>
  </si>
  <si>
    <t>Colchón memory tamaño 2 plazas  150x190x20cm</t>
  </si>
  <si>
    <t>PACKIBR001</t>
  </si>
  <si>
    <t>YM-2801</t>
  </si>
  <si>
    <t>Pack piano + atril + bolso</t>
  </si>
  <si>
    <t>PACKIBR001-OUT</t>
  </si>
  <si>
    <t>YM-2801-OUT</t>
  </si>
  <si>
    <t>CORTROL001</t>
  </si>
  <si>
    <t>RAI24-8-001</t>
  </si>
  <si>
    <t>Cortina roller zebra blanca 120 x 200 cm</t>
  </si>
  <si>
    <t>CORTGOM001</t>
  </si>
  <si>
    <t>RAI24-8-002</t>
  </si>
  <si>
    <t>Cortina 2 paños engomada textura lino 140 x 220 Gris oscuro</t>
  </si>
  <si>
    <t>CORTGOM002</t>
  </si>
  <si>
    <t>RAI24-8-003</t>
  </si>
  <si>
    <t>Cortina 2 paños engomada textura lino 140 x 220 Gris claro</t>
  </si>
  <si>
    <t>CAMZEK006</t>
  </si>
  <si>
    <t>SC10</t>
  </si>
  <si>
    <t>Cámara seguridad solar doble zeker</t>
  </si>
  <si>
    <t>LINTAC001</t>
  </si>
  <si>
    <t>XYCSDT05</t>
  </si>
  <si>
    <t>Linterna táctica 1500LM COB</t>
  </si>
  <si>
    <t>SILLOFINEG</t>
  </si>
  <si>
    <t>XYCBGY002-White/Black</t>
  </si>
  <si>
    <t>Silla de oficina memory foam blanca y negra</t>
  </si>
  <si>
    <t>SILLOFIGRI</t>
  </si>
  <si>
    <t>XYCBGY002-White/Grey</t>
  </si>
  <si>
    <t>Silla de oficina memory foam blanca y gris</t>
  </si>
  <si>
    <t>FILMTRA</t>
  </si>
  <si>
    <t>XYCNYBC001</t>
  </si>
  <si>
    <t>Film transparente</t>
  </si>
  <si>
    <t>FILMNEG</t>
  </si>
  <si>
    <t>XYCNYBC002</t>
  </si>
  <si>
    <t>Film negro</t>
  </si>
  <si>
    <t>CINTA001</t>
  </si>
  <si>
    <t>XYCNYBC003</t>
  </si>
  <si>
    <t>Cinta adhesiva</t>
  </si>
  <si>
    <t>VIOL001</t>
  </si>
  <si>
    <t>XYCXTQBR44</t>
  </si>
  <si>
    <t>Pack Violín marrón + accesorios</t>
  </si>
  <si>
    <t>NVR001</t>
  </si>
  <si>
    <t>NVS001</t>
  </si>
  <si>
    <t>Sistema NVR 4 cámaras 1080P + disco duro 500 GB</t>
  </si>
  <si>
    <t>POWBAN001</t>
  </si>
  <si>
    <t>S1323</t>
  </si>
  <si>
    <t>Power Bank con pantalla 20000MAH</t>
  </si>
  <si>
    <t>PISGOM001</t>
  </si>
  <si>
    <t>CM2009</t>
  </si>
  <si>
    <t>Pisos de goma para auto 4 piezas - negro</t>
  </si>
  <si>
    <t>PISGOM002</t>
  </si>
  <si>
    <t>CM2014</t>
  </si>
  <si>
    <t>Pisos de goma para auto 3 piezas - negro</t>
  </si>
  <si>
    <t>SABANAS001INDIV</t>
  </si>
  <si>
    <t>RAI24-11-001</t>
  </si>
  <si>
    <t>Juego de sábanas 4 piezas blancas individuales</t>
  </si>
  <si>
    <t>SABANAS001QUEEN</t>
  </si>
  <si>
    <t>RAI24-11-002</t>
  </si>
  <si>
    <t>Juego de sábanas 4 piezas blancas 2 plazas</t>
  </si>
  <si>
    <t>SABANAS001KING</t>
  </si>
  <si>
    <t>RAI24-11-003</t>
  </si>
  <si>
    <t>Juego de sábanas 4 piezas blancas king</t>
  </si>
  <si>
    <t>MOCHVIAJE008</t>
  </si>
  <si>
    <t>RAI24-11-004</t>
  </si>
  <si>
    <t>Mochila Escolar Oficina Luxgear negra tamaño 46x32x14cm</t>
  </si>
  <si>
    <t>BAROLI001</t>
  </si>
  <si>
    <t>RAI24-11-005</t>
  </si>
  <si>
    <t>Barra preolímpica forma curva 1.2 metros</t>
  </si>
  <si>
    <t>BAROLI002</t>
  </si>
  <si>
    <t>RAI24-11-006</t>
  </si>
  <si>
    <t>Barra preolímpica forma recta 1.2 metros</t>
  </si>
  <si>
    <t>BAROLI003</t>
  </si>
  <si>
    <t>RAI24-11-007</t>
  </si>
  <si>
    <t>Barra olímpica forma recta 2.2 metros</t>
  </si>
  <si>
    <t>PLASIL001</t>
  </si>
  <si>
    <t>RAI24-11-008</t>
  </si>
  <si>
    <t>Set 10 piezas platos comer bebé silicon color azul celeste</t>
  </si>
  <si>
    <t>PLASIL002</t>
  </si>
  <si>
    <t>RAI24-11-009</t>
  </si>
  <si>
    <t>Set 10 piezas platos comer bebé silicon color rosa</t>
  </si>
  <si>
    <t>MATYOG001</t>
  </si>
  <si>
    <t>XYCYG03</t>
  </si>
  <si>
    <t>Mat yoga tamaño 183x61x0.6cm bicolor rosado</t>
  </si>
  <si>
    <t>MATYOG002</t>
  </si>
  <si>
    <t>XYCYG03-Purple</t>
  </si>
  <si>
    <t>Mat yoga tamaño 183x61x0.6cm bicolor púrpura</t>
  </si>
  <si>
    <t>BOLEQUI001</t>
  </si>
  <si>
    <t>RAI24-11-012</t>
  </si>
  <si>
    <t>Bolso porta equipaje para auto camioneta tamaño negro-gris</t>
  </si>
  <si>
    <t>AUDINA001</t>
  </si>
  <si>
    <t>RAI24-11-013</t>
  </si>
  <si>
    <t>Audífonos Inalámbricos Hosser CN04 Cancelación de Ruido</t>
  </si>
  <si>
    <t>BIDET002</t>
  </si>
  <si>
    <t>XYC506013</t>
  </si>
  <si>
    <t>Bidet Ducha Homely Para WC Inodoro Ajuste de flujo</t>
  </si>
  <si>
    <t>TERMOLAM002</t>
  </si>
  <si>
    <t>SL288</t>
  </si>
  <si>
    <t>Termolaminadora blanca + Accesorios + 100 Láminas</t>
  </si>
  <si>
    <t>TERMOLAM002-OUT</t>
  </si>
  <si>
    <t>SL288-OUT</t>
  </si>
  <si>
    <t>FRAZADA001GRI</t>
  </si>
  <si>
    <t>RAI24-11-014</t>
  </si>
  <si>
    <t>Frazada Térmica Sherpa Homely 150x200 300GSM Gris</t>
  </si>
  <si>
    <t>FRAZADA001BEI</t>
  </si>
  <si>
    <t>RAI24-11-015</t>
  </si>
  <si>
    <t>Frazada Térmica Sherpa Homely 150x200 300GSM Beige</t>
  </si>
  <si>
    <t>FRAZADA001BLU</t>
  </si>
  <si>
    <t>RAI24-11-016</t>
  </si>
  <si>
    <t>Frazada Térmica Sherpa Homely 150x200 300GSM Azul</t>
  </si>
  <si>
    <t>FRAZADA002GRI</t>
  </si>
  <si>
    <t>RAI24-11-017</t>
  </si>
  <si>
    <t>Frazada Térmica Sherpa Homely 200x200 300GSM Gris</t>
  </si>
  <si>
    <t>FRAZADA002BEI</t>
  </si>
  <si>
    <t>RAI24-11-018</t>
  </si>
  <si>
    <t>Frazada Térmica Sherpa Homely 200x200 300GSM Beige</t>
  </si>
  <si>
    <t>FRAZADA002BLU</t>
  </si>
  <si>
    <t>RAI24-11-019</t>
  </si>
  <si>
    <t>Frazada Térmica Sherpa Homely 200x200 300GSM Azul</t>
  </si>
  <si>
    <t>MOCHVIAJE009</t>
  </si>
  <si>
    <t>RAI24-11-020</t>
  </si>
  <si>
    <t>Mochila Maleta Luxgear negra tamaño 50x30x15-20 cm</t>
  </si>
  <si>
    <t>TENSI002</t>
  </si>
  <si>
    <t>XYCXYJ003</t>
  </si>
  <si>
    <t>Tensiómetro V2 Toma Presión Digital Howell NEGRO</t>
  </si>
  <si>
    <t>CAMPERRO001</t>
  </si>
  <si>
    <t>XYCCWW002</t>
  </si>
  <si>
    <t>Cama de perro talla S medida 51 x 51 x20cm gris oscuro</t>
  </si>
  <si>
    <t>CAMPERRO002</t>
  </si>
  <si>
    <t>XYCCWW005</t>
  </si>
  <si>
    <t>Cama de perro talla M 62 x 62 x 22 cm hris claro / beige</t>
  </si>
  <si>
    <t>CAMPERRO003</t>
  </si>
  <si>
    <t>XYCCWW006</t>
  </si>
  <si>
    <t>Cama de perro cuadrada talla M 73 x 50 x 16 cm Gris azulado</t>
  </si>
  <si>
    <t>SABANAS002QUEEN</t>
  </si>
  <si>
    <t>XYCCDSJT003</t>
  </si>
  <si>
    <t xml:space="preserve">Juego de sábanas 4 piezas blancas 2 plazas 100 gsm </t>
  </si>
  <si>
    <t>SABANAS002KING</t>
  </si>
  <si>
    <t>XYCCDSJT004</t>
  </si>
  <si>
    <t>Juego de sábanas 4 piezas blancas king 100 gsm</t>
  </si>
  <si>
    <t>MAN30KG003</t>
  </si>
  <si>
    <t>XYCDBKB006</t>
  </si>
  <si>
    <t>Set mancuerna + Kettlebell cemento 30kg</t>
  </si>
  <si>
    <t>AREGAT001</t>
  </si>
  <si>
    <t>XYCMS20KG</t>
  </si>
  <si>
    <t>Arena para gato 20 kilos duke</t>
  </si>
  <si>
    <t>SABPERRO003</t>
  </si>
  <si>
    <t>RH-HLD-1S-100</t>
  </si>
  <si>
    <t>Sabanillas Para Perro  45x60 Duke 6 Capas Aromáticas 100U</t>
  </si>
  <si>
    <t>BICE002</t>
  </si>
  <si>
    <t>Bicicleta de Spinning Estática Profesional Ejercicio 5 kg</t>
  </si>
  <si>
    <t>MONOALU001</t>
  </si>
  <si>
    <t>XYCETHBC01B</t>
  </si>
  <si>
    <t>Monopatin 3 ruedas niños Aluminum + Nylon Plastic negro</t>
  </si>
  <si>
    <t>PIZARRADIC001</t>
  </si>
  <si>
    <t>XYCETHB001</t>
  </si>
  <si>
    <t>Pizarra didáctica magnética para niños con accesorios</t>
  </si>
  <si>
    <t>BICININ001ROS</t>
  </si>
  <si>
    <t>XYCTC002</t>
  </si>
  <si>
    <t>Bicicleta aro 16 niña estilo vintage rosa</t>
  </si>
  <si>
    <t>BICININ002AZU</t>
  </si>
  <si>
    <t>XYCTC003</t>
  </si>
  <si>
    <t>Bicicleta aro 16 niño con cesta azul</t>
  </si>
  <si>
    <t>CAMARANIN001</t>
  </si>
  <si>
    <t>XYCETXJ004</t>
  </si>
  <si>
    <t>Cámara para niños digital pantalla 2 pulgadas + cámara frontal rosa</t>
  </si>
  <si>
    <t>COLINFLADOBLE001</t>
  </si>
  <si>
    <t>XYCQCS02</t>
  </si>
  <si>
    <t>Colchón inflable dos plazas 150x200x40cm con bomba portatil inflado</t>
  </si>
  <si>
    <t>COLINFLAIND001</t>
  </si>
  <si>
    <t>XYCQCS03</t>
  </si>
  <si>
    <t>Colchón inflable individual 100x190x40cm con bomba portatil inflado</t>
  </si>
  <si>
    <t>TOALLAMAS001</t>
  </si>
  <si>
    <t>XYCMJ004</t>
  </si>
  <si>
    <t xml:space="preserve">Toalla microfibra para mascotas 101 x 60 cm </t>
  </si>
  <si>
    <t>CAJAORGA001</t>
  </si>
  <si>
    <t>XYCSNTZ003</t>
  </si>
  <si>
    <t>Set x 2 cajas organizadoras de hogar 22 litros</t>
  </si>
  <si>
    <t>CAJAORGA002</t>
  </si>
  <si>
    <t>XYCSNTZ005</t>
  </si>
  <si>
    <t>Set x 2 carritos organizadores bajo cama 48 litros</t>
  </si>
  <si>
    <t>CAJAORGA003</t>
  </si>
  <si>
    <t>XYCSNTZ008</t>
  </si>
  <si>
    <t>Set x 2 bolsas organizadoras bajo cama 100x50x18cm</t>
  </si>
  <si>
    <t>SETDUCHA001</t>
  </si>
  <si>
    <t>XYCBC001</t>
  </si>
  <si>
    <t>Set x 2 organizadores de ducha acero inoxidable con accesorios</t>
  </si>
  <si>
    <t>SETDUCHA002</t>
  </si>
  <si>
    <t>XYCBC003</t>
  </si>
  <si>
    <t>Set x 2 organizadores de ducha aluminio</t>
  </si>
  <si>
    <t>CAMZEK0014MP</t>
  </si>
  <si>
    <t>CAM4MP</t>
  </si>
  <si>
    <t xml:space="preserve">Cámara de seguridad Zeker 4MP </t>
  </si>
  <si>
    <t>CAMZEK0044MP</t>
  </si>
  <si>
    <t>XYCSXT01-4MP</t>
  </si>
  <si>
    <t>Cámara De Seguridad 5G Zeker Doble 8MP Exterior Impermeable (3MP+3MP)</t>
  </si>
  <si>
    <t>CAMZEK0054MP</t>
  </si>
  <si>
    <t>XYCSXT02-4MP</t>
  </si>
  <si>
    <t>Cámara De Seguridad Interior Wifi IP Zeker 2MP 5G Pan Tilt 4MP</t>
  </si>
  <si>
    <t>CABLEZEK15M</t>
  </si>
  <si>
    <t>XYCXC005</t>
  </si>
  <si>
    <t>Cable de cámara DC 15 metros</t>
  </si>
  <si>
    <t>CABLEZEK20M</t>
  </si>
  <si>
    <t>XYCXC006</t>
  </si>
  <si>
    <t>Cable de cámara DC 20 metros</t>
  </si>
  <si>
    <t>CABLEDUAL5M</t>
  </si>
  <si>
    <t>XYCXC007</t>
  </si>
  <si>
    <t>Cable Dual ethernet and power 5 metros</t>
  </si>
  <si>
    <t>CABLEDUAL10M</t>
  </si>
  <si>
    <t>XYCXC008</t>
  </si>
  <si>
    <t>Cable Dual ethernet and power 10 metros</t>
  </si>
  <si>
    <t>CABLEUSBC5M</t>
  </si>
  <si>
    <t>XYCXC011</t>
  </si>
  <si>
    <t>Cable conexion USB to USB C 5 metros</t>
  </si>
  <si>
    <t>MANHEX10KG</t>
  </si>
  <si>
    <t>XYBJYL06</t>
  </si>
  <si>
    <t>Mancuerna Hexagonal 10Kg Acero y Caucho Overfit</t>
  </si>
  <si>
    <t>MANHEX125KG</t>
  </si>
  <si>
    <t>XYBJYL07</t>
  </si>
  <si>
    <t>Mancuerna Hexagonal 12.5Kg Acero y Caucho Overfit</t>
  </si>
  <si>
    <t>MANHEX15KG</t>
  </si>
  <si>
    <t>XYBJYL08</t>
  </si>
  <si>
    <t>Mancuerna Hexagonal 15Kg Acero y Caucho Overfit</t>
  </si>
  <si>
    <t>MANHEX20KG</t>
  </si>
  <si>
    <t>XYBJYL09</t>
  </si>
  <si>
    <t>Mancuerna Hexagonal 20Kg Acero y Caucho Overfit</t>
  </si>
  <si>
    <t>CAJAZAP001</t>
  </si>
  <si>
    <t>XYCXH002</t>
  </si>
  <si>
    <t>Cajas organizadoras de zapatos transparentes apilables</t>
  </si>
  <si>
    <t>BICININ003ROS</t>
  </si>
  <si>
    <t>P3K1662</t>
  </si>
  <si>
    <t>Bicicleta aro 16 niña rosa purpura cesta + sillita muñeca</t>
  </si>
  <si>
    <t>MONOPLAS001</t>
  </si>
  <si>
    <t>P3K1661</t>
  </si>
  <si>
    <t>Monopatin 3 ruedas niños plástico ABS + colores RGB ruedas</t>
  </si>
  <si>
    <t>CAJAORGA004</t>
  </si>
  <si>
    <t>RAI01-04-01</t>
  </si>
  <si>
    <t>Set X 4 Bolsas organizadoras PVC transparente</t>
  </si>
  <si>
    <t>PERCHAROP001</t>
  </si>
  <si>
    <t>RAI01-04-02</t>
  </si>
  <si>
    <t>Colgadores ganchos de ropa set 50 unidades blancos antideslizante</t>
  </si>
  <si>
    <t>PERCHAROP002</t>
  </si>
  <si>
    <t>RAI01-04-03</t>
  </si>
  <si>
    <t>Colgadores ganchos de ropa set 30 unidades blancos antideslizante</t>
  </si>
  <si>
    <t>PERCHAPAN001</t>
  </si>
  <si>
    <t>RAI01-04-04</t>
  </si>
  <si>
    <t>Colgadores ganchos de pantalon con pinza set 30 unidades negros</t>
  </si>
  <si>
    <t>PERCHAPAN002</t>
  </si>
  <si>
    <t>RAI01-04-05</t>
  </si>
  <si>
    <t>Colgador de pantalon 5 en 1 antideslizante</t>
  </si>
  <si>
    <t>SETDUCHA003</t>
  </si>
  <si>
    <t>RAI01-04-06</t>
  </si>
  <si>
    <t>Set x 7 organizadores de ducha acero inoxidable con accesorios</t>
  </si>
  <si>
    <t>TOALLAMICROF001</t>
  </si>
  <si>
    <t>RAI01-04-07</t>
  </si>
  <si>
    <t>Set x 2 toallas microfibra viajero + bolso de transporte azul</t>
  </si>
  <si>
    <t>NVR002</t>
  </si>
  <si>
    <t>NVS001+4*IPC037</t>
  </si>
  <si>
    <t xml:space="preserve">Sistema NVR 4 cámaras 1080P + disco duro 500 GB modelo bala </t>
  </si>
  <si>
    <t>NVRCAM001</t>
  </si>
  <si>
    <t>IPC030</t>
  </si>
  <si>
    <t>Cámara Sistema NVR 2MP Color negro</t>
  </si>
  <si>
    <t>COBCUER003AZU</t>
  </si>
  <si>
    <t>RH-QCD-3-Azul</t>
  </si>
  <si>
    <t>Funda Cubre Asiento Ecocuero Galanta Set 5 Asientos Luxury negro azul</t>
  </si>
  <si>
    <t>GUISOL003</t>
  </si>
  <si>
    <t>XYCZSD003</t>
  </si>
  <si>
    <t>Guirnalda Terraza Exterior 15 Metros + 15 Ampolletas</t>
  </si>
  <si>
    <t>GUISOL004</t>
  </si>
  <si>
    <t>XYCZSD004</t>
  </si>
  <si>
    <t>Guirnalda Terraza Exterior 20 Metros + 20 Ampolletas</t>
  </si>
  <si>
    <t>GUISOL005</t>
  </si>
  <si>
    <t>XYCZSD009</t>
  </si>
  <si>
    <t>Guirnalda Terraza Exterior 10 Metros + 10 Ampolletas forma lágrima</t>
  </si>
  <si>
    <t>GUISOL006</t>
  </si>
  <si>
    <t>XYCZSD011</t>
  </si>
  <si>
    <t>Guirnalda Terraza Exterior 10 Metros + 10 Ampolletas forma esfera</t>
  </si>
  <si>
    <t>BASECAMAIND001</t>
  </si>
  <si>
    <t>XYCCHUANG01</t>
  </si>
  <si>
    <t>Base para cama medida individual 191 x 91 x 30 CM acero</t>
  </si>
  <si>
    <t>BASECAMADOB001</t>
  </si>
  <si>
    <t>XYCCHUANG02</t>
  </si>
  <si>
    <t>Base para cama medida doble 191 x 151 x 30 CM acero</t>
  </si>
  <si>
    <t>TOALLASET001BLA</t>
  </si>
  <si>
    <t>XYCYJ001</t>
  </si>
  <si>
    <t>set x 2 toallas algodón 500 gsm cuerpo y manos blanca</t>
  </si>
  <si>
    <t>SILLAPLEG001NEG</t>
  </si>
  <si>
    <t>XYCSTY01</t>
  </si>
  <si>
    <t>Silla plegable exterior camping + bolso transporte negra 45*45*69cm</t>
  </si>
  <si>
    <t>TUPPERVID001</t>
  </si>
  <si>
    <t>XYCSLSNG004G</t>
  </si>
  <si>
    <t>Set x 4 tuppers medidas varias vidrio</t>
  </si>
  <si>
    <t>ACV003AGUJ</t>
  </si>
  <si>
    <t>XYCXZT001</t>
  </si>
  <si>
    <t xml:space="preserve">Almohada Viscoelástica Memory agujeros 40x60cm </t>
  </si>
  <si>
    <t>ACV004TIRAS</t>
  </si>
  <si>
    <t>XYCXZT003</t>
  </si>
  <si>
    <t>Almohada Viscoelástica triturada Memory funda fibra de bambú</t>
  </si>
  <si>
    <t>ACV004VIAJGRIS</t>
  </si>
  <si>
    <t>XYCXZT004</t>
  </si>
  <si>
    <t>Set de viaje de almohada cervical espuma viscoelástica + accesorios gris</t>
  </si>
  <si>
    <t>GUIELELP001NEG</t>
  </si>
  <si>
    <t>LP39KITBK-20W</t>
  </si>
  <si>
    <t xml:space="preserve">Guitarra Eléctrica LP Ibrah + Amplif + Accesorios all black </t>
  </si>
  <si>
    <t>TOALLASET002BLA</t>
  </si>
  <si>
    <t>XYCYJ003-1</t>
  </si>
  <si>
    <t>Set x 2 toallas poliester + algodón 350 gsm cuerpo y manos blanca</t>
  </si>
  <si>
    <t>ORGANIZESPO001</t>
  </si>
  <si>
    <t>XYCCFSNJ03</t>
  </si>
  <si>
    <t>Porta esponja organizador de lavaplatos escurridor de cocina 23.5x10x16cm</t>
  </si>
  <si>
    <t>COJHOW007</t>
  </si>
  <si>
    <t>XYCVKZ01</t>
  </si>
  <si>
    <t>Cojin lumbar espalda memory 45*38*14cm 3D mesh negro</t>
  </si>
  <si>
    <t>SECAPLA001</t>
  </si>
  <si>
    <t>XYCCFSNJ02-16</t>
  </si>
  <si>
    <t>Seca platos 2 niveles bamboo portacubiertos</t>
  </si>
  <si>
    <t>BOLSOGYM001NEG</t>
  </si>
  <si>
    <t>XYCVBB05</t>
  </si>
  <si>
    <t>Bolso deportivo 3 en 1 gimnasio negro 52 x 24 x 26cm</t>
  </si>
  <si>
    <t>MENNT001</t>
  </si>
  <si>
    <t>XYCMENNT01</t>
  </si>
  <si>
    <t>Carry On expandable Bagpack-L</t>
  </si>
  <si>
    <t>MENNT002</t>
  </si>
  <si>
    <t>XYCMENNT02</t>
  </si>
  <si>
    <t>Carry On expandable Bagpack-S</t>
  </si>
  <si>
    <t>SABPERRO004CARB</t>
  </si>
  <si>
    <t>XYXGND02G</t>
  </si>
  <si>
    <t>Sabanillas Para Perro Carbon 60x60 Duke 6 Capas 40U</t>
  </si>
  <si>
    <t>SABPERRO005CARB</t>
  </si>
  <si>
    <t>XYXGND03</t>
  </si>
  <si>
    <t>Sabanillas Para Perro Carbon 60x90 Duke 6 Capas 40U</t>
  </si>
  <si>
    <t>CARPACAM001</t>
  </si>
  <si>
    <t>GB-105-3</t>
  </si>
  <si>
    <t>Carpa Camping 210T polyester medida 2.5 x 2.2 x 1.4 metros 4 a 5 personas</t>
  </si>
  <si>
    <t>CARPACAM002</t>
  </si>
  <si>
    <t>GB-123-3</t>
  </si>
  <si>
    <t>Carpa Camping 210D oxford medida 3 x 3 x 2 metros 6 personas</t>
  </si>
  <si>
    <t>CAMZEK007</t>
  </si>
  <si>
    <t>XYC25SXT04</t>
  </si>
  <si>
    <t>Cámara interior doble lente 2MP</t>
  </si>
  <si>
    <t>CAMZEK008</t>
  </si>
  <si>
    <t>XYC25SXT12</t>
  </si>
  <si>
    <t>Cámara exterior domo 2MP</t>
  </si>
  <si>
    <t>CAMZEK009</t>
  </si>
  <si>
    <t>XYC25SXT15</t>
  </si>
  <si>
    <t>Cámara tripe 2MP</t>
  </si>
  <si>
    <t>MANGPIS002</t>
  </si>
  <si>
    <t>XYCYCZB01</t>
  </si>
  <si>
    <t>Manguera Para Piscina 15m Limpiafondos Homely PVC 38mm</t>
  </si>
  <si>
    <t>AMPOLLE001</t>
  </si>
  <si>
    <t>XYCFWDP01</t>
  </si>
  <si>
    <t>Ampolleta Inteligente Led RGB APP Tuya</t>
  </si>
  <si>
    <t>MOSCOWX2001</t>
  </si>
  <si>
    <t>XYCTB01</t>
  </si>
  <si>
    <t>Set 2 mug moscow mule + accesorios</t>
  </si>
  <si>
    <t>BARRALED001</t>
  </si>
  <si>
    <t>XYCGYD02</t>
  </si>
  <si>
    <t>Luz barra Led 30cm Portátil sensor de movimiento negra</t>
  </si>
  <si>
    <t>FELLOW006NEG</t>
  </si>
  <si>
    <t>XYCBWB03</t>
  </si>
  <si>
    <t>Termo Botella Termica By Fellow Mug Cafe Agua 580ml Negro</t>
  </si>
  <si>
    <t>LAMPARAMES001</t>
  </si>
  <si>
    <t>XYCTD01</t>
  </si>
  <si>
    <t>Lampara Led Aluminio panel touch color negro</t>
  </si>
  <si>
    <t>SABADULT001</t>
  </si>
  <si>
    <t>XYCCRHLD04</t>
  </si>
  <si>
    <t>Sabanilla Adulto Protector Cama 90x60cm 40 unidades</t>
  </si>
  <si>
    <t>MCH-1</t>
  </si>
  <si>
    <t>XYCXKR01</t>
  </si>
  <si>
    <t>Crosshairs</t>
  </si>
  <si>
    <t>MCH-2</t>
  </si>
  <si>
    <t>XYCXKR02</t>
  </si>
  <si>
    <t>MCH-3</t>
  </si>
  <si>
    <t>XYCXKR03</t>
  </si>
  <si>
    <t>ECTRIC AIR-DRYER</t>
  </si>
  <si>
    <t>MCH-4</t>
  </si>
  <si>
    <t>XYCXKR04</t>
  </si>
  <si>
    <t>Door stop set of 2</t>
  </si>
  <si>
    <t>MCH-5</t>
  </si>
  <si>
    <t>XYCXKR05</t>
  </si>
  <si>
    <t>Cross-shaped screwdriver set</t>
  </si>
  <si>
    <t>MCH-6</t>
  </si>
  <si>
    <t>XYCXKR06</t>
  </si>
  <si>
    <t>magnetic adhesive tape</t>
  </si>
  <si>
    <t>MCH-7</t>
  </si>
  <si>
    <t>XYCXKR07</t>
  </si>
  <si>
    <t>Suction cup</t>
  </si>
  <si>
    <t>MCH-8</t>
  </si>
  <si>
    <t>XYCXKR08</t>
  </si>
  <si>
    <t>Table leg protective pad</t>
  </si>
  <si>
    <t>MCH-9</t>
  </si>
  <si>
    <t>XYCXKR09</t>
  </si>
  <si>
    <t>Multi-purpose Knife</t>
  </si>
  <si>
    <t>MCH-10</t>
  </si>
  <si>
    <t>12-line level</t>
  </si>
  <si>
    <t>12 nivel laser</t>
  </si>
  <si>
    <t>MCH-11</t>
  </si>
  <si>
    <t>XYCXKR12</t>
  </si>
  <si>
    <t>Torque Wrench Set</t>
  </si>
  <si>
    <t>CORTROL002</t>
  </si>
  <si>
    <t>RAI01-05-13</t>
  </si>
  <si>
    <t>Cortina roller zebra blanca 150 x 200 cm</t>
  </si>
  <si>
    <t>MONCUR32</t>
  </si>
  <si>
    <t>F32-</t>
  </si>
  <si>
    <t>Monitor Gamer Curvo 32 Pulgadas Hosser FHD Gaming Monitor</t>
  </si>
  <si>
    <t>CUCHI001</t>
  </si>
  <si>
    <t>XYCCD08</t>
  </si>
  <si>
    <t>Cuchillo chef 8 pulgadas acero inoxidable</t>
  </si>
  <si>
    <t>AREGAT002</t>
  </si>
  <si>
    <t>XYCMS05KG</t>
  </si>
  <si>
    <t>Arena para gato 5 kilos duke</t>
  </si>
  <si>
    <t>AREGAT003</t>
  </si>
  <si>
    <t>XYCMS10KG</t>
  </si>
  <si>
    <t>Arena para gato 10 kilos duke</t>
  </si>
  <si>
    <t>LINTAC002</t>
  </si>
  <si>
    <t>XYCSD003</t>
  </si>
  <si>
    <t>Linterna aluminio 1500 lumens 2.5 x 2.5 x 11.3cm recargable</t>
  </si>
  <si>
    <t>SILLOFIPIES</t>
  </si>
  <si>
    <t>XYCBGDJY15</t>
  </si>
  <si>
    <t>Silla premium escritorio reclinable con apoyapies</t>
  </si>
  <si>
    <t>MOPASPRAY001</t>
  </si>
  <si>
    <t>XYCTB04</t>
  </si>
  <si>
    <t>Mopa plana con spray pulverizador microfibra</t>
  </si>
  <si>
    <t>MOPABALDE001</t>
  </si>
  <si>
    <t>XYCTB03</t>
  </si>
  <si>
    <t>Mopa plana con balde plegable</t>
  </si>
  <si>
    <t>SILLBAR003</t>
  </si>
  <si>
    <t>XYCSJBY02</t>
  </si>
  <si>
    <t>Silla De Bar Piso Taburete Homely 60-80CM - Negro</t>
  </si>
  <si>
    <t>SETCUCHI001</t>
  </si>
  <si>
    <t>XYCCD03</t>
  </si>
  <si>
    <t xml:space="preserve">Set cuchillos cocina acero inoxidable </t>
  </si>
  <si>
    <t>TROTAELEC001</t>
  </si>
  <si>
    <t>YXT002</t>
  </si>
  <si>
    <t>Trotadora eléctrica Overfit 2HP color negro</t>
  </si>
  <si>
    <t>FUNDASOFAIND001</t>
  </si>
  <si>
    <t>XYCSFD03</t>
  </si>
  <si>
    <t xml:space="preserve">Funda Cubre Sofá Protectora 1 cuerpo color </t>
  </si>
  <si>
    <t>FUNDAFUTON001</t>
  </si>
  <si>
    <t>XYCSFD07</t>
  </si>
  <si>
    <t>Funda Cubre Futon elasticada color</t>
  </si>
  <si>
    <t>TOPPERDOSP001</t>
  </si>
  <si>
    <t>XYCCSYPX06</t>
  </si>
  <si>
    <t>Cubre colchón topper acolchado 2 plazas</t>
  </si>
  <si>
    <t>TOPPER15P001</t>
  </si>
  <si>
    <t>XYCCSYPX07</t>
  </si>
  <si>
    <t>Cubre colchón topper acolchado 1.5 plazas</t>
  </si>
  <si>
    <t>CUBCAM001-15PLAZ</t>
  </si>
  <si>
    <t>XYCCSYPX08</t>
  </si>
  <si>
    <t>Cubrecama Cobertor 1.5 plazas 90% Pluma Pecho Ganso Homely Luxury</t>
  </si>
  <si>
    <t>TIRANEON5M001</t>
  </si>
  <si>
    <t>XYCDD01-5</t>
  </si>
  <si>
    <t>Tira Luz Led Neon 5 metros app tuya</t>
  </si>
  <si>
    <t>RAI-001-01</t>
  </si>
  <si>
    <t>XYCMCH201</t>
  </si>
  <si>
    <t>69.3mm long bronce eccentric 1pc</t>
  </si>
  <si>
    <t>RAI-001-02</t>
  </si>
  <si>
    <t>XYCMCH202</t>
  </si>
  <si>
    <t>set of 2 eccentric</t>
  </si>
  <si>
    <t>RAI-001-03</t>
  </si>
  <si>
    <t>XYCMCH203</t>
  </si>
  <si>
    <t>protective tape 3.8cmX3.2</t>
  </si>
  <si>
    <t>RAI-001-04</t>
  </si>
  <si>
    <t>XYCMCH204</t>
  </si>
  <si>
    <t>protective tape ,2.2cmX3.2m</t>
  </si>
  <si>
    <t>RAI-001-05</t>
  </si>
  <si>
    <t>XYCMCH205</t>
  </si>
  <si>
    <t>25 meter POM fiber</t>
  </si>
  <si>
    <t>RAI-001-06</t>
  </si>
  <si>
    <t>XYCMCH206</t>
  </si>
  <si>
    <t>15 meter POM fiber optic</t>
  </si>
  <si>
    <t>RAI-001-07</t>
  </si>
  <si>
    <t>XYCMCH207</t>
  </si>
  <si>
    <t>SDS MAX TO SDS PLUS</t>
  </si>
  <si>
    <t>RAI-001-08</t>
  </si>
  <si>
    <t>XYCMCH208</t>
  </si>
  <si>
    <t>Heavy duty cutter with extra blades</t>
  </si>
  <si>
    <t>PROTECSON001</t>
  </si>
  <si>
    <t>XYCJZES01</t>
  </si>
  <si>
    <t>Protectores auditivos reducción de sonido</t>
  </si>
  <si>
    <t>MATYOG003PUR</t>
  </si>
  <si>
    <t>XYCYG04</t>
  </si>
  <si>
    <t>Mat de yoga TPE grosor 0.8mm con líneas guía bicolor purpura</t>
  </si>
  <si>
    <t>MATYOGNBR001NEG</t>
  </si>
  <si>
    <t>XYCYG02</t>
  </si>
  <si>
    <t>Mat de yoga NBR grosor 15mm unicolor negro</t>
  </si>
  <si>
    <t>CAFETERAPREN001</t>
  </si>
  <si>
    <t>XYCJHXP03</t>
  </si>
  <si>
    <t>Cafetera prensa francesa 800ml</t>
  </si>
  <si>
    <t>PLANCHAHIER001</t>
  </si>
  <si>
    <t>XYCJHXP05</t>
  </si>
  <si>
    <t>Plancha Churrasquera cocina hierro 43.6*28*2.2CM</t>
  </si>
  <si>
    <t>BOLSABAS100L001</t>
  </si>
  <si>
    <t>XYCLJD03</t>
  </si>
  <si>
    <t>Bolsas de basura con cordón 10 unidades 75 x 90 cm</t>
  </si>
  <si>
    <t>COBLINO001</t>
  </si>
  <si>
    <t>RAI01-07-15</t>
  </si>
  <si>
    <t>Funda Cubre Asiento Ecocuero y Lino Galanta Set 5 Asientos Luxury gris</t>
  </si>
  <si>
    <t>GUIELECTROACUS001NEG</t>
  </si>
  <si>
    <t>41EQAG</t>
  </si>
  <si>
    <t>Guitarra Electroacustica Ibrah 41 Pulgadas Negra + accesorios</t>
  </si>
  <si>
    <t>GUIELECTROACUS001NEG-OUT</t>
  </si>
  <si>
    <t>41EQAG-OUT</t>
  </si>
  <si>
    <t>GUIELECNIN001ROJ</t>
  </si>
  <si>
    <t>ST30KITRD-5W</t>
  </si>
  <si>
    <t>Guitarra Eléctrica Niño 30 pulgadas Roja Blanco + accesorios</t>
  </si>
  <si>
    <t xml:space="preserve">KA-20
</t>
  </si>
  <si>
    <t>Amplificador para guitarra eléctrica 20W</t>
  </si>
  <si>
    <t>AMPLIFGUI001-OUT</t>
  </si>
  <si>
    <t>KA-20-OUT</t>
  </si>
  <si>
    <t>EKOL-01</t>
  </si>
  <si>
    <t>XYCEK01</t>
  </si>
  <si>
    <t>PROTECTOR CONTRA SALPICADURAS PARA MICROONDAS</t>
  </si>
  <si>
    <t>EKOL-02</t>
  </si>
  <si>
    <t>XYCEK02</t>
  </si>
  <si>
    <t>ÁRBOL DE NAVIDAD VERDE</t>
  </si>
  <si>
    <t>EKOL-03</t>
  </si>
  <si>
    <t>XYCEK03</t>
  </si>
  <si>
    <t xml:space="preserve">ÁRBOL DE NAVIDAD PLEGABLE NEVADO
</t>
  </si>
  <si>
    <t>EKOL-04</t>
  </si>
  <si>
    <t>XYCEK04</t>
  </si>
  <si>
    <t xml:space="preserve">Tabla de planchar
</t>
  </si>
  <si>
    <t>EKOL-05</t>
  </si>
  <si>
    <t>XYCEK11</t>
  </si>
  <si>
    <t>Film de embalaje negro</t>
  </si>
  <si>
    <t>TARJEMICROSD001</t>
  </si>
  <si>
    <t>XYCJHXP08</t>
  </si>
  <si>
    <t>Tarjeta de memoria Micro Sd 128GB con adaptador SD</t>
  </si>
  <si>
    <t>TIMBRESEG001</t>
  </si>
  <si>
    <t>DH002 4MP Wifi Doorbell</t>
  </si>
  <si>
    <t xml:space="preserve">Timbre de seguridad Inteligente Smart Doorbell </t>
  </si>
  <si>
    <t>COLCHONET001NEG</t>
  </si>
  <si>
    <t>RAI01-08-07</t>
  </si>
  <si>
    <t>Colchoneta Deportiva plegable 100x50x5cm oxford</t>
  </si>
  <si>
    <t>BOTELLAMENNT001</t>
  </si>
  <si>
    <t>MT-BT-2</t>
  </si>
  <si>
    <t>Botella Termica Mennt Tipo Owala 710ML</t>
  </si>
  <si>
    <t>GUANTESFUT001</t>
  </si>
  <si>
    <t>XYCFG03</t>
  </si>
  <si>
    <t>Guantes Arquero Futbol Con Ferula</t>
  </si>
  <si>
    <t>BOLSOGYM002NEG</t>
  </si>
  <si>
    <t>XYCVBB011</t>
  </si>
  <si>
    <t>Bolso deportivo gym overfit</t>
  </si>
  <si>
    <t>PAPFOT002</t>
  </si>
  <si>
    <t>XYCXZ004</t>
  </si>
  <si>
    <t>Papel impresion sticker A4 135gsm 100 hojas</t>
  </si>
  <si>
    <t>TUPPERVID003</t>
  </si>
  <si>
    <t>RAI25-09-01</t>
  </si>
  <si>
    <t>Set x 3 tuppers vidrio 640 ml</t>
  </si>
  <si>
    <t>PISOCAUCHO001</t>
  </si>
  <si>
    <t>RAI25-09-02</t>
  </si>
  <si>
    <t>Pack x2 piso de caucho gym 50x50x1,5cm</t>
  </si>
  <si>
    <t>DISCOBARR10KG001</t>
  </si>
  <si>
    <t>RAI25-09-03</t>
  </si>
  <si>
    <t>Set 2 Discos Pvc Preolímpicos 10 Kg</t>
  </si>
  <si>
    <t>DISCOBARR5KG001</t>
  </si>
  <si>
    <t>RAI25-09-04</t>
  </si>
  <si>
    <t>Set 2 Discos Pvc Preolímpicos 5 Kg</t>
  </si>
  <si>
    <t>TUPPERVID002</t>
  </si>
  <si>
    <t>XYCSLSNGX03I</t>
  </si>
  <si>
    <t>Tupper individual con separacion</t>
  </si>
  <si>
    <t>TENSELECTRO001</t>
  </si>
  <si>
    <t>XYCLLY02</t>
  </si>
  <si>
    <t>Tens Electroestimulador Electroterapia masaje negro</t>
  </si>
  <si>
    <t>PACKX20PARCH001</t>
  </si>
  <si>
    <t>XYCLLY02-P</t>
  </si>
  <si>
    <t>Pack x20 parches tens Electrodos Electroestimuladores</t>
  </si>
  <si>
    <t>ACCESORIOSGUITA001</t>
  </si>
  <si>
    <t>XYCJTPEJ01</t>
  </si>
  <si>
    <t>Kit De Accesorios Para Guitarra Ibrah music</t>
  </si>
  <si>
    <t>PRENSAPORTAT001NEG</t>
  </si>
  <si>
    <t>XYCFY01</t>
  </si>
  <si>
    <t>Travel Prensa Francesa portable 500 Ml Color Negro</t>
  </si>
  <si>
    <t>TERMOALIMEN001BLA</t>
  </si>
  <si>
    <t>XYCFH02</t>
  </si>
  <si>
    <t>Termo Comida y líquido 800 + 400 Ml Acero Inoxidable</t>
  </si>
  <si>
    <t>MN4-01</t>
  </si>
  <si>
    <t>XYCMN411</t>
  </si>
  <si>
    <t>Protector de Termostato con Cerradura</t>
  </si>
  <si>
    <t>MN4-02</t>
  </si>
  <si>
    <t>XYCMN405</t>
  </si>
  <si>
    <t>Botella de agua colores</t>
  </si>
  <si>
    <t>MN4-03</t>
  </si>
  <si>
    <t>GR002</t>
  </si>
  <si>
    <t>Funda colchón bebé</t>
  </si>
  <si>
    <t>PAPELOPALI001</t>
  </si>
  <si>
    <t>XYCDYZ02</t>
  </si>
  <si>
    <t>Papel Opalina Lisa Blanca A4 Pack 50 Hojas 220 Gr</t>
  </si>
  <si>
    <t>CUBREAUTO001</t>
  </si>
  <si>
    <t>XYCQCZ01</t>
  </si>
  <si>
    <t>Carpa Cubre Auto talla XL impermeable protección interior</t>
  </si>
  <si>
    <t>HQC-10</t>
  </si>
  <si>
    <t>Batería electrónica profesional MIDI color negro</t>
  </si>
  <si>
    <t>FVKITBK-20W</t>
  </si>
  <si>
    <t>Guitarra eléctrica FV 39" color negro + amplificador + accesorios</t>
  </si>
  <si>
    <t>BGKITBK-20W</t>
  </si>
  <si>
    <t>Guitarra eléctrica BG 39" color negro + amplificador + accesorios</t>
  </si>
  <si>
    <t>RAI25-11-001</t>
  </si>
  <si>
    <t>Frazada king medida 250x230cm 300GSM color azul</t>
  </si>
  <si>
    <t>RAI25-11-002</t>
  </si>
  <si>
    <t>Frazada king medida 250x230cm 300GSM color gris</t>
  </si>
  <si>
    <t>RAI25-11-003</t>
  </si>
  <si>
    <t>Frazada Queen medida 220x220cm 300GSM color azul</t>
  </si>
  <si>
    <t>RAI25-11-004</t>
  </si>
  <si>
    <t>Frazada Queen medida 220x220cm 300GSM color gris</t>
  </si>
  <si>
    <t>YM188</t>
  </si>
  <si>
    <t>Piano eléctrico 61 Teclas USB/MIDI teclado musical</t>
  </si>
  <si>
    <t>XYCJSD01</t>
  </si>
  <si>
    <t>Banco para ejercicios ajustable multifuncional</t>
  </si>
  <si>
    <t>XYCQBPJ03</t>
  </si>
  <si>
    <t>Funda Para Guitarra 41 Pulgadas Ibrah</t>
  </si>
  <si>
    <t>CAMZEK0043MP</t>
  </si>
  <si>
    <t>XYCSXT01-3MP</t>
  </si>
  <si>
    <t>Cámara De Seguridad 2.4 Zeker Doble Exterior Impermeable (3MP+3MP)</t>
  </si>
  <si>
    <t>F27-</t>
  </si>
  <si>
    <t>Monitor Gamer curvo 27 pulgadas 165 Hz 1ms</t>
  </si>
  <si>
    <t>F34-</t>
  </si>
  <si>
    <t>Monitor Gamer curvo 34 pulgadas 165 Hz 1ms</t>
  </si>
  <si>
    <t>YXT009</t>
  </si>
  <si>
    <t>Trotadora eléctrica Overfit pro 12km/hr 2HP inclinación</t>
  </si>
  <si>
    <t>YXT002N</t>
  </si>
  <si>
    <t>Trotadora eléctrica Overfit 8km/hr 1,5HP</t>
  </si>
  <si>
    <t xml:space="preserve">IB-38C </t>
  </si>
  <si>
    <t>Guitarra acustica Cutaway Ibrah 38 pulgadas + accesorios negra</t>
  </si>
  <si>
    <t>2501-1 ELECTRIC PUILT IN PUMP</t>
  </si>
  <si>
    <t>Mochila bomba al vacío incluida 900D 40 litros negra</t>
  </si>
  <si>
    <t>2503-1 ELECTRIC PUILT IN PUMP</t>
  </si>
  <si>
    <t>Mochila bomba al vacío incluida 900D 42 litros negra</t>
  </si>
  <si>
    <t>2408-1 ELECTRIC PUILT IN PUMP REMOVABLE</t>
  </si>
  <si>
    <t>Mochila bomba al vacío incluida 900D 32 litros negra</t>
  </si>
  <si>
    <t>Mochila 900D 40 litros verde olivo</t>
  </si>
  <si>
    <t>Mochila 900D 28 litros negra</t>
  </si>
  <si>
    <t>Disco de pesa olímpica 5 kg</t>
  </si>
  <si>
    <t>Disco de pesa olímpica 10 kg</t>
  </si>
  <si>
    <t>Disco de pesa olímpica 15 kg</t>
  </si>
  <si>
    <t>Disco de pesa olímpica 20 kg</t>
  </si>
  <si>
    <t>Mancuernas Cromadas 30kg Ajustables</t>
  </si>
  <si>
    <t>Barra olímpica hexagonal 23 kg</t>
  </si>
  <si>
    <t>XYCDRT004</t>
  </si>
  <si>
    <t>Calienta camas 2 plazas 160 x 150 cm dual</t>
  </si>
  <si>
    <t>XYCDRT005</t>
  </si>
  <si>
    <t>Calienta camas king 180 x 200 cm dual</t>
  </si>
  <si>
    <t>RAI25-11-005</t>
  </si>
  <si>
    <t>Almohada Viscoelástica Memory Negra</t>
  </si>
  <si>
    <t>RAI25-11-006</t>
  </si>
  <si>
    <t>Silla De Ruedas Adulto Mayor Plegable</t>
  </si>
  <si>
    <t>RAI25-11-007</t>
  </si>
  <si>
    <t>RAI25-11-008</t>
  </si>
  <si>
    <t>RAI25-11-009</t>
  </si>
  <si>
    <t>MCH-12</t>
  </si>
  <si>
    <t>MCH401</t>
  </si>
  <si>
    <t>Concrete Drill Bits</t>
  </si>
  <si>
    <t>MCH-13</t>
  </si>
  <si>
    <t>MCH406-2</t>
  </si>
  <si>
    <t>Cross Drill Bit SDS Plus</t>
  </si>
  <si>
    <t>MCH-14</t>
  </si>
  <si>
    <t>MCH409-2</t>
  </si>
  <si>
    <t>Torque wrench</t>
  </si>
  <si>
    <t>RAI25-12-001</t>
  </si>
  <si>
    <t>Pack ukelele caoba Ibrah Music + Funda + Accesorios</t>
  </si>
  <si>
    <t>Q7</t>
  </si>
  <si>
    <t>Bicicleta de Spinning Estática 4 kg negra-roja</t>
  </si>
  <si>
    <t>Bicicleta de Spinning Estática 6 kg negra-amarilla</t>
  </si>
  <si>
    <t>305 Magnetic</t>
  </si>
  <si>
    <t>Bicicleta de Spinning Estática 6 kg magnética negra-amarilla</t>
  </si>
  <si>
    <t>BG-710b</t>
  </si>
  <si>
    <t>Kit glucómetro + 10 tiras + 10 lancetas Howell</t>
  </si>
  <si>
    <t>BS-602</t>
  </si>
  <si>
    <t>Pack 50 Tiras Reactivas glucómetro Howell</t>
  </si>
  <si>
    <t>Blood Lancets</t>
  </si>
  <si>
    <t>Pack 50 Lancetas glucómetro Howell</t>
  </si>
  <si>
    <t>RAI25-12-002</t>
  </si>
  <si>
    <t>Colchoneta Deportiva lisa 100x50x5cm oxford</t>
  </si>
  <si>
    <t>N493-01</t>
  </si>
  <si>
    <t>Tiras Nasales Parche dilatador 30 unidades</t>
  </si>
  <si>
    <t>PRA-20</t>
  </si>
  <si>
    <t xml:space="preserve">Amplificador para bajo eléctrico 20W </t>
  </si>
  <si>
    <t>ST39KITBKL-20W</t>
  </si>
  <si>
    <t>Guitarra Eléctrica Strato zurdos Amplificador + Accesorios Negra</t>
  </si>
  <si>
    <t>ST39KITRD-20W</t>
  </si>
  <si>
    <t>Guitarra Eléctrica Strato Amplificador + Accesorios Roja-negra</t>
  </si>
  <si>
    <t>AVAK01</t>
  </si>
  <si>
    <t>Cuchillo Santoku 7 pulgadas acero inoxidable</t>
  </si>
  <si>
    <t>XYCYG02-PINK</t>
  </si>
  <si>
    <t>Mat de yoga NBR grosor 15mm unicolor rosado</t>
  </si>
  <si>
    <t>XYCYG04-Black</t>
  </si>
  <si>
    <t>Mat de yoga TPE grosor 0.8mm con líneas guía bicolor negro</t>
  </si>
  <si>
    <t>XYCTD02-Black</t>
  </si>
  <si>
    <t>Lampara doble Led Aluminio panel touch color negro</t>
  </si>
  <si>
    <t>XYCGYD02-White</t>
  </si>
  <si>
    <t>MCH-15</t>
  </si>
  <si>
    <t>MCH06-1</t>
  </si>
  <si>
    <t>Star-shaped wrench</t>
  </si>
  <si>
    <t>MCH-16</t>
  </si>
  <si>
    <t>MCH06-6</t>
  </si>
  <si>
    <t>Aluminium level with magnetic back side 300 ml</t>
  </si>
  <si>
    <t>MCH-17</t>
  </si>
  <si>
    <t>MCH06-7</t>
  </si>
  <si>
    <t>Aluminium level with magnetic back side 400 mm</t>
  </si>
  <si>
    <t>MCH-18</t>
  </si>
  <si>
    <t>MCH06-8</t>
  </si>
  <si>
    <t>Aluminium level with magnetic back side 500mm</t>
  </si>
  <si>
    <t>MCH-19</t>
  </si>
  <si>
    <t>MCH06-9</t>
  </si>
  <si>
    <t>Aluminium level with magnetic back side 600mm</t>
  </si>
  <si>
    <t>AVA-N503-1</t>
  </si>
  <si>
    <t>AVA-N503-2</t>
  </si>
  <si>
    <t>AVA-N503-3</t>
  </si>
  <si>
    <t>YC-912B</t>
  </si>
  <si>
    <t>XYCCD07</t>
  </si>
  <si>
    <t>Adult wipes</t>
  </si>
  <si>
    <t>Baby wet wipes</t>
  </si>
  <si>
    <t>XYCDYZ03T</t>
  </si>
  <si>
    <t>RAI26-01-001</t>
  </si>
  <si>
    <t>RAI26-01-002</t>
  </si>
  <si>
    <t>RAI26-01-003</t>
  </si>
  <si>
    <t>RAI26-01-004</t>
  </si>
  <si>
    <t>RAI26-01-005</t>
  </si>
  <si>
    <t>RAI26-01-006</t>
  </si>
  <si>
    <t>RAI26-01-007</t>
  </si>
  <si>
    <t>RAI26-01-008</t>
  </si>
  <si>
    <t>MN7</t>
  </si>
  <si>
    <t>MN7-2</t>
  </si>
  <si>
    <t>Caja joyas cartulina dúplex</t>
  </si>
  <si>
    <t>AVA-N502-1</t>
  </si>
  <si>
    <t>Cafetera prensa francesa 600ml + dosificador</t>
  </si>
  <si>
    <t>AVA-N509-1</t>
  </si>
  <si>
    <t>AVA-N508-1</t>
  </si>
  <si>
    <t>RAI26-01-009</t>
  </si>
  <si>
    <t>N487-01</t>
  </si>
  <si>
    <t>AVA-N505-1</t>
  </si>
  <si>
    <t>AVA-N513-07</t>
  </si>
  <si>
    <t>RAI26-01-010</t>
  </si>
  <si>
    <t>BASS43"BLACK</t>
  </si>
  <si>
    <t>ELECTROACUSTIC12STRINGS</t>
  </si>
  <si>
    <t>RAI26-02-001</t>
  </si>
  <si>
    <t>RAI26-02-002</t>
  </si>
  <si>
    <t>RAI26-02-003</t>
  </si>
  <si>
    <t>RAI26-02-004</t>
  </si>
  <si>
    <t>AVA-N516-9</t>
  </si>
  <si>
    <t>AVA-N513-052</t>
  </si>
  <si>
    <t>RAI26-03-001</t>
  </si>
  <si>
    <t>RAI26-03-002</t>
  </si>
  <si>
    <t>AVA-N516-5</t>
  </si>
  <si>
    <t>AVA-N516-84</t>
  </si>
  <si>
    <t>XYCSNTZ008-Black</t>
  </si>
  <si>
    <t>AVA-N531-1</t>
  </si>
  <si>
    <t>EKOL-06</t>
  </si>
  <si>
    <t>ZH06</t>
  </si>
  <si>
    <t>Cinturón militar negro</t>
  </si>
  <si>
    <t>EKOL-07</t>
  </si>
  <si>
    <t>ZH07</t>
  </si>
  <si>
    <t>Cinturón para exteriores negro</t>
  </si>
  <si>
    <t>EKOL-08</t>
  </si>
  <si>
    <t>ZH11</t>
  </si>
  <si>
    <t>Toalla microfibra 40x40 azul</t>
  </si>
  <si>
    <t>EKOL-09</t>
  </si>
  <si>
    <t>ZH19</t>
  </si>
  <si>
    <t>Kit primera capa negro</t>
  </si>
  <si>
    <t>EKOL-10</t>
  </si>
  <si>
    <t>ZH40</t>
  </si>
  <si>
    <t>Cinta adhesiva fragil</t>
  </si>
  <si>
    <t>GT-EKOL-01</t>
  </si>
  <si>
    <t>RAI26-03-003</t>
  </si>
  <si>
    <t>Caja regalo accesorios hombre</t>
  </si>
  <si>
    <t>GT-EKOL-03</t>
  </si>
  <si>
    <t>RAI26-03-004</t>
  </si>
  <si>
    <t>Botiquin primeros auxilios</t>
  </si>
  <si>
    <t>GT-EKOL-05</t>
  </si>
  <si>
    <t>RAI26-03-005</t>
  </si>
  <si>
    <t>Balaclava textil completa</t>
  </si>
  <si>
    <t>GT-EKOL-06</t>
  </si>
  <si>
    <t>RAI26-03-006</t>
  </si>
  <si>
    <t>Balaclava textil nariz boca</t>
  </si>
  <si>
    <t>LUCESTRAILER001</t>
  </si>
  <si>
    <t>AVAMN-8-02</t>
  </si>
  <si>
    <t>Luces trailer</t>
  </si>
  <si>
    <t>CEPILLOPARRILLA001</t>
  </si>
  <si>
    <t>AVAMN-8-06</t>
  </si>
  <si>
    <t>Cepillo limpieza parrilla</t>
  </si>
  <si>
    <t>BASEBANOBEBE001</t>
  </si>
  <si>
    <t>AVAMN-8-07</t>
  </si>
  <si>
    <t>Base de baño bebe</t>
  </si>
  <si>
    <t>GUANTEMASAJEADOR001</t>
  </si>
  <si>
    <t>AVAMN-8-08</t>
  </si>
  <si>
    <t>Guante masajeador manos</t>
  </si>
  <si>
    <t>TRICICLONINO001</t>
  </si>
  <si>
    <t>AVAMN-8-15</t>
  </si>
  <si>
    <t>Triciclo niños negro verde</t>
  </si>
  <si>
    <t>RAI26-03-007</t>
  </si>
  <si>
    <t>AVAN526-12</t>
  </si>
  <si>
    <t>AVAN526-20</t>
  </si>
  <si>
    <t>AVA-N522-M</t>
  </si>
  <si>
    <t>AVA-N522-3</t>
  </si>
  <si>
    <t>AVAAG20KGLI</t>
  </si>
  <si>
    <t>Arena para gato 20 kilos duke aroma Limon</t>
  </si>
  <si>
    <t>AVA-N521X-2</t>
  </si>
  <si>
    <t>AVA-N517-XF</t>
  </si>
  <si>
    <t>RAI26-04-001</t>
  </si>
  <si>
    <t>MENNTB2B</t>
  </si>
  <si>
    <t>Mochila Mennt with #3 linin</t>
  </si>
  <si>
    <t>Peso Kg</t>
  </si>
  <si>
    <t>Hasta $9.989</t>
  </si>
  <si>
    <t>De $9.990 a $19.989</t>
  </si>
  <si>
    <t>Desde $19.990</t>
  </si>
  <si>
    <t>explicacion de formula</t>
  </si>
  <si>
    <t>La fórmula selecciona el peso más alto entre el físico y el volumétrico y, si alcanza un límite exacto, salta automáticamente al siguiente escalón para cruzarlo con el valor del producto y extraer el costo de envío correcto de la tabla.</t>
  </si>
  <si>
    <t>Nombre</t>
  </si>
  <si>
    <t>Categoría</t>
  </si>
  <si>
    <t>Velocidad Semanal</t>
  </si>
  <si>
    <t>W12</t>
  </si>
  <si>
    <t>W13</t>
  </si>
  <si>
    <t>W14</t>
  </si>
  <si>
    <t>W15</t>
  </si>
  <si>
    <t>W16</t>
  </si>
  <si>
    <t>W17</t>
  </si>
  <si>
    <t>Promedio</t>
  </si>
  <si>
    <t>Stock Total</t>
  </si>
  <si>
    <t xml:space="preserve">Actualizado </t>
  </si>
  <si>
    <t>A</t>
  </si>
  <si>
    <t>B</t>
  </si>
  <si>
    <t>como actualizar?</t>
  </si>
  <si>
    <r>
      <rPr>
        <rFont val="Arial"/>
        <color theme="1"/>
      </rPr>
      <t xml:space="preserve">pegar data exportada de la app desde velocidad de ventas con filtro de ultima </t>
    </r>
    <r>
      <rPr>
        <rFont val="Arial"/>
        <b/>
        <color theme="1"/>
      </rPr>
      <t>5 semanas</t>
    </r>
    <r>
      <rPr>
        <rFont val="Arial"/>
        <color theme="1"/>
      </rPr>
      <t xml:space="preserve"> en </t>
    </r>
    <r>
      <rPr>
        <rFont val="Arial"/>
        <b/>
        <color theme="1"/>
      </rPr>
      <t>A1</t>
    </r>
  </si>
  <si>
    <t>Alfombra Antigolpes Bebe Plegable BabyNest 180x190x1 Jirafa</t>
  </si>
  <si>
    <t>F</t>
  </si>
  <si>
    <t>Alfombra Antigolpes Bebe Plegable BabyNest 180x190x1cm</t>
  </si>
  <si>
    <t>C</t>
  </si>
  <si>
    <t>Arena Para Gato 20 Kilos Duke Bentonita Aglutinante Lavanda</t>
  </si>
  <si>
    <t>Atril Teclado Ibrah Music Ajustable Universal</t>
  </si>
  <si>
    <t>Audifonos Bluetooth In Ear Hosser 35mAh Cancelación de Ruido</t>
  </si>
  <si>
    <t>Bajo Eléctrico Ibrah 4 Cuerdas + Amplificador 20W + Acces</t>
  </si>
  <si>
    <t>Barra Preolimpica Z 6.5 kg Overfit 120 cm Cromada Fitness</t>
  </si>
  <si>
    <t>Barra Preolimpica Recta 4.6 kg Overfit 120Cm Cromada Fitness</t>
  </si>
  <si>
    <t>Barra Olimpica Recta Overfit 20kg 220Cm Cromada Fitness</t>
  </si>
  <si>
    <t>Bicicleta de Spinning Estática Profesional Ejercicio</t>
  </si>
  <si>
    <t>Bicicleta de Spinning Pro Overfit Estática Fitness Gym</t>
  </si>
  <si>
    <t>Bidet Ducha Homely Wc Inodoro Set Universal Flujo Ajustable</t>
  </si>
  <si>
    <t>Bolso Porta Equipaje Techo Galanta Auto 550L Impermeable</t>
  </si>
  <si>
    <t>Bolsas Organizadoras Maleta Viaje Homely Set 8 Bolsas</t>
  </si>
  <si>
    <t>Set 142 Herramientas Manuales Combinadas Mecánicas Dados</t>
  </si>
  <si>
    <t>Camilla De Masajes Blanca Portátil Howell Plegable + Bolso</t>
  </si>
  <si>
    <t>Cama Para Perro Mascotas Antiestres Lavable Duke Talla S</t>
  </si>
  <si>
    <t>Cama de perro talla M The Duke Company 62 x 62 x 22 cm beige</t>
  </si>
  <si>
    <t>Cama de perro cuadrada Duke talla M 73 x 50 x 16 cm Gris</t>
  </si>
  <si>
    <t>Cámara de Seguridad Wifi Exterior Impermeable Zeker 2MP 5G</t>
  </si>
  <si>
    <t>Camara De Seguridad Solar Vigilancia Exterior Doble Zeker</t>
  </si>
  <si>
    <t>Funda Cubre Asiento Galanta Ecocuero Set 5 Asientos Luxury</t>
  </si>
  <si>
    <t>Cojín Ortopédico Asiento y Espalda Lumbar 2 en 1 Howell</t>
  </si>
  <si>
    <t>Cojín Lumbar Ortopédico Viscoelástico Howell Asiento</t>
  </si>
  <si>
    <t>Cojín Lumbar Ortopédico Para Espalda Howell Soporte Dorsal</t>
  </si>
  <si>
    <t>Cojín Maternal de Lactancia Embarazadas Almohada Howell</t>
  </si>
  <si>
    <t>Colchon Memory Foam Espuma Viscoelastica 20cm Howell 2 Plaz</t>
  </si>
  <si>
    <t>Colchoneta Inflable Individual Camping Overfit Light 5cm</t>
  </si>
  <si>
    <t>Colchoneta Inflable Individual Camping Overfit Light 10cm</t>
  </si>
  <si>
    <t>Colchon Memory Foam Espuma Viscoelastica 20cm Howell 1 Plaz</t>
  </si>
  <si>
    <t>Cojín Almohada Ortopédica Original Para Piernas</t>
  </si>
  <si>
    <t>Cortinas Roller Duo 100% Dia y Noche Zebra 120x200cm Homely</t>
  </si>
  <si>
    <t>Cubrecama Cobertor 2 Plazas 90% Pluma Pecho Ganso Homely Lux</t>
  </si>
  <si>
    <t>Cubre Colchon Bambu Cobertor Impermeable King</t>
  </si>
  <si>
    <t>Cubre Colchon Bambu Cobertor Impermeable Queen</t>
  </si>
  <si>
    <t>Cubre Colchon Bambu Cobertor Impermeable Varios Tamaños</t>
  </si>
  <si>
    <t>Escalera Plegable De Acero 2 Peldaños Homely Piso Escalera</t>
  </si>
  <si>
    <t>Freidora de Aire Kasser Air Fryer XL 6L Cocina Sin Aceite</t>
  </si>
  <si>
    <t>Vaso Térmico 1,2L Electra By Fellow Mug Tumblr Bombilla</t>
  </si>
  <si>
    <t>Termo Vaso Mug Juniper Térmico By Fellow 1.2L Acero Inox 304</t>
  </si>
  <si>
    <t>Termo Vaso Mug Térmico 1.2L Juniper By Fellow Acero Inox 304</t>
  </si>
  <si>
    <t>Termo Botella Termica Astra By Fellow Mug Cafe Agua 800ML</t>
  </si>
  <si>
    <t>Termo Botella Termica Astra By Fellow Mug Agua Cafe 800ML</t>
  </si>
  <si>
    <t>Termo Botella Termica Tauri By Fellow Mug Cafe Agua 800ML</t>
  </si>
  <si>
    <t>Frazada Polar Termica 2 Plazas Homely Manta 150x200cm Beige</t>
  </si>
  <si>
    <t>Frazada Polar Termica 2 Plazas Homely Manta 150x200cm Azul</t>
  </si>
  <si>
    <t>Frazada Polar Termica 2 Plazas Homely Manta 150x200cm Gris</t>
  </si>
  <si>
    <t>Frazada Polar Termica King Homely Manta 200x200cm Beige</t>
  </si>
  <si>
    <t>Frazada Polar Termica King Homely Manta 200x200cm Azul</t>
  </si>
  <si>
    <t>Frazada Polar Termica King Homely Manta 200x200cm Gris</t>
  </si>
  <si>
    <t>Funda Teclado 61 Teclas Ibrah Music Impermeable Acolchonado</t>
  </si>
  <si>
    <t>Guitarra Eléctrica Stratocaster Ibrah + Amplif + Accesorios</t>
  </si>
  <si>
    <t>Pistola Masajes Howell EVO 6 Masajeador Muscular Portátil</t>
  </si>
  <si>
    <t>Linterna Led Largo Alcance Tactica Recargable Overfit 1500LM</t>
  </si>
  <si>
    <t>Llave Impacto 350N/M Colton + Accesorios + 2 Baterías</t>
  </si>
  <si>
    <t>Set Mancuernas + Barra + Kettlebell Unibles Overfit 10kg</t>
  </si>
  <si>
    <t>Mancuerna Hexagonal 10KG Par Set X2 Pesas PVC 20KG Overfit</t>
  </si>
  <si>
    <t>Set Mancuernas + Barra + Kettlebell Unibles Overfit 15kg</t>
  </si>
  <si>
    <t>Set Mancuernas + Barra + Kettlebell Unibles Overfit 20kg</t>
  </si>
  <si>
    <t>Set Mancuernas + Barra + Kettlebell Unibles Overfit 30kg</t>
  </si>
  <si>
    <t>Mancuerna Hexagonal 5KG Par Set X2 Pesas PVC 10KG Overfit</t>
  </si>
  <si>
    <t>Mancuerna Hexagonal 5kg Acero y Caucho Overfit</t>
  </si>
  <si>
    <t>Mancuerna Hexagonal 7.5kg Acero y Caucho Overfit</t>
  </si>
  <si>
    <t>Manta De Gravedad Pesada Howell Queen 12KG Trastornos Sueño</t>
  </si>
  <si>
    <t>Manta De Gravedad Pesada Howell Queen 15KG Trastornos Sueño</t>
  </si>
  <si>
    <t>Mat Yoga TPE 6mm Overfit Alfombra Ejercicio Pilates Bicolor</t>
  </si>
  <si>
    <t>Mat Yoga TPE 6mm Overfit Alfombra Alfombra Pilates Bicolor</t>
  </si>
  <si>
    <t>Silla Mecedora Eléctrica Nido Debebé SwingIt Musica Luces</t>
  </si>
  <si>
    <t>Mochila De Viaje Luxgear NomadLife Impermeable Cabina</t>
  </si>
  <si>
    <t>Mochila De Viaje Expansible Luxgear NomadLifeV2 Impermeable</t>
  </si>
  <si>
    <t>Mochila Escolar Notebook Niños Infantil Luxgear Bolso 40L</t>
  </si>
  <si>
    <t>Mochila Maleta Viaje Cabina Luxgear Notebook Impermeable 48L</t>
  </si>
  <si>
    <t>Monitor Notebook PC Plano 24 Pulgadas Hosser Full HD HDMI</t>
  </si>
  <si>
    <t>Bebé Reborn Ojos Cerrados Sweet Pea Realista Silicona 55 Cm</t>
  </si>
  <si>
    <t>Bebe Reborn Candy Muñeca Sweet Pea Realista Silicona 55 Cm</t>
  </si>
  <si>
    <t>Bebe Reborn Vestido Rosado Sweet Pea Realista Silicona 55 Cm</t>
  </si>
  <si>
    <t>Bebe Reborn Ricitos D Oro Sweet Pea Muñec Real Silicona 60cm</t>
  </si>
  <si>
    <t>Nivel Láser 16 Líneas Colton Auto + 2 Baterías + Trípode</t>
  </si>
  <si>
    <t>Kit Nvr Camaras Zeker Seguridad FHD 1080p + Disco Duro 500gb</t>
  </si>
  <si>
    <t>Teclado Musical 61 Teclas Ibrah Piano + Funda + Atril</t>
  </si>
  <si>
    <t>Ukelele Soprano Concierto Ibrah 21 Pulgadas + Accesorios</t>
  </si>
  <si>
    <t>Ukelele Soprano Concierto 21 Pulgadas Ibrah + Accesorios</t>
  </si>
  <si>
    <t>Papel Fotografico A4 Adhesivo Camara Foto Homely 50 Unidades</t>
  </si>
  <si>
    <t>D</t>
  </si>
  <si>
    <t>Papel Fotografico A4 Adhesivo Camara Foto Homely 100 Unidad</t>
  </si>
  <si>
    <t>Alfombra 4 Piso de Goma Auto Suv Galanta Universal Ajustable</t>
  </si>
  <si>
    <t>Piso de Goma Auto Suv 3 Alfombra Galanta Universal Ajustable</t>
  </si>
  <si>
    <t>Piso De Goma Eva Bebé Alfombra Babynest 10mm 60x60cm Set x8</t>
  </si>
  <si>
    <t>Set Alimentacion Silicona Bebe 10P Antideslizante BabyNest</t>
  </si>
  <si>
    <t>Power Bank 20000mah Hosser Cargador Portatil Celular Externo</t>
  </si>
  <si>
    <t>Juego de sabanas 1 Plaza Homely 100 GSM Suave 4 Piezas</t>
  </si>
  <si>
    <t>Juego de sabanas King Homely 100 GSM Suave 4 Piezas</t>
  </si>
  <si>
    <t>Juego de sabanas 2 Plazas Homely 100 GSM Suave 4 Piezas</t>
  </si>
  <si>
    <t>Juego de sabanas King Homely Suave 100 GSM 4 Piezas</t>
  </si>
  <si>
    <t>Juego De Sabanas Queen Homely Suave 100 Gsm 4 Piezas</t>
  </si>
  <si>
    <t>Sabanillas Para Perro 60x60 Duke 6 Capas Aromáticas 100U</t>
  </si>
  <si>
    <t>Sabanillas Para Perro 45x60 Duke 6 Capas Aromáticas 100u</t>
  </si>
  <si>
    <t>Saco de Dormir Termico 0 a 15 Grados Momia Overfit Camping</t>
  </si>
  <si>
    <t>Saco de Dormir Termico 0 a 15 Grados Recto Overfit Camping</t>
  </si>
  <si>
    <t>Silla Oficina Ergonómica Escritorio Gerencial Ejecutiva</t>
  </si>
  <si>
    <t>Silla Oficina Ergonómica Escritorio Ejecutiva Gerencial</t>
  </si>
  <si>
    <t>Taladro Inalámbrico Watson 36V + 2 Baterías + Accesorios</t>
  </si>
  <si>
    <t>Taladro Inalámbrico Percutor 36V + Llave Impacto Watson</t>
  </si>
  <si>
    <t>Tensiómetro Toma Presión Digital Usb Batería Howell T-300</t>
  </si>
  <si>
    <t>Tensiómetro V2 Toma Presión Digital Pro Howell Usb Bateria</t>
  </si>
  <si>
    <t>Termolaminadora Plastificadora Homely + Accesorios + Laminas</t>
  </si>
  <si>
    <t>Violin 4/4 Acustico Ibrah Music Estuche y Arco + Accesorios</t>
  </si>
  <si>
    <t>Scooter Monopatin 3 Ruedas Con Luces Kidmon Niños Plegable</t>
  </si>
  <si>
    <t>Pizarra Atril Didáctica Magnética Kidmon Doble Cara Niños</t>
  </si>
  <si>
    <t>Bicicleta Infantil Aro 16 Kidmon Ruedas de Aprendizaje Niña</t>
  </si>
  <si>
    <t>Bicicleta Infantil Aro 16 Kidmon Ruedas de Aprendizaje Niño</t>
  </si>
  <si>
    <t>Camara para niños digital Kidmon HD pantalla 2" Foto Video</t>
  </si>
  <si>
    <t>Colchón Inflable Electrico 2 Plazas Overfit Bomba Portatil</t>
  </si>
  <si>
    <t>Colchón Inflable Electrico Individual Overfit Bomba Portatil</t>
  </si>
  <si>
    <t>Toalla Microfibra Para Mascotas Duke 101 X 60 Cm Gris</t>
  </si>
  <si>
    <t>Cajas Organizadoras Set X2 Homely Tapa Tela Impermeable 22L</t>
  </si>
  <si>
    <t>Cajas Organizadoras Bajo Cama X2 Homely Carrito Ruedas 48L</t>
  </si>
  <si>
    <t>Bolsas Organizadoras Bajo Cama Set X2 Homely Contenedor 90L</t>
  </si>
  <si>
    <t>Set X2 Organizadores De Ducha Homely Acero Inoxidable</t>
  </si>
  <si>
    <t>Set X2 Organizadores De Ducha Homely Aluminio Con Adhesivos</t>
  </si>
  <si>
    <t>Camara De Seguridad Wifi Exterior Impermeable Zeker 4mp 5g</t>
  </si>
  <si>
    <t>Camara De Seguridad 5g Zeker Doble 8mp Exterior Impermeable</t>
  </si>
  <si>
    <t>Camara De Seguridad Interior Wifi Ip Zeker 4mp 5g Pan Tilt</t>
  </si>
  <si>
    <t>Cable Camara Seguridad Zeker Extensor Universal 15 Mts 12v</t>
  </si>
  <si>
    <t>Cable Camara Seguridad Zeker Extensor Universal 20 Mts 12v</t>
  </si>
  <si>
    <t>Cable Dual Camara Seguridad Zeker Extensor Poder Ethernet 5m</t>
  </si>
  <si>
    <t>Cable Camara Seguridad Zeker Dual Extensor 10M Dc + Ethernet</t>
  </si>
  <si>
    <t>Cable Conexion Tipo C Hosser 5 metros Usb 2.0 Carga Datos</t>
  </si>
  <si>
    <t>Mancuerna Hexagonal 10 Kg Acero Y Caucho Overfit</t>
  </si>
  <si>
    <t>Mancuerna Hexagonal 12.5 Kg Acero Y Caucho Overfit</t>
  </si>
  <si>
    <t>Mancuerna Hexagonal 15 kg Acero Y Caucho Overfit Fitness</t>
  </si>
  <si>
    <t>Mancuerna Hexagonal 20 kg Acero Y Caucho Overfit Fitness</t>
  </si>
  <si>
    <t>Caja Organizadora Zapatos Apilables Homely Transparente X2</t>
  </si>
  <si>
    <t>Set X 4 Bolsas organizadoras PVC transparente Homely 40 L</t>
  </si>
  <si>
    <t>Colgadores Ganchos De Ropa Homely set 50 U Antideslizante</t>
  </si>
  <si>
    <t>Colgadores Ganchos De Ropa Homely set 30 U Antideslizante</t>
  </si>
  <si>
    <t>Colgadores ganchos pantalon con pinza Homely set 30 Unidades</t>
  </si>
  <si>
    <t>Colgador de Pantalon 5 en 1 Homely Antideslizante Resistente</t>
  </si>
  <si>
    <t>Set x 7 organizadores de ducha acero inoxidable Homely</t>
  </si>
  <si>
    <t>Set x2 toallas microfibra Overfit + bolso de transporte azul</t>
  </si>
  <si>
    <t>Kit Nvr Camaras Zeker Seguridad 1080p FHD + Disco Duro 500gb</t>
  </si>
  <si>
    <t>Camara De Seguridad 2mp Para Sistema Nvr Zeker Ip66 Wifi Ext</t>
  </si>
  <si>
    <t>Funda Cubre Asiento Galanta Eco cuero Set 5 Asientos Luxury</t>
  </si>
  <si>
    <t>Guirnalda Terraza Exterior 15 Metros + 15 Ampolletas Homely</t>
  </si>
  <si>
    <t>Guirnalda Terraza Exterior 20 Metros + 20 Ampolletas Homely</t>
  </si>
  <si>
    <t>Guirnalda Terraza Exterior 10 M + 10 A Lagrima Homely</t>
  </si>
  <si>
    <t>Guirnalda Terraza Exterior 10 Metros + 10 A Esfera Homely</t>
  </si>
  <si>
    <t>Set x2 Toallas de Baño Algodon Homely 500 Gsm Cuerpo y Manos</t>
  </si>
  <si>
    <t>Silla Plegable Exterior Camping Overfit + Bolso Transporte</t>
  </si>
  <si>
    <t>Tupper Hermetico Comida Homely Vidrio Templado Set x4 3.57 L</t>
  </si>
  <si>
    <t>Almohada Viscoelástica Memory Howell Agujeros 40x60cm</t>
  </si>
  <si>
    <t>Almohada Cervical Cloudfeel Visco Howell Ortopédica Bambu</t>
  </si>
  <si>
    <t>Almohada Cervical de Viaje Howell Visco Memory + Accesorios</t>
  </si>
  <si>
    <t>Guitarra Electrica LP Ibrah + Amplif + Accesorios all black</t>
  </si>
  <si>
    <t>Set x2 Toallas de Baño Algodon Homely 350 Gsm Cuerpo y Manos</t>
  </si>
  <si>
    <t>Porta esponja escurridor Homely Organizador Lavaplato Hierro</t>
  </si>
  <si>
    <t>Cojin lumbar Ortopédico 3D Mesh Howell Espalda Memory Dorsal</t>
  </si>
  <si>
    <t>Secaplatos 2 Niveles Bamboo Homely Escurridor Portacubiertos</t>
  </si>
  <si>
    <t>Bolso Deportivo 3 en 1 Gimnasio Overfit Oxford Impermeable</t>
  </si>
  <si>
    <t>Sabanillas de Perro Carbon 60x90 Duke 6 Capas Aromaticas 40U</t>
  </si>
  <si>
    <t>CAMZEK002</t>
  </si>
  <si>
    <t>ACV001X2</t>
  </si>
  <si>
    <t>Pack X2 Almohada Con Memoria Howell 55x35CM</t>
  </si>
  <si>
    <t>CAMZEK003</t>
  </si>
  <si>
    <t>Camara de seguridad Zeker pack X3</t>
  </si>
  <si>
    <t>META001ROS</t>
  </si>
  <si>
    <t>Metalófono Cromático 25 Notas Ibrah Rosado Escolar</t>
  </si>
  <si>
    <t>MAN40KG002</t>
  </si>
  <si>
    <t>Set Mancuernas + Barra + Kettlebell Unibles Overfit 40kg</t>
  </si>
  <si>
    <t>BOQLAV001</t>
  </si>
  <si>
    <t>Boquilla Grifo Para Lavaplatos Llave Giratorio Flexible</t>
  </si>
  <si>
    <t>POLHOW002</t>
  </si>
  <si>
    <t>Poleron Manta Frazada Gigante Extra Grueso Howell Antojos</t>
  </si>
  <si>
    <t>COJHOW005</t>
  </si>
  <si>
    <t>Cojin Lumbar Viscoelástico Asiento + Cojin Espalda Howell</t>
  </si>
  <si>
    <t>SABANAS0001NEG</t>
  </si>
  <si>
    <t>Sábanas Homely King 400 Hilos Soft NEGRO</t>
  </si>
  <si>
    <t>MASHOM001</t>
  </si>
  <si>
    <t>Masajeador Profesional Hombros Cuello Espalda Relajación Spa</t>
  </si>
  <si>
    <t>COCTEL001</t>
  </si>
  <si>
    <t>Set Coctelería Juego de 12 piezas Kit Profesional Bartender</t>
  </si>
  <si>
    <t>COJASIESP001</t>
  </si>
  <si>
    <t>Cojín Ortopédico Asiento y Espalda Lumbar Howell 2 en 1</t>
  </si>
  <si>
    <t>SIERR002</t>
  </si>
  <si>
    <t>Sierra Electrica 36V 6" Portatil 2 Baterias Recargables</t>
  </si>
  <si>
    <t>Power Bands Resistencia x3 Bandas Elásticas Latex Overfit</t>
  </si>
  <si>
    <t>HUGGELNEG</t>
  </si>
  <si>
    <t>Frazada Polar Polerón Manta Sherpa Térmica Polerón De Felpa</t>
  </si>
  <si>
    <t>BALDIG001</t>
  </si>
  <si>
    <t>Balanza Digital Pesa Romana Recargable Negocios 40 kilos</t>
  </si>
  <si>
    <t>VENTIL001</t>
  </si>
  <si>
    <t>Ventilador 3 en 1 Industrial Kasser 5 Aspas 18 Pulgadas</t>
  </si>
  <si>
    <t>CAMSEG004</t>
  </si>
  <si>
    <t>Pack x2 Camara De Seguridad Inalambrica Wifi Full HD</t>
  </si>
  <si>
    <t>CAMZEK004X2</t>
  </si>
  <si>
    <t>Pack x2 Cámara De Seguridad 5G Zeker Doble 4MP Impermeable</t>
  </si>
  <si>
    <t>CABHOW001</t>
  </si>
  <si>
    <t>Cabezal Para Pistola de Masajes Howell Dual Suave Compatible</t>
  </si>
  <si>
    <t>SABANAS0001GRI</t>
  </si>
  <si>
    <t>Sábanas Homely King 400 Hilos Soft Gris</t>
  </si>
  <si>
    <t>HUGGELAZU</t>
  </si>
  <si>
    <t>MUNE001</t>
  </si>
  <si>
    <t>FRES001</t>
  </si>
  <si>
    <t>Fresadora Tupi Router Watson 1/4 42mm</t>
  </si>
  <si>
    <t>COP001X2</t>
  </si>
  <si>
    <t>Pack X2 Almohada Memory Para Piernas Cojín Ortopédico Memory</t>
  </si>
  <si>
    <t>CAMZEKINA002</t>
  </si>
  <si>
    <t>Pack x2 Cámara de Seguridad Wifi Inalámbrica Ext Zeker 3MP</t>
  </si>
  <si>
    <t>CERELE001</t>
  </si>
  <si>
    <t>Cerradura Electrica Inteligente Huella Digital Wifi</t>
  </si>
  <si>
    <t>FDA002</t>
  </si>
  <si>
    <t>Freidora De Aire Sin Aceite Xl 5l Airfryer Eléctrica</t>
  </si>
  <si>
    <t>HOWELL003NEG</t>
  </si>
  <si>
    <t>SILLBAR002X2CAF</t>
  </si>
  <si>
    <t>Pack x2 Sillas De Bar Piso Taburete Homely Comfort 61-81CM Café</t>
  </si>
  <si>
    <t>COJMAS001</t>
  </si>
  <si>
    <t>Cojín Masajeador Almohada Auto Relajación Spa Espalda Cuello</t>
  </si>
  <si>
    <t>Almohada Tracción Cervical Quiropráctica Relajante Howell</t>
  </si>
  <si>
    <t>SILLBAR002X2NEG</t>
  </si>
  <si>
    <t>Pack x2 Sillas De Bar Piso Taburete Homely Comfort 61-81CM</t>
  </si>
  <si>
    <t>MOLFRE001AZU</t>
  </si>
  <si>
    <t>Molde Silicona Para Freidora De Aire Air Fryer</t>
  </si>
  <si>
    <t>Frascos Conserveros Contenedores Hermeticos Pack 7</t>
  </si>
  <si>
    <t>TEL002</t>
  </si>
  <si>
    <t>Telescopio Astronómico Monocular F40070 Para Luna Planetas</t>
  </si>
  <si>
    <t>BASCAR001</t>
  </si>
  <si>
    <t>Base Cargadora Para Pistola Masajeadora Compatible Howell</t>
  </si>
  <si>
    <t>Maleta Cabina Homely 10kg + Bolso Notebook + Necesser Set</t>
  </si>
  <si>
    <t>Telescopio Niño Astronómico Aficionado Portatil H620 36050</t>
  </si>
  <si>
    <t>CAMSEG010</t>
  </si>
  <si>
    <t>Camara De Seguridad Wifi Inalambrica Full HD YIIoT App</t>
  </si>
  <si>
    <t>CAMZEKINA001</t>
  </si>
  <si>
    <t>Cámara de Seguridad Wifi Inalámbrica Exterior Zeker 3MP</t>
  </si>
  <si>
    <t>Cango 13.8 Kg Martillo Demoledor Colton + Cinceles</t>
  </si>
  <si>
    <t>CAMSEG011</t>
  </si>
  <si>
    <t>Pack x2 Camara De Seguridad Wifi Inalambrica FHD YIIoT App</t>
  </si>
  <si>
    <t>SOPLA004</t>
  </si>
  <si>
    <t>Base Enfriadora De Notebook Bamboo Mesa Plegable Ventilador</t>
  </si>
  <si>
    <t>META001AZU</t>
  </si>
  <si>
    <t>Metalófono Cromático 25 Notas Ibrah Azul Escolar</t>
  </si>
  <si>
    <t>TELTERR001</t>
  </si>
  <si>
    <t>Telescopio Terrestre Spotting Scope 20-60x60 Tripode</t>
  </si>
  <si>
    <t>FRACON003</t>
  </si>
  <si>
    <t>Frascos Conserveros Contenedores Herméticos Pack 14</t>
  </si>
  <si>
    <t>CAMSEG012</t>
  </si>
  <si>
    <t>Camara De Seguridad Impermeable Exterior Wifi 1080P</t>
  </si>
  <si>
    <t>MOLFRE001ROS</t>
  </si>
  <si>
    <t>CAMSEG014</t>
  </si>
  <si>
    <t>Pack x3 Camara De Seguridad IP WIFI Inalambrica Exterior</t>
  </si>
  <si>
    <t>CAMZEK005X3</t>
  </si>
  <si>
    <t>Pack x3 Cámara De Seguridad Interior Wifi IP Zeker 2MP 5G</t>
  </si>
  <si>
    <t>PAPANT001</t>
  </si>
  <si>
    <t>Papel Freidora Aire Desechable Antiadherente 100 unidades</t>
  </si>
  <si>
    <t>MOLFRE001</t>
  </si>
  <si>
    <t>MUNE002</t>
  </si>
  <si>
    <t>CAMZEKINA003</t>
  </si>
  <si>
    <t>Pack x3 Cámara de Seguridad Wifi Inalámbrica Ext Zeker 3MP</t>
  </si>
  <si>
    <t>TOLDO 2X2</t>
  </si>
  <si>
    <t>FDAMOL001</t>
  </si>
  <si>
    <t>Freidora de Aire 6 Lt + Molde Silicona Air Fryer</t>
  </si>
  <si>
    <t>CEPALI001</t>
  </si>
  <si>
    <t>Cepillo Alisador Eléctrico Secador Anti Frizz Cepillo 3 En 1</t>
  </si>
  <si>
    <t>CAMZEK004X3</t>
  </si>
  <si>
    <t>Pack x3 Cámara De Seguridad 5G Zeker Doble 4MP Impermeable</t>
  </si>
  <si>
    <t>MUNE004</t>
  </si>
  <si>
    <t>TOLPLE001</t>
  </si>
  <si>
    <t>Toldo Araña Plegable 3x3 Impermeable</t>
  </si>
  <si>
    <t>CABHOW002</t>
  </si>
  <si>
    <t>Cabezal Masajeador Metal Aceite Crema Pistola Masaje Howell</t>
  </si>
  <si>
    <t>ACVCOP</t>
  </si>
  <si>
    <t>Pack Almohada Ortopédica Y Cojín Piernas Memory Terapeuticas</t>
  </si>
  <si>
    <t>MAN40KG001</t>
  </si>
  <si>
    <t>Set Mancuernas Y Barra Unibles 40kg Fitness Pesas Ajustables</t>
  </si>
  <si>
    <t>HUGGELROJ</t>
  </si>
  <si>
    <t>HUGGELGRI</t>
  </si>
  <si>
    <t>PISMAS002</t>
  </si>
  <si>
    <t>Pistola De Masajes Profesional Masajeador Muscular Kine Spa</t>
  </si>
  <si>
    <t>SILLBAR002X2BLA</t>
  </si>
  <si>
    <t>Pack x2 Sillas De Bar Piso Taburete Homely Comfort 61-81CM Blanco</t>
  </si>
  <si>
    <t>CAMSEG013</t>
  </si>
  <si>
    <t>Pack X2 Camara De Seguridad Impermeable Exterior Wifi 1080P</t>
  </si>
  <si>
    <t>CAMSEG001</t>
  </si>
  <si>
    <t>Camara De Seguridad Inalambrica Wifi Full HD Impermeable</t>
  </si>
  <si>
    <t>WAFF002</t>
  </si>
  <si>
    <t>Máquina Waflera Eléctrica Cuadruple Repostería Sandwichera</t>
  </si>
  <si>
    <t>MOLFRE001MOR</t>
  </si>
  <si>
    <t>MANCRO20KG</t>
  </si>
  <si>
    <t>Set Mancuernas y Barra 20 Kg Cromadas Kit Mancuernas</t>
  </si>
  <si>
    <t>FDA6LT</t>
  </si>
  <si>
    <t>Freidora de Aire XL 6L Eléctrica Sin Aceite</t>
  </si>
  <si>
    <t>HUGGELROS</t>
  </si>
  <si>
    <t>BEMAS001</t>
  </si>
  <si>
    <t>Bebedor de Agua para Gatos Fuente Electrico con Filtro</t>
  </si>
  <si>
    <t>Set Mancuernas Con Barra 10 kg Ajustable Unible</t>
  </si>
  <si>
    <t>VENTIL002</t>
  </si>
  <si>
    <t>Pack x2 Ventilador 3 en 1 Industrial Kasser 5 Aspas 18P</t>
  </si>
  <si>
    <t>FDAPAP006</t>
  </si>
  <si>
    <t>Freidora De Aire Sin Aceite Xl 5l + 100 Papeles Freidora</t>
  </si>
  <si>
    <t>Silla De Bar Piso Taburete Homely Noir Comfort 61-81CM Blanco</t>
  </si>
  <si>
    <t>MUNE003</t>
  </si>
  <si>
    <t>AMPWIFI001</t>
  </si>
  <si>
    <t>Ampolleta Inteligente Wifi Led Rgb Colores Música Fiesta App</t>
  </si>
  <si>
    <t>PISMAS001</t>
  </si>
  <si>
    <t>Pistola De Masajes Kinesiología Entrenamiento Masoterapia</t>
  </si>
  <si>
    <t>POLHOW001</t>
  </si>
  <si>
    <t>Poleron Manta Frazada Gigante Extra Grueso Howell Mascotas</t>
  </si>
  <si>
    <t>CERELE002</t>
  </si>
  <si>
    <t>POLHOW002-2</t>
  </si>
  <si>
    <t>CAMZEK005X2</t>
  </si>
  <si>
    <t>Pack x2 Cámara De Seguridad Interior Wifi IP Zeker 2MP 5G</t>
  </si>
  <si>
    <t>SABANAS0001BLA</t>
  </si>
  <si>
    <t>Sábanas Homely King 400 Hilos Soft Blanco</t>
  </si>
  <si>
    <t>WAFF001</t>
  </si>
  <si>
    <t>Waflera Eléctrica Doble Máquina Para Hacer Wafles Sandwicher</t>
  </si>
  <si>
    <t>SETX3MALE</t>
  </si>
  <si>
    <t>Maletas 10 18 23kg Homely + Bolso Viaje + Necesser Set</t>
  </si>
  <si>
    <t>BASTRA001</t>
  </si>
  <si>
    <t>Base Transporte Ajustable Refrigerador Lavadora Secadora</t>
  </si>
  <si>
    <t>LAMPSAL002</t>
  </si>
  <si>
    <t>Lampara de sal X2</t>
  </si>
  <si>
    <t>GUISOL002X2</t>
  </si>
  <si>
    <t>Guirnalda terraza pack x2</t>
  </si>
  <si>
    <t>Cortinas 100% Blackout Termica Homely 2x140x220</t>
  </si>
  <si>
    <t>HOWELL004PLA</t>
  </si>
  <si>
    <t>Pistola de Masajes Corporal Howell Max 12 Masajeador Espalda</t>
  </si>
  <si>
    <t>TOPCAM001KING</t>
  </si>
  <si>
    <t>Topper Cubre Colchon SuperKing 90% Pluma Pecho Ganso Homely</t>
  </si>
  <si>
    <t>HOWELL004NPL</t>
  </si>
  <si>
    <t>MESPARCAFE001</t>
  </si>
  <si>
    <t>Mesa Parlante Bluetooth Con Carga Inalámbrica Para Celulares</t>
  </si>
  <si>
    <t>HOWELL004ESM</t>
  </si>
  <si>
    <t>HOWELL004</t>
  </si>
  <si>
    <t>MESPARNEG001</t>
  </si>
  <si>
    <t>HOWELL004GRI</t>
  </si>
  <si>
    <t>PACKHOW001</t>
  </si>
  <si>
    <t>Camilla Plegable Masajes + Pistola de Masajes Howell Max 12</t>
  </si>
  <si>
    <t>HOWELL004MOR</t>
  </si>
  <si>
    <t>CAMHOW002</t>
  </si>
  <si>
    <t>Pack Camilla Masajeadora Howell Portatil + Mini Masajeador</t>
  </si>
  <si>
    <t>ACV002GELX2</t>
  </si>
  <si>
    <t>Almohada Gel Ortopédica Visco Howell Memory 60x40cm Set X2</t>
  </si>
  <si>
    <t>HOWELL004ROJ</t>
  </si>
  <si>
    <t>MESPARBEI001</t>
  </si>
  <si>
    <t>Cortinas 100% Blackout Termica 2x140x220 Homely</t>
  </si>
  <si>
    <t>GUISOL001X2</t>
  </si>
  <si>
    <t>Pack X2 Guirnalda Terraza Solar Cascada Luces Led 10 Metros</t>
  </si>
  <si>
    <t>SETMANA30</t>
  </si>
  <si>
    <t>Set de mancuernas y barra 30 kg ajustables</t>
  </si>
  <si>
    <t>PISOGYM001X2NEG</t>
  </si>
  <si>
    <t>Piso Goma Eva Alfombra Deportiva Gimansio 12mm 60x60cm x16Un</t>
  </si>
  <si>
    <t>GUIACU001-1</t>
  </si>
  <si>
    <t>Guitarra Acustica Negra</t>
  </si>
  <si>
    <t>GUIACU002-1</t>
  </si>
  <si>
    <t>Guitarra Acustica Cafe</t>
  </si>
  <si>
    <t>MICA001X3</t>
  </si>
  <si>
    <t>Láminas Termolaminadora A4 300 Micas Plastificadoras 22x30</t>
  </si>
  <si>
    <t>BALDIG003</t>
  </si>
  <si>
    <t>Balanza Digital 300 Kilos Base Inoxidable</t>
  </si>
  <si>
    <t>TARJETA3060</t>
  </si>
  <si>
    <t>Tarjeta Video Geforce Rtx 3060 Ti Zotac Gaming 8gb Twin Edge</t>
  </si>
  <si>
    <t>EE002</t>
  </si>
  <si>
    <t>Tens 8 Parches Electroestimulador Electrofísico Terapia Kine</t>
  </si>
  <si>
    <t>Mug002</t>
  </si>
  <si>
    <t>Vaso Térmico Mug Café 510 Ml Frio Caliente Termo Acero Inox</t>
  </si>
  <si>
    <t>FUNATRI001</t>
  </si>
  <si>
    <t>Funda + Atril Teclado 61 Teclas Ibrah Music Impermeable</t>
  </si>
  <si>
    <t>COJSEN003</t>
  </si>
  <si>
    <t>Cojín Ortopédico Lumbar De Asiento Para Espalda Bamboo</t>
  </si>
  <si>
    <t>MOPLE003</t>
  </si>
  <si>
    <t>Mochila 3 En 1 Pañalera Cuna Impermeable Portátil Bebe Viaje</t>
  </si>
  <si>
    <t>MICA001X2</t>
  </si>
  <si>
    <t>Láminas Termolaminadora A4 200 Micas Plastificadoras 22x30</t>
  </si>
  <si>
    <t>papelregalo001</t>
  </si>
  <si>
    <t>Envolver para regalo</t>
  </si>
  <si>
    <t>SD001</t>
  </si>
  <si>
    <t>Tarjeta De Memoria Universal Micro Sd 64 Gb + Adaptador Sd</t>
  </si>
  <si>
    <t>BEL004</t>
  </si>
  <si>
    <t>Pack Bandas Elásticas Resistencia Tela Glute Bands Set Banda</t>
  </si>
  <si>
    <t>BOTM001</t>
  </si>
  <si>
    <t>Botella De Agua 2l Motivacional Deportiva Botellón + Funda Color Rosa Claro</t>
  </si>
  <si>
    <t>Maleta002</t>
  </si>
  <si>
    <t>Maleta De Viaje 10 Kg Cabina Homely Carry On Anti Choque Color Negro</t>
  </si>
  <si>
    <t>OLLAJUG001</t>
  </si>
  <si>
    <t>Set De Ollas Y Accesorios Para Cocina Infaltil Niños 36 Pcs</t>
  </si>
  <si>
    <t>CAMZEK006X3</t>
  </si>
  <si>
    <t>Camara De Seguridad Solar Vigilancia Doble Zeker 3MP Pack X3</t>
  </si>
  <si>
    <t>CAMZEK006X2</t>
  </si>
  <si>
    <t>Camara De Seguridad Solar Vigilancia Doble Zeker 3MP Pack X2</t>
  </si>
  <si>
    <t>MALETA001X2</t>
  </si>
  <si>
    <t>Set X2 Maleta Cabina Homely 10kg + Bolso Notebook + Necesser</t>
  </si>
  <si>
    <t>PCP2</t>
  </si>
  <si>
    <t>Cojin de piernas pack x2</t>
  </si>
  <si>
    <t>COP2</t>
  </si>
  <si>
    <t>Cojín almohada ortopédica con memoria para piernas</t>
  </si>
  <si>
    <t>ACV</t>
  </si>
  <si>
    <t>PACKCOJALM</t>
  </si>
  <si>
    <t>Pack almohada ortopédica y cojín piernas memory terapeuticas</t>
  </si>
  <si>
    <t>MPC</t>
  </si>
  <si>
    <t>Masajeador profesional de cuello hombros espalda spa</t>
  </si>
  <si>
    <t>PE30CRO</t>
  </si>
  <si>
    <t>Set de mancuernas ajustables 30 kg portátil acero</t>
  </si>
  <si>
    <t>CMP</t>
  </si>
  <si>
    <t>Cojín masajeador con calor spa</t>
  </si>
  <si>
    <t>ESQ001</t>
  </si>
  <si>
    <t>Organizador de Ducha Baño Esquinero Multifuncional</t>
  </si>
  <si>
    <t>SETMANA20</t>
  </si>
  <si>
    <t>Set mancuernas y barra unibles 20kg ajustables</t>
  </si>
  <si>
    <t>CAMPERO003</t>
  </si>
  <si>
    <t>TELPLA003_1</t>
  </si>
  <si>
    <t>Telescopio Astronómico Monocular F40070 Planex Con Soporte</t>
  </si>
  <si>
    <t>CAMZEK002-OUT</t>
  </si>
  <si>
    <t>Pack x2 Cámara de Seguridad Wifi Impermeable Zeker 2MP 5G</t>
  </si>
  <si>
    <t>CAMZEK005X3-OUT</t>
  </si>
  <si>
    <t>CAMZEK003-OUT</t>
  </si>
  <si>
    <t>Pack x3 Cámara de Seguridad Wifi Impermeable Zeker 2MP 5G</t>
  </si>
  <si>
    <t>CAMZEK004X2-OUT</t>
  </si>
  <si>
    <t>Nivel Láser 16 Líneas Watson Auto + 2 Baterías + Trípode</t>
  </si>
  <si>
    <t>CAMZEK004X3-OUT</t>
  </si>
  <si>
    <t>CAMZEK005X2-OUT</t>
  </si>
  <si>
    <t>CAMZEK0044MPX3</t>
  </si>
  <si>
    <t>Pack X3 Camara De Seguridad 5g Zeker Doble 8mp Impermeable</t>
  </si>
  <si>
    <t>CAMZEK0054MPX3</t>
  </si>
  <si>
    <t>Pack X3 Camara De Seguridad Interior Wifi Ip Zeker 4mp 5g</t>
  </si>
  <si>
    <t>CAMZEK0014MPX2</t>
  </si>
  <si>
    <t>Pack X2 Camara De Seguridad Wifi Impermeable Zeker 4mp 5g</t>
  </si>
  <si>
    <t>CAMZEK0054MPX2</t>
  </si>
  <si>
    <t>Pack X2 Camara De Seguridad Interior Wifi Ip Zeker 4mp 5g</t>
  </si>
  <si>
    <t>CAMZEK0014MPX3</t>
  </si>
  <si>
    <t>Pack X3 Camara De Seguridad Wifi Impermeable Zeker 4mp 5g</t>
  </si>
  <si>
    <t>CAMZEK0044MPX2</t>
  </si>
  <si>
    <t>Pack X2 Camara De Seguridad 5g Zeker Doble 8mp Impermeable</t>
  </si>
  <si>
    <t>MONPORDUO14</t>
  </si>
  <si>
    <t>Monitor Notebook Portátil Duo Gaming 14 Hosser Uhd Parlante Gris</t>
  </si>
  <si>
    <t>GUIACU002-1_1</t>
  </si>
  <si>
    <t>Guitarra Acústica Clásica Ibrah 39 Pulgadas Café + Funda</t>
  </si>
  <si>
    <t>padel001x2</t>
  </si>
  <si>
    <t>Pala de padel overfit x2</t>
  </si>
  <si>
    <t>COLCMAS002</t>
  </si>
  <si>
    <t>Colchoneta Masajeadora Con Calor Colcha Eléctrica Masajes</t>
  </si>
  <si>
    <t>WAFF003</t>
  </si>
  <si>
    <t>Waflera Eléctrica Máquina Para Hacer Wafles Repostería</t>
  </si>
  <si>
    <t>MUÑE40CM001</t>
  </si>
  <si>
    <t>Bebé Reborn Cachetitos Muñeca Realista 100% Silicona 40 Cm</t>
  </si>
  <si>
    <t>Mug001</t>
  </si>
  <si>
    <t>CAMAPER001</t>
  </si>
  <si>
    <t>Cama Para Perros Y Gatos Mascotas Soft Respirable Mediana</t>
  </si>
  <si>
    <t>MOPLE002</t>
  </si>
  <si>
    <t>MOPLE001</t>
  </si>
  <si>
    <t>PADEL001X2</t>
  </si>
  <si>
    <t>Palas De Padel Overfit Pro Strike 38mm Soft Fibra Híbrida X2</t>
  </si>
  <si>
    <t>TOALLA001</t>
  </si>
  <si>
    <t>Toalla Deportiva Baño Viaje Microfibra Secado Rapido Set X2 Azul Claro Deportiva</t>
  </si>
  <si>
    <t>Carpa Camping 210T Poliester 2.5x2.2x1.4 m 4 a 5 personas</t>
  </si>
  <si>
    <t>Termo Botella Termica 580ML Tauri By Fellow Mug Cafe Agua</t>
  </si>
  <si>
    <t>CAJAZAP001X2</t>
  </si>
  <si>
    <t>Caja Organizador de Zapatos Homely Zapatero Apilable Set X4</t>
  </si>
  <si>
    <t>YOOSE_001</t>
  </si>
  <si>
    <t>Cámara De Seguridad Wifi Exterior Impermeable Zeker 2mp 5g Blanco</t>
  </si>
  <si>
    <t>Carpa De Camping 6 Personas Overfit Impermeable 500mm</t>
  </si>
  <si>
    <t>Base para cama medida 2 Plazas 191 x 151 x 30 CM acero</t>
  </si>
  <si>
    <t>Scooter Plastico Abs Kidmon Plegable Monopatin 3 Ruedas RGB</t>
  </si>
  <si>
    <t>Sabanilla Adulto Protector Cama Howell 90x60cm 40 unidades</t>
  </si>
  <si>
    <t>Ampolleta Inteligente Hosser Led RGB APP Tuya</t>
  </si>
  <si>
    <t>Lampara Inteligente Led Hosser Touch 3 Tonos Luz Lectura 10W</t>
  </si>
  <si>
    <t>Aplique pared Luz Led Hosser Barra Con Sensor de Movimiento</t>
  </si>
  <si>
    <t>Cámara interior doble lente 2MP Zeker</t>
  </si>
  <si>
    <t>Monitor Gamer Curvo 32 Pulgadas Hosser FHD Gaming FreeSync</t>
  </si>
  <si>
    <t>Camara triple Helicopter 2MP</t>
  </si>
  <si>
    <t>CAMZEK007X3</t>
  </si>
  <si>
    <t>Camara De Seguridad Interior Doble Wifi IP Zeker 4MP 5G x3</t>
  </si>
  <si>
    <t>CAMZEK007X2</t>
  </si>
  <si>
    <t>Camara De Seguridad Interior Doble Wifi IP Zeker 4MP 5G x2</t>
  </si>
  <si>
    <t>CAMZEK008X3</t>
  </si>
  <si>
    <t>Camara de Seguridad Domo 2MP 5G Wifi Impermeable Zeker x3</t>
  </si>
  <si>
    <t>CAMZEK009X3</t>
  </si>
  <si>
    <t>Camara De Seguridad Helicopter 6MP 5G Wifi Zeker Exterior x3</t>
  </si>
  <si>
    <t>CAMZEK008X2</t>
  </si>
  <si>
    <t>Camara de Seguridad Domo 2MP 5G Wifi Impermeable Zeker x2</t>
  </si>
  <si>
    <t>CAMZEK009X2</t>
  </si>
  <si>
    <t>Camara De Seguridad Helicopter 6MP 5G Wifi Zeker Exterior x2</t>
  </si>
  <si>
    <t>Arena Para Gato 5 Kilos Duke Bentonita Aglutinante Lavanda</t>
  </si>
  <si>
    <t>Sabanillas de Perro Carbon 60x60 Duke 6 Capas Aromaticas 40U</t>
  </si>
  <si>
    <t>Linterna Led Tactica De Bolsillo Overfit Recargable 1500LM</t>
  </si>
  <si>
    <t>Cuchillo chef 8 pulgadas acero inoxidable Atelier</t>
  </si>
  <si>
    <t>Arena Para Gato 10 Kilos Duke Bentonita Aglutinante Lavanda</t>
  </si>
  <si>
    <t>Silla Premium Escritorio Reclinable con Apoyapies Homely</t>
  </si>
  <si>
    <t>SILLBAR002NEG</t>
  </si>
  <si>
    <t>Silla De Bar Piso Taburete Homely 60-80CM</t>
  </si>
  <si>
    <t>PISOBEBE001AZUBLA</t>
  </si>
  <si>
    <t>Piso De Goma Eva Bebé Alfombra Babynest 10mm 60x60cm Set x8 AB</t>
  </si>
  <si>
    <t>SILLBAR002NEGLISOX2</t>
  </si>
  <si>
    <t>Silla De Bar Piso Taburete Homely 60-80CM X2</t>
  </si>
  <si>
    <t>Mopa plana con balde plegable Homely</t>
  </si>
  <si>
    <t>Mopa plana con spray pulverizador microfibra Homely</t>
  </si>
  <si>
    <t>SILLBAR002NEGLISO</t>
  </si>
  <si>
    <t>Tarjeta de memoria Micro Sd 128GB Zeker con adaptador SD</t>
  </si>
  <si>
    <t>SILLBAR003X2</t>
  </si>
  <si>
    <t>Taburete Silla De Bar Homely Altura Regulable Cocina 80cm X2</t>
  </si>
  <si>
    <t>Cortinas Roller Duo 100% Dia y Noche Zebra 150x200cm Homely</t>
  </si>
  <si>
    <t>Taburete Silla De Bar Homely Altura Regulable Cocina 80cm</t>
  </si>
  <si>
    <t>Funda Cubre Sofa Protectora 1 Cuerpo Homely</t>
  </si>
  <si>
    <t>Funda Cubre Futon Elasticada Homely</t>
  </si>
  <si>
    <t>AMPOLLE001X2</t>
  </si>
  <si>
    <t>Ampolletas Led E27 Hosser Inteligente Led 9W RGB App Tuya X2</t>
  </si>
  <si>
    <t>Cuchillo Chef 21 Cm Fervora Pro Cocina Acero Inox 15 Pzs</t>
  </si>
  <si>
    <t>AMPOLLE001X3</t>
  </si>
  <si>
    <t>Ampolletas Led E27 Hosser Inteligente Led 9W RGB App Tuya X3</t>
  </si>
  <si>
    <t>Cafetera Francesa 800Ml Atelier Prensa Vidrio Acero Portatil</t>
  </si>
  <si>
    <t>Tiras Luces Led Neon Hosser Cinta Led Rgb 5 Mt Flexible Tuya</t>
  </si>
  <si>
    <t>Funda Cubre Asiento Lino PU Galanta Set 5 Asientos Luxury</t>
  </si>
  <si>
    <t>Bolsas Basura 75x90cm Con Cordon 10U Homely 100L Resistente</t>
  </si>
  <si>
    <t>Mat Yoga Tpe 8mm Overfit Ejercicio Alfombra Con Lineas Guia</t>
  </si>
  <si>
    <t>Mat Yoga Nbr 15mm Overfit Ejercicio Alfombra Antideslizante</t>
  </si>
  <si>
    <t>Cubrecama Cobertor 1.5 Plazas 90% Pluma Pecho Ganso Homely</t>
  </si>
  <si>
    <t>Protectores auditivos reducción de sonido Howell</t>
  </si>
  <si>
    <t>Colchoneta Deportiva Plegable Overfit 100x50x5cm Oxford</t>
  </si>
  <si>
    <t>TENSI001-1</t>
  </si>
  <si>
    <t>Timbre de seguridad Inteligente Zeker Smart Doorbell 4MP</t>
  </si>
  <si>
    <t>Cubre colchón Topper Acolchado 1.5 plazas Homely</t>
  </si>
  <si>
    <t>Cubre Colchon Topper Acolchado 2 plazas Homely</t>
  </si>
  <si>
    <t>Guitarra Electroacustica 41 Pgds Ibrah Music Funda + Acc</t>
  </si>
  <si>
    <t>Guitarra Electrica Niño 30 Pds Ibrah Music Roja Blanco + Acc</t>
  </si>
  <si>
    <t>Plancha Churrasquera Atelier Cocina Hierro 43.6*28*2.2CM</t>
  </si>
  <si>
    <t>Amplificador para guitarra eléctrica 20W Ibrah Music</t>
  </si>
  <si>
    <t>Guantes de Arquero Futbol Overtfit Ferula Antideslizante Pro</t>
  </si>
  <si>
    <t>Termo Comida y Liquido Kimito 800 + 400 Ml Acero Inoxidable</t>
  </si>
  <si>
    <t>Bolso Deportivo Duffel Gym 3 En 1 Overfit Impermeable Oxford</t>
  </si>
  <si>
    <t>Disco preolimpico 5 kg Overfit Pvc Barra 2.5 mm Set X2</t>
  </si>
  <si>
    <t>Tupper Hermetico 965 Ml Homely Frasco Vidrio Templado</t>
  </si>
  <si>
    <t>Kit De Accesorios Para Instrumentos Musicales Ibrah Music</t>
  </si>
  <si>
    <t>Disco Preolimpico 10 kg Overfit Pvc Barra 2.5 mm Set X2</t>
  </si>
  <si>
    <t>Cafetera Francesa 500ml Portatil Kimito Prensa Acero Inox</t>
  </si>
  <si>
    <t>Tupper Hermetico 640 Ml Homely Frasco Vidrio Templado Set X3</t>
  </si>
  <si>
    <t>Tens Electroestimulador Howell Masajes Electroterapia</t>
  </si>
  <si>
    <t>Parches Tens Howell Electrodos Electroestimuladores X20</t>
  </si>
  <si>
    <t>ACV004TIRASX2</t>
  </si>
  <si>
    <t>Almohada Cervical Cloudfeel Visco Howell Ortopedica Bambu X2</t>
  </si>
  <si>
    <t>BOLSABAS100L001X10</t>
  </si>
  <si>
    <t>Bolsas Basura 75x90cm Con Cordon 100U Homely 100L Resistente</t>
  </si>
  <si>
    <t>BOLSABAS100L001X5</t>
  </si>
  <si>
    <t>Bolsas Basura 75x90cm Con Cordon 50U Homely 100L Resistente</t>
  </si>
  <si>
    <t>BOLSABAS100L001X2</t>
  </si>
  <si>
    <t>Bolsas Basura 75x90cm Con Cordon 20U Homely 100L Resistente</t>
  </si>
  <si>
    <t>Carpa Cubre Auto XL Galanta Impermeable Proteccion Interior</t>
  </si>
  <si>
    <t>Trotadora 2 Hp Overfit Caminadora Electrica Plegable 12 Km/h</t>
  </si>
  <si>
    <t>Trotadora 1.5 Hp Overfit Caminadora Electrica Plegable 8km/h</t>
  </si>
  <si>
    <t>Papel Opalina Lisa Blanca A4 Homely Pack 50 Hojas 220 Gr</t>
  </si>
  <si>
    <t>ACV003AGUJX2</t>
  </si>
  <si>
    <t>Almohada Cervical Aircell Visco Howell Ortopedica Bambu X2</t>
  </si>
  <si>
    <t>Monitor PC Gamer Curvo 34" Hosser FHD 165 Hz Gaming 1 ms</t>
  </si>
  <si>
    <t>Monitor Gamer Curvo 27" Hosser Fhd 165Hz Gaming Freesync 1ms</t>
  </si>
  <si>
    <t>Guitarra Electrica Flying V 39" Ibrah Music Amplificador 20W</t>
  </si>
  <si>
    <t>Guitarra Electrica BG 39" Ibrah Music + Amplificador 20 W</t>
  </si>
  <si>
    <t>Bateria Electrica Ibrah Music</t>
  </si>
  <si>
    <t>Guitarra Acustica Cutaway Ibrah Music 38 plgds + accesorios</t>
  </si>
  <si>
    <t>Teclado Musical 61 Teclas Ibrah Music Piano Con Midi Sustain</t>
  </si>
  <si>
    <t>Banco Reclinable Gym Multifuncional Overfit Press Ajustable</t>
  </si>
  <si>
    <t>Funda Para Guitarra 41 Pulgadas Ibrah Bolso De Transporte</t>
  </si>
  <si>
    <t>Mochila De Viaje con Bomba al Vacío 900D Luxgear 40 Litros</t>
  </si>
  <si>
    <t>Mochila De Viaje con Bomba al Vacio Luxgear 900D 40 Litros</t>
  </si>
  <si>
    <t>Mochila De Viaje 900D Luxgear Notebook Cabina 28 Litros</t>
  </si>
  <si>
    <t>Mochila De Viaje 900D Luxgear Cabina 40 Litros Verde Olivo</t>
  </si>
  <si>
    <t>Bicicleta de Spinning Pro Overfit Estatica Fitness Gym 6 kg</t>
  </si>
  <si>
    <t>Bicicleta Spinning Magnetica Pro Overfit Estatica Gym 6kg</t>
  </si>
  <si>
    <t>Bicicleta de Spinning Pro Overfit Estatica Fitness Gym 4 kg</t>
  </si>
  <si>
    <t>Mochila De Viaje con Bomba al Vacio 900D Luxgear 22 Litros</t>
  </si>
  <si>
    <t>DLU</t>
  </si>
  <si>
    <t>Maquina depiladora laser 3en1</t>
  </si>
  <si>
    <t>GBP</t>
  </si>
  <si>
    <t>Set de bandas de resistencia para glúteos glute bands género</t>
  </si>
  <si>
    <t>WAFCOR</t>
  </si>
  <si>
    <t>Waflera eléctrica de corazón máquina para hacer wafles repostería</t>
  </si>
  <si>
    <t>COLCMAS001</t>
  </si>
  <si>
    <t>1b6e3c26e1e24567a4ca2006baad20ed</t>
  </si>
  <si>
    <t>Escurridor De Loza Secaplatos Acero Inoxidable</t>
  </si>
  <si>
    <t>ABT</t>
  </si>
  <si>
    <t>Máquina para Hacer Abdominales Multifuncional</t>
  </si>
  <si>
    <t>ESC</t>
  </si>
  <si>
    <t>Máquina Escaladora Elíptica Mini Stepper</t>
  </si>
  <si>
    <t>SGCHAZUL</t>
  </si>
  <si>
    <t>Silla Gamer Reclinable Chaho Con Cojín Masajeador</t>
  </si>
  <si>
    <t>EE8</t>
  </si>
  <si>
    <t>Electroestimulador tens 8 parches electrofísico</t>
  </si>
  <si>
    <t>95e8ef23e535412ebdb680beda1e8bb6</t>
  </si>
  <si>
    <t>Set de mancuernas ajustables 50 kg portátil acero</t>
  </si>
  <si>
    <t>MN3N</t>
  </si>
  <si>
    <t>Mesa notebook 3 niveles de madera con ruedas</t>
  </si>
  <si>
    <t>MPFAM</t>
  </si>
  <si>
    <t>Frazada polerón manta sherpa polar</t>
  </si>
  <si>
    <t>MPFGRI</t>
  </si>
  <si>
    <t>MPFROJ</t>
  </si>
  <si>
    <t>MPFROS</t>
  </si>
  <si>
    <t>MpFNG</t>
  </si>
  <si>
    <t>PCA</t>
  </si>
  <si>
    <t>Pack almohada cervical y cojín ortopédico descanso</t>
  </si>
  <si>
    <t>577dc70d9cb148568d8eab36555f34e5</t>
  </si>
  <si>
    <t>Aspiradora portátil inalámbrica para auto</t>
  </si>
  <si>
    <t>9b41e58d196a475885061d98d099f78a</t>
  </si>
  <si>
    <t>Caja fuerte digital caja de seguridad con llaves</t>
  </si>
  <si>
    <t>AIB</t>
  </si>
  <si>
    <t>Audífonos inalámbricos bluetooth última generación</t>
  </si>
  <si>
    <t>FRAESP001</t>
  </si>
  <si>
    <t>Frascos Especieros Giratorios 16 Condimenteros Carrusel</t>
  </si>
  <si>
    <t>SETJAR001</t>
  </si>
  <si>
    <t>Set De Jardineria Pala Rastrillo 10 Piezas Caja Maleta Verde</t>
  </si>
  <si>
    <t>AMP001</t>
  </si>
  <si>
    <t>Amplificador De Pantalla Celular Ampliador Pantalla Teléfono</t>
  </si>
  <si>
    <t>ESC003</t>
  </si>
  <si>
    <t>Escurridor Loza Escurridor De Platos Inoxidable 2 Niveles</t>
  </si>
  <si>
    <t>LINLED004</t>
  </si>
  <si>
    <t>Linterna De Cabeza Linterna Frontal Led Recargable 5 LED</t>
  </si>
  <si>
    <t>PISCI001</t>
  </si>
  <si>
    <t>Piscina Inflable Para Niños Niñas Juegos Infantil Verano</t>
  </si>
  <si>
    <t>DEPLAS001</t>
  </si>
  <si>
    <t>Depiladora Laser Definitiva Ipl Máquina Depiladora Corporal</t>
  </si>
  <si>
    <t>TERDIG001</t>
  </si>
  <si>
    <t>Termómetro Digital Infrarrojo Sin Contacto Corporal</t>
  </si>
  <si>
    <t>FRAESP002</t>
  </si>
  <si>
    <t>Frascos Especieros Giratorios 12 Condimenteros Carrusel</t>
  </si>
  <si>
    <t>MAQALG001</t>
  </si>
  <si>
    <t>Maquina Algodon de Azucar Casero Rapido Portatil Acero Inox</t>
  </si>
  <si>
    <t>RADAND001</t>
  </si>
  <si>
    <t>Radio Android Pantalla 7 Pulgadas Auto Alta Definicion MP5</t>
  </si>
  <si>
    <t>PROLED002</t>
  </si>
  <si>
    <t>Proyector Data Led Mini Full HD Portatil HDMI USB Control</t>
  </si>
  <si>
    <t>COLPLE001ROJ</t>
  </si>
  <si>
    <t>Colador Plegable Set Cocina 2 Piezas Silicona Chef Pastas</t>
  </si>
  <si>
    <t>COLPLE001</t>
  </si>
  <si>
    <t>SETCOR001</t>
  </si>
  <si>
    <t>Cortinas Blackout 2 Paños 150 x 230 cm</t>
  </si>
  <si>
    <t>VISBLA001</t>
  </si>
  <si>
    <t>Cortinas Visillos Velo Lino Blanco 150 x 230 cm</t>
  </si>
  <si>
    <t>CUBSOF001</t>
  </si>
  <si>
    <t>Cubre Sillones 3 Cuerpos Protector Muebles Exterior</t>
  </si>
  <si>
    <t>PIAELE002</t>
  </si>
  <si>
    <t>Teclado Electrico Musical Inalambrico Para Niños 37 Teclas</t>
  </si>
  <si>
    <t>PIAELE001</t>
  </si>
  <si>
    <t>Teclado Electrico Musical Inalambrico Para Niños 32 Teclas</t>
  </si>
  <si>
    <t>PIAELE003</t>
  </si>
  <si>
    <t>Piano Eléctrico 61 Teclas Teclado Musical MLS Polifónico.</t>
  </si>
  <si>
    <t>MPCIHOWELL</t>
  </si>
  <si>
    <t>Masajeador corporal inalámbrico howell cuello</t>
  </si>
  <si>
    <t>HOWELL001</t>
  </si>
  <si>
    <t>Pistola de masajes howell profesional 30 niveles</t>
  </si>
  <si>
    <t>MANCROM30</t>
  </si>
  <si>
    <t>Set mancuernas cromadas 30kg pesas regulables</t>
  </si>
  <si>
    <t>PISOBEBE001VERBLA</t>
  </si>
  <si>
    <t>Piso De Goma Eva Bebé Alfombra Babynest 60x60cm Set x8 VyB</t>
  </si>
  <si>
    <t>Termos Juniper Fellow - Blanco</t>
  </si>
  <si>
    <t>CAMZEK0043MPX3</t>
  </si>
  <si>
    <t>Pack X3 Camara De Seguridad 2.4g Zeker Doble 8mp Impermeable</t>
  </si>
  <si>
    <t>Camara De Seguridad 2.4g Zeker Doble 6mp Exterior Impermeabl</t>
  </si>
  <si>
    <t>CAMZEK0043MPX2</t>
  </si>
  <si>
    <t>Pack X2 Camara De Seguridad 2.4g Zeker Doble 3mp Impermeable</t>
  </si>
  <si>
    <t>PG</t>
  </si>
  <si>
    <t>Pesa gramera - Default Title</t>
  </si>
  <si>
    <t>TIRLED001</t>
  </si>
  <si>
    <t>Cinta de Luces LED 5M RGB - Default Title</t>
  </si>
  <si>
    <t>BEL002</t>
  </si>
  <si>
    <t>Máquina de ejercicios RevoFlex - Default Title</t>
  </si>
  <si>
    <t>gid://shopify/ProductVariant/37861691949205</t>
  </si>
  <si>
    <t>Cepillo Dental Ultrasónico - Default Title</t>
  </si>
  <si>
    <t>COC2P</t>
  </si>
  <si>
    <t>Cocinilla a Gas Camping 2 Platos - Default Title</t>
  </si>
  <si>
    <t>CFD001NEG</t>
  </si>
  <si>
    <t>Caja Fuerte Digital - Default Title</t>
  </si>
  <si>
    <t>gid://shopify/ProductVariant/40243321503893</t>
  </si>
  <si>
    <t>Cargador de masajeador de cuello - Default Title</t>
  </si>
  <si>
    <t>gid://shopify/ProductVariant/40412997025941</t>
  </si>
  <si>
    <t>Malla de masajeador linfático - Default Title</t>
  </si>
  <si>
    <t>CORPUN001</t>
  </si>
  <si>
    <t>Cortadora de Puntas Recargable - Default Title</t>
  </si>
  <si>
    <t>SILGAM001ROJ</t>
  </si>
  <si>
    <t>Silla Gamer con Cojín Masajeador - Rojo</t>
  </si>
  <si>
    <t>SILGAM001AZU</t>
  </si>
  <si>
    <t>Silla Gamer con Cojín Masajeador - Azul</t>
  </si>
  <si>
    <t>WAFF004</t>
  </si>
  <si>
    <t>Sandwichera Eléctrica 3 en 1 - Negro</t>
  </si>
  <si>
    <t>gid://shopify/ProductVariant/41155215917205</t>
  </si>
  <si>
    <t>Adaptador - Default Title</t>
  </si>
  <si>
    <t>SILGAM001VER</t>
  </si>
  <si>
    <t>Silla Gamer con Cojín Masajeador - Verde</t>
  </si>
  <si>
    <t>SILGAM001ROS</t>
  </si>
  <si>
    <t>Silla Gamer con Cojín Masajeador - Rosado</t>
  </si>
  <si>
    <t>gid://shopify/ProductVariant/41257166831765</t>
  </si>
  <si>
    <t>Control Para Masajeador de Pies - Default Title</t>
  </si>
  <si>
    <t>MASCEL001</t>
  </si>
  <si>
    <t>Masajeador Linfático - Azul</t>
  </si>
  <si>
    <t>LAMLUN001</t>
  </si>
  <si>
    <t>Lámpara Lunar - Blanco</t>
  </si>
  <si>
    <t>AUDBLUE001NEG</t>
  </si>
  <si>
    <t>Audífonos Bluetooth TWS BTH-F9 - Negro</t>
  </si>
  <si>
    <t>AUDBLUE001BLA</t>
  </si>
  <si>
    <t>Audífonos Bluetooth TWS BTH-F9 - Blanco</t>
  </si>
  <si>
    <t>DISJAB001</t>
  </si>
  <si>
    <t>Dispensador de Jabón sin Contacto - Blanco</t>
  </si>
  <si>
    <t>MMC001</t>
  </si>
  <si>
    <t>Máquina Moledora de Carne - Blanco</t>
  </si>
  <si>
    <t>MASPIE001</t>
  </si>
  <si>
    <t>Masajeador Profesional de Pies - Blanco</t>
  </si>
  <si>
    <t>PANE001NEG</t>
  </si>
  <si>
    <t>Panquequera Eléctrica 20cm - Negro</t>
  </si>
  <si>
    <t>MAN30KG002</t>
  </si>
  <si>
    <t>Set Mancuernas Cromadas 30KG - Plata</t>
  </si>
  <si>
    <t>EE001</t>
  </si>
  <si>
    <t>Electro Estimulador 4 Parches - Plata</t>
  </si>
  <si>
    <t>MASPIE002</t>
  </si>
  <si>
    <t>Masajeador Terapia Para Pies - Blanco</t>
  </si>
  <si>
    <t>MAQCOS001</t>
  </si>
  <si>
    <t>Maquina de Coser Portátil - Blanco</t>
  </si>
  <si>
    <t>MAHEL001</t>
  </si>
  <si>
    <t>Maquina Para Hacer Helados - Gris</t>
  </si>
  <si>
    <t>MAQHUM001</t>
  </si>
  <si>
    <t>Maquina de Humo Portátil 900W - Negro</t>
  </si>
  <si>
    <t>SELLVA001</t>
  </si>
  <si>
    <t>Selladora al vacío - Negro</t>
  </si>
  <si>
    <t>MAQCOR003</t>
  </si>
  <si>
    <t>Maquina Cortapelo Mascotas - Dorado</t>
  </si>
  <si>
    <t>MAQHUM002</t>
  </si>
  <si>
    <t>Máquina de Humo Negra 600 W - Negro</t>
  </si>
  <si>
    <t>SANDW006</t>
  </si>
  <si>
    <t>Sandwichera Electrica Hamburguesera Multiuso - Negro</t>
  </si>
  <si>
    <t>gid://shopify/ProductVariant/42927483453684</t>
  </si>
  <si>
    <t>Aspiradora Robot Inteligente Robot aspiradora inalambrica - Default Title</t>
  </si>
  <si>
    <t>gid://shopify/ProductVariant/43085462077684</t>
  </si>
  <si>
    <t>Lonchera Electrica Calentador De Comida Portatil - Default Title</t>
  </si>
  <si>
    <t>ALMMAS001</t>
  </si>
  <si>
    <t>Almohada Masajeadora de Viaje - Cafe</t>
  </si>
  <si>
    <t>IRRORA001</t>
  </si>
  <si>
    <t>Irrigador Oral Waterpik - Rosado</t>
  </si>
  <si>
    <t>GUININ001</t>
  </si>
  <si>
    <t>Guitarra Para Niño Juguete Guitarra Niña Guitarra Niños - Cafe</t>
  </si>
  <si>
    <t>IRRORABLA001</t>
  </si>
  <si>
    <t>Irrigador Oral Waterpik - Blanco</t>
  </si>
  <si>
    <t>FDAXL002</t>
  </si>
  <si>
    <t>Freidora de Aire XL 6L LCD - Default Title</t>
  </si>
  <si>
    <t>CAMSEG009</t>
  </si>
  <si>
    <t>Camara De Seguridad Solar Wifi Impermeable - Blanco</t>
  </si>
  <si>
    <t>CALELE001</t>
  </si>
  <si>
    <t>Termoventilador Electrico Calefactor Portatil 2000W - Blanco</t>
  </si>
  <si>
    <t>CALELE002</t>
  </si>
  <si>
    <t>Termoventilador Electrico Estufa Portatil 2000W - Blanco</t>
  </si>
  <si>
    <t>CALELE003</t>
  </si>
  <si>
    <t>Termoventilador Calefactor Portatil Electrico 800W - Blanco</t>
  </si>
  <si>
    <t>CALELE004</t>
  </si>
  <si>
    <t>Calefactor Electrico Termoventilador 1500W - Blanco</t>
  </si>
  <si>
    <t>AUDGAM002</t>
  </si>
  <si>
    <t>Audífonos Gamer Kotion Each G9000 Black Y Blue - Negro</t>
  </si>
  <si>
    <t>HANDGRI001</t>
  </si>
  <si>
    <t>Hand Grip Pro Fitness Gripper Ejercitador De Mano - Negro</t>
  </si>
  <si>
    <t>FUNMAS001</t>
  </si>
  <si>
    <t>Funda Cubre Asiento Auto Para Mascotas 132 x 137 cm - Negro</t>
  </si>
  <si>
    <t>CAMMASROJ001</t>
  </si>
  <si>
    <t>Cama De Felpa Para Gato Perro Antiestrés 40 cm Mascotas - Rojo</t>
  </si>
  <si>
    <t>CAMMASAZU001</t>
  </si>
  <si>
    <t>Cama De Felpa Para Gato Perro Antiestrés 40 cm Mascotas - Azul</t>
  </si>
  <si>
    <t>FUNMOT001</t>
  </si>
  <si>
    <t>Cobertor Funda Para Moto Impermeable 130 x 230 cm - Gris</t>
  </si>
  <si>
    <t>SAM001</t>
  </si>
  <si>
    <t>70 Sabanillas Pañales Adiestramiento Mascotas Perro 60x60 cm - Celeste</t>
  </si>
  <si>
    <t>Guitarra Electrica Stratocaster Ibrah + Amplif + Accesorios</t>
  </si>
  <si>
    <t>Pack Ibrah Music Teclado + Atril + Funda</t>
  </si>
  <si>
    <t>Amplificador para bajo eléctrico Ibrah Music 20W</t>
  </si>
  <si>
    <t>Guitarra Electrica Strato Zurdos Ibrah Amplificador + Acc</t>
  </si>
  <si>
    <t>Mat de yoga TPE grosor 0.8mm Overfit con líneas guía bicolor</t>
  </si>
  <si>
    <t>Kit glucómetro + 10 tiras + 10 lancetas + estuche Howell</t>
  </si>
  <si>
    <t>KITCAMZEK</t>
  </si>
  <si>
    <t>Kit Cámara de Seguridad Puntos Ciegos - x1</t>
  </si>
  <si>
    <t>pruebq123</t>
  </si>
  <si>
    <t>pruebaq23</t>
  </si>
  <si>
    <t>Toallas Humedas Adultos Hipoalergenicas 60 Unidades Howell</t>
  </si>
  <si>
    <t>Papel Fotografico Doble Faz Glossy A4 180g Homely 100 Hojas Blanco</t>
  </si>
  <si>
    <t>Papel Vinilo Adhesivo Holografico A4 20 Hojas Homely 210g Blanco</t>
  </si>
  <si>
    <t>Toallitas Humedas Wipes 60u 99% Agua Bebe Mimoru Bpa Free</t>
  </si>
  <si>
    <t>Toallitas Humedas Wipes Caja 12x60u 99% Agua Bebe Mimoru</t>
  </si>
  <si>
    <t>Toallas Humedas Adultos Hipoalergenicas 60u Howell Pack 8</t>
  </si>
  <si>
    <t>Papel Fotografico Glossy 4r 230 Gramos Homely 100 Hojas Blanco</t>
  </si>
  <si>
    <t>Papel Fotografico Doble Faz Glossy A4 220g Homely 100 Hojas Blanco</t>
  </si>
  <si>
    <t>Papel Laminado Frio Holografico Adhesivo A4 Homely 18 Hojas Blanco</t>
  </si>
  <si>
    <t>Aplique Pared Luz Led Hosser Barra Con Sensor De Movimiento Blanco</t>
  </si>
  <si>
    <t>Cable Usb Tipo C To Usb 5 M Iphone Samsung Hosser Carga Rapi Negro</t>
  </si>
  <si>
    <t>Cable Usb Tipo C To Usb 2 M Iphone Samsung Hosser Carga Rapi Negro</t>
  </si>
  <si>
    <t>Cable Usb C A C 2 Metros Iphone Samsung Carga Rapida Hosser Negro</t>
  </si>
  <si>
    <t>Papel Vinilo Adhesivo Transparente A4 20 Hojas Homely 90g Blanco</t>
  </si>
  <si>
    <t>Papel Fotografico Adhesivo Matte A4 135g Homely 50 Hojas Blanco</t>
  </si>
  <si>
    <t>Ingresos</t>
  </si>
  <si>
    <t>Ventas</t>
  </si>
  <si>
    <t>Unidades</t>
  </si>
  <si>
    <t>Ingresos Adicionales TC</t>
  </si>
  <si>
    <t>Costo total</t>
  </si>
  <si>
    <t>Margen</t>
  </si>
  <si>
    <t>Margen %</t>
  </si>
  <si>
    <t>Costo producto</t>
  </si>
  <si>
    <t>Publicidad</t>
  </si>
  <si>
    <t>Fulfillment</t>
  </si>
  <si>
    <t>Comisión</t>
  </si>
  <si>
    <t>Envío neto</t>
  </si>
  <si>
    <t>35,59</t>
  </si>
  <si>
    <t>15,9</t>
  </si>
  <si>
    <t>32,73</t>
  </si>
  <si>
    <t>44,51</t>
  </si>
  <si>
    <t>30,55</t>
  </si>
  <si>
    <t>36,07</t>
  </si>
  <si>
    <t>29,19</t>
  </si>
  <si>
    <t>24,29</t>
  </si>
  <si>
    <t>28,81</t>
  </si>
  <si>
    <t>35,42</t>
  </si>
  <si>
    <t>Piso De Goma Eva Bebé Alfombra Debebe 10mm 60x60cm Set x8</t>
  </si>
  <si>
    <t>36,96</t>
  </si>
  <si>
    <t>26,9</t>
  </si>
  <si>
    <t>30,15</t>
  </si>
  <si>
    <t>35,05</t>
  </si>
  <si>
    <t>28,71</t>
  </si>
  <si>
    <t>28,66</t>
  </si>
  <si>
    <t>Camara De Seguridad 5G Zeker Doble 4MP Exterior Impermeable</t>
  </si>
  <si>
    <t>41,34</t>
  </si>
  <si>
    <t>Alfombra Antigolpes Bebe Plegable Debebe180x190x1 Jirafa</t>
  </si>
  <si>
    <t>41,93</t>
  </si>
  <si>
    <t>24,65</t>
  </si>
  <si>
    <t>40,17</t>
  </si>
  <si>
    <t>Bolso Funda Cobertor Notebook Homely 15.6' Portátil</t>
  </si>
  <si>
    <t>45,07</t>
  </si>
  <si>
    <t>Pack x2 Cámara De Seguridad 2.4G Zeker Doble 4MP Impermeable</t>
  </si>
  <si>
    <t>36,82</t>
  </si>
  <si>
    <t>30,37</t>
  </si>
  <si>
    <t>38,76</t>
  </si>
  <si>
    <t>31,99</t>
  </si>
  <si>
    <t>Alfombra Antigolpes Bebe Plegable Debebe 180x190x1cm</t>
  </si>
  <si>
    <t>23,21</t>
  </si>
  <si>
    <t>20,62</t>
  </si>
  <si>
    <t>41,44</t>
  </si>
  <si>
    <t>29,43</t>
  </si>
  <si>
    <t>25,2</t>
  </si>
  <si>
    <t>28,48</t>
  </si>
  <si>
    <t>20,5</t>
  </si>
  <si>
    <t>29,97</t>
  </si>
  <si>
    <t>29,16</t>
  </si>
  <si>
    <t>31,57</t>
  </si>
  <si>
    <t>38,95</t>
  </si>
  <si>
    <t>41,78</t>
  </si>
  <si>
    <t>36,9</t>
  </si>
  <si>
    <t>25,38</t>
  </si>
  <si>
    <t>28,13</t>
  </si>
  <si>
    <t>27,65</t>
  </si>
  <si>
    <t>38,52</t>
  </si>
  <si>
    <t>30,05</t>
  </si>
  <si>
    <t>32,29</t>
  </si>
  <si>
    <t>-47,94</t>
  </si>
  <si>
    <t>11,93</t>
  </si>
  <si>
    <t>26,98</t>
  </si>
  <si>
    <t>31,75</t>
  </si>
  <si>
    <t>60,67</t>
  </si>
  <si>
    <t>Vaso Termico 1.2Lts Electra By Fellow Mug Tumblr + Bombilla</t>
  </si>
  <si>
    <t>43,62</t>
  </si>
  <si>
    <t>20,93</t>
  </si>
  <si>
    <t>30,68</t>
  </si>
  <si>
    <t>40,52</t>
  </si>
  <si>
    <t>38,98</t>
  </si>
  <si>
    <t>22,71</t>
  </si>
  <si>
    <t>34,01</t>
  </si>
  <si>
    <t>23,32</t>
  </si>
  <si>
    <t>41,83</t>
  </si>
  <si>
    <t>37,73</t>
  </si>
  <si>
    <t>31,17</t>
  </si>
  <si>
    <t>38,16</t>
  </si>
  <si>
    <t>32,89</t>
  </si>
  <si>
    <t>30,5</t>
  </si>
  <si>
    <t>53,05</t>
  </si>
  <si>
    <t>9,43</t>
  </si>
  <si>
    <t>11,88</t>
  </si>
  <si>
    <t>22,99</t>
  </si>
  <si>
    <t>34,38</t>
  </si>
  <si>
    <t>9,4</t>
  </si>
  <si>
    <t>37,05</t>
  </si>
  <si>
    <t>28,94</t>
  </si>
  <si>
    <t>Soldadora Inverter Colton 4KW 220V + Accesorios</t>
  </si>
  <si>
    <t>28,35</t>
  </si>
  <si>
    <t>34,63</t>
  </si>
  <si>
    <t>33,61</t>
  </si>
  <si>
    <t>38,8</t>
  </si>
  <si>
    <t>Vaso Térmico 1.2L Electra By Fellow Mug Tumblr Bombilla</t>
  </si>
  <si>
    <t>11,56</t>
  </si>
  <si>
    <t>42,34</t>
  </si>
  <si>
    <t>Mochila Notebook 15.6'' Luxgear Luxor Oficina Viaje Imperm</t>
  </si>
  <si>
    <t>26,42</t>
  </si>
  <si>
    <t>40,37</t>
  </si>
  <si>
    <t>39,52</t>
  </si>
  <si>
    <t>26,82</t>
  </si>
  <si>
    <t>34,84</t>
  </si>
  <si>
    <t>Pack x3 Cámara De Seguridad 2.4G Zeker Doble 4MP Impermeable</t>
  </si>
  <si>
    <t>41,13</t>
  </si>
  <si>
    <t>38,05</t>
  </si>
  <si>
    <t>14,82</t>
  </si>
  <si>
    <t>42,19</t>
  </si>
  <si>
    <t>28,2</t>
  </si>
  <si>
    <t>31,5</t>
  </si>
  <si>
    <t>35,99</t>
  </si>
  <si>
    <t>30,13</t>
  </si>
  <si>
    <t>33,66</t>
  </si>
  <si>
    <t>19,81</t>
  </si>
  <si>
    <t>33,15</t>
  </si>
  <si>
    <t>27,28</t>
  </si>
  <si>
    <t>5,05</t>
  </si>
  <si>
    <t>52,27</t>
  </si>
  <si>
    <t>30,49</t>
  </si>
  <si>
    <t>25,79</t>
  </si>
  <si>
    <t>35,7</t>
  </si>
  <si>
    <t>36,36</t>
  </si>
  <si>
    <t>26,23</t>
  </si>
  <si>
    <t>19,24</t>
  </si>
  <si>
    <t>19,01</t>
  </si>
  <si>
    <t>39,05</t>
  </si>
  <si>
    <t>52,41</t>
  </si>
  <si>
    <t>33,42</t>
  </si>
  <si>
    <t>40,3</t>
  </si>
  <si>
    <t>33,71</t>
  </si>
  <si>
    <t>40,69</t>
  </si>
  <si>
    <t>22,12</t>
  </si>
  <si>
    <t>15,99</t>
  </si>
  <si>
    <t>11,55</t>
  </si>
  <si>
    <t>15,84</t>
  </si>
  <si>
    <t>29,05</t>
  </si>
  <si>
    <t>44,47</t>
  </si>
  <si>
    <t>36,08</t>
  </si>
  <si>
    <t>36,66</t>
  </si>
  <si>
    <t>21,83</t>
  </si>
  <si>
    <t>46,19</t>
  </si>
  <si>
    <t>43,2</t>
  </si>
  <si>
    <t>57,33</t>
  </si>
  <si>
    <t>33,77</t>
  </si>
  <si>
    <t>40,63</t>
  </si>
  <si>
    <t>Camara De Seguridad Interior Wifi IP Zeker 2MP 2.4G X2</t>
  </si>
  <si>
    <t>32,86</t>
  </si>
  <si>
    <t>17,34</t>
  </si>
  <si>
    <t>7,6</t>
  </si>
  <si>
    <t>28,18</t>
  </si>
  <si>
    <t>24,32</t>
  </si>
  <si>
    <t>29,96</t>
  </si>
  <si>
    <t>38,82</t>
  </si>
  <si>
    <t>36,92</t>
  </si>
  <si>
    <t>26,1</t>
  </si>
  <si>
    <t>Plancha Churrasquera Hierro Fundido Atelier Cocina 2 en 1</t>
  </si>
  <si>
    <t>32,09</t>
  </si>
  <si>
    <t>16,61</t>
  </si>
  <si>
    <t>Piso De Goma Eva Bebe Alfombra Debebe 10mm 60x60cm x8 RyB</t>
  </si>
  <si>
    <t>42,96</t>
  </si>
  <si>
    <t>27,6</t>
  </si>
  <si>
    <t>20,13</t>
  </si>
  <si>
    <t>13,4</t>
  </si>
  <si>
    <t>-1,05</t>
  </si>
  <si>
    <t>22,05</t>
  </si>
  <si>
    <t>51,7</t>
  </si>
  <si>
    <t>24,57</t>
  </si>
  <si>
    <t>21,99</t>
  </si>
  <si>
    <t>25,6</t>
  </si>
  <si>
    <t>Papel Fotografico Glossy Adhesivo A4 135 Grs Homely 100 Hoja</t>
  </si>
  <si>
    <t>30,33</t>
  </si>
  <si>
    <t>31,73</t>
  </si>
  <si>
    <t>35,27</t>
  </si>
  <si>
    <t>17,75</t>
  </si>
  <si>
    <t>22,1</t>
  </si>
  <si>
    <t>44,78</t>
  </si>
  <si>
    <t>33,93</t>
  </si>
  <si>
    <t>39,2</t>
  </si>
  <si>
    <t>40,9</t>
  </si>
  <si>
    <t>43,72</t>
  </si>
  <si>
    <t>41,95</t>
  </si>
  <si>
    <t>41,39</t>
  </si>
  <si>
    <t>5,66</t>
  </si>
  <si>
    <t>39,01</t>
  </si>
  <si>
    <t>-16,31</t>
  </si>
  <si>
    <t>9,14</t>
  </si>
  <si>
    <t>Colchon Memory Foam Espuma Viscoelastica 20cm Howell 2 Plaza</t>
  </si>
  <si>
    <t>17,51</t>
  </si>
  <si>
    <t>36,84</t>
  </si>
  <si>
    <t>40,43</t>
  </si>
  <si>
    <t>31,21</t>
  </si>
  <si>
    <t>25,45</t>
  </si>
  <si>
    <t>Colchon Memory Foam Espuma Viscoelastica 20cm Howell 1 Plaza</t>
  </si>
  <si>
    <t>29,29</t>
  </si>
  <si>
    <t>27,33</t>
  </si>
  <si>
    <t>27,46</t>
  </si>
  <si>
    <t>30,75</t>
  </si>
  <si>
    <t>35,51</t>
  </si>
  <si>
    <t>32,44</t>
  </si>
  <si>
    <t>30,97</t>
  </si>
  <si>
    <t>22,86</t>
  </si>
  <si>
    <t>37,78</t>
  </si>
  <si>
    <t>29,92</t>
  </si>
  <si>
    <t>47,78</t>
  </si>
  <si>
    <t>Barra Preolimpica Z 4.2 kg Overfit 120 cm Cromada Fitness</t>
  </si>
  <si>
    <t>41,22</t>
  </si>
  <si>
    <t>33,87</t>
  </si>
  <si>
    <t>37,11</t>
  </si>
  <si>
    <t>33,47</t>
  </si>
  <si>
    <t>36,62</t>
  </si>
  <si>
    <t>34,67</t>
  </si>
  <si>
    <t>38,63</t>
  </si>
  <si>
    <t>13,32</t>
  </si>
  <si>
    <t>39,04</t>
  </si>
  <si>
    <t>31,85</t>
  </si>
  <si>
    <t>14,07</t>
  </si>
  <si>
    <t>37,44</t>
  </si>
  <si>
    <t>23,71</t>
  </si>
  <si>
    <t>41,69</t>
  </si>
  <si>
    <t>61,79</t>
  </si>
  <si>
    <t>14,25</t>
  </si>
  <si>
    <t>12,48</t>
  </si>
  <si>
    <t>31,9</t>
  </si>
  <si>
    <t>16,37</t>
  </si>
  <si>
    <t>Cama de perro cuadrada Duke talla M 70 x 50 x 16 cm Gris</t>
  </si>
  <si>
    <t>16,36</t>
  </si>
  <si>
    <t>36,03</t>
  </si>
  <si>
    <t>35,75</t>
  </si>
  <si>
    <t>32,76</t>
  </si>
  <si>
    <t>50,98</t>
  </si>
  <si>
    <t>44,64</t>
  </si>
  <si>
    <t>Pack X2 Camara De Seguridad Wifi Impermeable Zeker 4mp 2.4g</t>
  </si>
  <si>
    <t>32,1</t>
  </si>
  <si>
    <t>54,34</t>
  </si>
  <si>
    <t>43,32</t>
  </si>
  <si>
    <t>32,47</t>
  </si>
  <si>
    <t>34,85</t>
  </si>
  <si>
    <t>Pack X3 Camara De Seguridad Wifi Impermeable Zeker 4mp 2.4g</t>
  </si>
  <si>
    <t>43,4</t>
  </si>
  <si>
    <t>Bolsas Organizadoras Almacenamiento plasticas Homely 40L X4</t>
  </si>
  <si>
    <t>Cajas Organizadoras Homely Tapa Tela Impermeable 22L Set X2</t>
  </si>
  <si>
    <t>35,87</t>
  </si>
  <si>
    <t>Bolsas Organizadoras Bajo Cama Homely Contenedor 90L Set X2</t>
  </si>
  <si>
    <t>34,65</t>
  </si>
  <si>
    <t>Cajas Organizadoras Bajo Cama Homely Carrito Ruedas 48L X2</t>
  </si>
  <si>
    <t>25,17</t>
  </si>
  <si>
    <t>Colgadores Ganchos De Ropa Pantalon Homely Percha Set 30 U</t>
  </si>
  <si>
    <t>14,43</t>
  </si>
  <si>
    <t>21,81</t>
  </si>
  <si>
    <t>33,74</t>
  </si>
  <si>
    <t>33,34</t>
  </si>
  <si>
    <t>32,97</t>
  </si>
  <si>
    <t>Colgadores De Pinza Para Pantalon Homely Ganchos Ropa 30 U</t>
  </si>
  <si>
    <t>33,11</t>
  </si>
  <si>
    <t>Colgadores Ganchos De Ropa Pantalon Homely Percha Set 50 U</t>
  </si>
  <si>
    <t>15,17</t>
  </si>
  <si>
    <t>27,96</t>
  </si>
  <si>
    <t>Organizador de ducha acero inoxidable Homely Set X7</t>
  </si>
  <si>
    <t>22,88</t>
  </si>
  <si>
    <t>Organizador De Ducha Esquinero Homely Acero Inox Set X2</t>
  </si>
  <si>
    <t>31,56</t>
  </si>
  <si>
    <t>Organizador De Ducha Homely Repisa Estante Aluminio Set X2</t>
  </si>
  <si>
    <t>23,23</t>
  </si>
  <si>
    <t>Toallas Microfibra Secado Rapido Overfit Absorbentes Pack X3</t>
  </si>
  <si>
    <t>27,32</t>
  </si>
  <si>
    <t>38,26</t>
  </si>
  <si>
    <t>31,63</t>
  </si>
  <si>
    <t>Almohada Cervical Aircell Visco Howell Ortopedica Bambu</t>
  </si>
  <si>
    <t>25,78</t>
  </si>
  <si>
    <t>51,72</t>
  </si>
  <si>
    <t>48,8</t>
  </si>
  <si>
    <t>40,29</t>
  </si>
  <si>
    <t>Colchon Inflable Electrico 1.5 Plaza Overfit Bomba Portatil</t>
  </si>
  <si>
    <t>26,6</t>
  </si>
  <si>
    <t>20,7</t>
  </si>
  <si>
    <t>Scooter Aluminio Kidmon Plegable Monopatin 3 Ruedas de Luces</t>
  </si>
  <si>
    <t>39,51</t>
  </si>
  <si>
    <t>-43,97</t>
  </si>
  <si>
    <t>28,06</t>
  </si>
  <si>
    <t>25,01</t>
  </si>
  <si>
    <t>32,19</t>
  </si>
  <si>
    <t>Silla Plegable Camping Overfit + Bolso Transporte Playa</t>
  </si>
  <si>
    <t>35,63</t>
  </si>
  <si>
    <t>Bolso Deportivo Duffel Gym 3 en 1 Overfit Oxford Impermeable</t>
  </si>
  <si>
    <t>36,33</t>
  </si>
  <si>
    <t>Toallas de Baño Algodon Homely 500 Gsm Cuerpo y Manos Set X2</t>
  </si>
  <si>
    <t>23,34</t>
  </si>
  <si>
    <t>Secaplatos 2 Niveles Bambu Homely Escurridor Portacubiertos</t>
  </si>
  <si>
    <t>25,82</t>
  </si>
  <si>
    <t>Toallas de Baño Algodon Homely 350 Gsm Cuerpo y Manos Set X2</t>
  </si>
  <si>
    <t>16,3</t>
  </si>
  <si>
    <t>Carpa De Camping 4 Personas Iglu Overfit Impermeable 500mm</t>
  </si>
  <si>
    <t>30,39</t>
  </si>
  <si>
    <t>17,08</t>
  </si>
  <si>
    <t>17,81</t>
  </si>
  <si>
    <t>Base cama 2 plazas Howell 190x150x30 Acero Soporta 400kg</t>
  </si>
  <si>
    <t>21,19</t>
  </si>
  <si>
    <t>Scooter Abs Kidmon Plegable Monopatin 3 Ruedas RGB</t>
  </si>
  <si>
    <t>Base cama 1 plaza Howell 190x90x30 Acero Soporta 250kg</t>
  </si>
  <si>
    <t>25,3</t>
  </si>
  <si>
    <t>37,32</t>
  </si>
  <si>
    <t>Ampolletas Led E27 Hosser Inteligente Led 9W RGB App Tuya</t>
  </si>
  <si>
    <t>40,94</t>
  </si>
  <si>
    <t>35,5</t>
  </si>
  <si>
    <t>37,36</t>
  </si>
  <si>
    <t>Camara De Seguridad Interior Doble Zeker 4MP 2.5Ghz Wifi IP</t>
  </si>
  <si>
    <t>29,11</t>
  </si>
  <si>
    <t>Monitor PC Gamer Curvo 32 Pulgadas Hosser FHD Gaming</t>
  </si>
  <si>
    <t>39,84</t>
  </si>
  <si>
    <t>Camara De Seguridad Helicopter Zeker 6MP 5G Wifi Exterior</t>
  </si>
  <si>
    <t>34,82</t>
  </si>
  <si>
    <t>Camara de Seguridad Domo Zeker 4MP 2.4G Wifi Impermeable</t>
  </si>
  <si>
    <t>29,71</t>
  </si>
  <si>
    <t>Camara De Seguridad Interior Doble Zeker 4MP 2.4G Wifi IP x3</t>
  </si>
  <si>
    <t>24,27</t>
  </si>
  <si>
    <t>Camara De Seguridad Interior Doble Zeker 4MP 2.4G Wifi IP x2</t>
  </si>
  <si>
    <t>21,51</t>
  </si>
  <si>
    <t>Camara de Seguridad Domo Zeker 4MP 2.4G Wifi Impermeable X3</t>
  </si>
  <si>
    <t>32,59</t>
  </si>
  <si>
    <t>Camara De Seguridad Helicopter Zeker 6MP 5G Wifi Exterior X3</t>
  </si>
  <si>
    <t>38,97</t>
  </si>
  <si>
    <t>Camara de Seguridad Domo Zeker 4MP 5G Wifi Impermeable X2</t>
  </si>
  <si>
    <t>35,82</t>
  </si>
  <si>
    <t>Camara De Seguridad Helicopter Zeker 6MP 5G Wifi Exterior X2</t>
  </si>
  <si>
    <t>28,12</t>
  </si>
  <si>
    <t>28,82</t>
  </si>
  <si>
    <t>Linterna Led Largo Alcance De Bolsillo Overfit Recargable</t>
  </si>
  <si>
    <t>25,9</t>
  </si>
  <si>
    <t>Cuchillo Chef 21 Cm Fervora Profesional de Cocina Acero Inox</t>
  </si>
  <si>
    <t>45,35</t>
  </si>
  <si>
    <t>20,56</t>
  </si>
  <si>
    <t>13,78</t>
  </si>
  <si>
    <t>Mopa Plana Giratoria 360° Balde Plegable Homely Microfibra</t>
  </si>
  <si>
    <t>17,94</t>
  </si>
  <si>
    <t>Mopa Plana 360° Spray Pulverizador Homely Microfibra Lavable</t>
  </si>
  <si>
    <t>42,44</t>
  </si>
  <si>
    <t>Tarjeta Micro Sd Memoria 128 Gb Zeker 100mbps Adaptador SD</t>
  </si>
  <si>
    <t>18,41</t>
  </si>
  <si>
    <t>26,72</t>
  </si>
  <si>
    <t>13,37</t>
  </si>
  <si>
    <t>Funda Cubre Sillon Sofa Homely Ajustable Impermeable</t>
  </si>
  <si>
    <t>Funda Cubre Sillon Sofa Futon Homely 3 Cuerpos Premium</t>
  </si>
  <si>
    <t>27,81</t>
  </si>
  <si>
    <t>28,95</t>
  </si>
  <si>
    <t>Cuchillo Chef Profesional Fervora De Cocina Set 15 Pzs</t>
  </si>
  <si>
    <t>24,61</t>
  </si>
  <si>
    <t>24,42</t>
  </si>
  <si>
    <t>Trotadora 2 Hp Overfit Caminadora Electrica Plegable 10 Km/h</t>
  </si>
  <si>
    <t>39,77</t>
  </si>
  <si>
    <t>Mugs Cobre Moscow Mule Vasos Coctel Atelier 500 Ml Set x2</t>
  </si>
  <si>
    <t>29,26</t>
  </si>
  <si>
    <t>33,67</t>
  </si>
  <si>
    <t>31,83</t>
  </si>
  <si>
    <t>27,09</t>
  </si>
  <si>
    <t>7,77</t>
  </si>
  <si>
    <t>38,35</t>
  </si>
  <si>
    <t>42,65</t>
  </si>
  <si>
    <t>41,09</t>
  </si>
  <si>
    <t>Protectores Auditivos Tapones Anti Ruido 45db Howell</t>
  </si>
  <si>
    <t>40,95</t>
  </si>
  <si>
    <t>Colchoneta Deportiva Overfit 50 mm Ejercicios Abdominales</t>
  </si>
  <si>
    <t>35,74</t>
  </si>
  <si>
    <t>66,63</t>
  </si>
  <si>
    <t>Timbre Inalambrico De Seguridad Inteligente Zeker Camara 4mp</t>
  </si>
  <si>
    <t>Topper Cubre Colchon 1.5 Plazas Homely Acolchado Premium</t>
  </si>
  <si>
    <t>33,85</t>
  </si>
  <si>
    <t>Topper Cubre Colchon 2 Plazas Homely Acolchado Premium</t>
  </si>
  <si>
    <t>39,92</t>
  </si>
  <si>
    <t>Guitarra Electroacustica Ibrah Music 41 Pulgadas Funda + Acc</t>
  </si>
  <si>
    <t>Guitarra Electrica Stratocaster Niño Ibrah 30 Pgds Amplif</t>
  </si>
  <si>
    <t>26,8</t>
  </si>
  <si>
    <t>Amplificador Guitarra Electrica y Electroacustica Ibrah KA-20W</t>
  </si>
  <si>
    <t>38,41</t>
  </si>
  <si>
    <t>19,62</t>
  </si>
  <si>
    <t>-24,02</t>
  </si>
  <si>
    <t>22,49</t>
  </si>
  <si>
    <t>38,68</t>
  </si>
  <si>
    <t>31,19</t>
  </si>
  <si>
    <t>31,29</t>
  </si>
  <si>
    <t>Par Discos Preolimpicos 5Kg Overfit PVC Set 2 Pesas Barra</t>
  </si>
  <si>
    <t>27,21</t>
  </si>
  <si>
    <t>Tupper Frasco Vidrio Con Divisiones 965 Ml Templado Homely</t>
  </si>
  <si>
    <t>Accesorios Para Guitarra Acustica Ibrah Music Cuerdas Kit</t>
  </si>
  <si>
    <t>25,83</t>
  </si>
  <si>
    <t>Prensa Francesa Portatil Kimito 500 Ml Cafetera travel</t>
  </si>
  <si>
    <t>43,69</t>
  </si>
  <si>
    <t>Barra Preolimpica Recta 4.2 kg Overfit 120Cm Cromada Fitness</t>
  </si>
  <si>
    <t>39,1</t>
  </si>
  <si>
    <t>Termo Comida y Liquido Kimito Acero 1200 Ml Multiproposito</t>
  </si>
  <si>
    <t>31,81</t>
  </si>
  <si>
    <t>Bolso Gym Deportivo Duffel Overfit 45L Gimnasio Entrenamient</t>
  </si>
  <si>
    <t>30,31</t>
  </si>
  <si>
    <t>Par Discos Preolimpicos 10Kg Overfit PVC Set 2 Pesas Barra</t>
  </si>
  <si>
    <t>28,61</t>
  </si>
  <si>
    <t>Tupper Frasco Vidrio 640 Ml Templado Hermetico Set x3 Homely</t>
  </si>
  <si>
    <t>28,24</t>
  </si>
  <si>
    <t>Parches Electrodos Tens Electroestimuladores 20 U Howell</t>
  </si>
  <si>
    <t>32,45</t>
  </si>
  <si>
    <t>27,91</t>
  </si>
  <si>
    <t>33,7</t>
  </si>
  <si>
    <t>31,84</t>
  </si>
  <si>
    <t>Papel Fotografico Doble Faz Brillante A4 220Gr Homely 50hjs</t>
  </si>
  <si>
    <t>30,52</t>
  </si>
  <si>
    <t>Cojin Lumbar Ortopedico 3D Mesh Howell Espalda Memory Dorsal</t>
  </si>
  <si>
    <t>32,07</t>
  </si>
  <si>
    <t>Guirnalda Terraza Ext 10 Metros Ampolleta Impermeable Homely</t>
  </si>
  <si>
    <t>32,75</t>
  </si>
  <si>
    <t>Monitor PC Gamer Curvo 34" UltraWide Hosser 165Hz Gaming 1ms</t>
  </si>
  <si>
    <t>37,02</t>
  </si>
  <si>
    <t>Tens Electroestimulador Muscular 36 Modos Howell EMS Dual</t>
  </si>
  <si>
    <t>21,9</t>
  </si>
  <si>
    <t>Sierra Eléctrica Colton 6 pulgadas + 2 baterías</t>
  </si>
  <si>
    <t>25,15</t>
  </si>
  <si>
    <t>30,22</t>
  </si>
  <si>
    <t>36,44</t>
  </si>
  <si>
    <t>38,2</t>
  </si>
  <si>
    <t>29,25</t>
  </si>
  <si>
    <t>45,36</t>
  </si>
  <si>
    <t>33,17</t>
  </si>
  <si>
    <t>Bateria Electrica Profesional MIDI Ibrah Music 14 Piezas</t>
  </si>
  <si>
    <t>40,36</t>
  </si>
  <si>
    <t>25,25</t>
  </si>
  <si>
    <t>28,28</t>
  </si>
  <si>
    <t>34,07</t>
  </si>
  <si>
    <t>36,7</t>
  </si>
  <si>
    <t>Disco Pesa Olimpica Goma Overfit 10kg Antideslizante</t>
  </si>
  <si>
    <t>27,17</t>
  </si>
  <si>
    <t>Disco Pesa Olimpica Goma Overfit 5kg Antideslizante</t>
  </si>
  <si>
    <t>24,08</t>
  </si>
  <si>
    <t>Frazada Polar Termica Queen Homely 300gsm Manta 220x220cm</t>
  </si>
  <si>
    <t>26,77</t>
  </si>
  <si>
    <t>Disco Pesa Olimpica Goma Overfit 20kg Antideslizante</t>
  </si>
  <si>
    <t>32,78</t>
  </si>
  <si>
    <t>Mancuernas Cromadas 30kg Ajustables + Barra Unibles Overfit</t>
  </si>
  <si>
    <t>39,67</t>
  </si>
  <si>
    <t>Frazada Polar Termica King 300GSM Homely Manta 250x230cm</t>
  </si>
  <si>
    <t>25,09</t>
  </si>
  <si>
    <t>Disco Pesa Olimpica Goma Overfit 15kg Antideslizante</t>
  </si>
  <si>
    <t>32,3</t>
  </si>
  <si>
    <t>Frazada Polar Termica King Homely 300GSM Manta 250x230cm</t>
  </si>
  <si>
    <t>24,45</t>
  </si>
  <si>
    <t>Colchoneta Deportiva Lisa Overfit 50mm Ejercicios Abdominal</t>
  </si>
  <si>
    <t>32,12</t>
  </si>
  <si>
    <t>45,03</t>
  </si>
  <si>
    <t>Mochila De Viaje con Bomba al Vacio Luxgear 900D 42 Litros</t>
  </si>
  <si>
    <t>26,57</t>
  </si>
  <si>
    <t>Pack X3 Camara De Seguridad 2.4g Zeker Doble 6mp Impermeable</t>
  </si>
  <si>
    <t>38,11</t>
  </si>
  <si>
    <t>40,11</t>
  </si>
  <si>
    <t>42,11</t>
  </si>
  <si>
    <t>Camara De Seguridad Wifi Exterior Impermeable Zeker 4mp 2.4g</t>
  </si>
  <si>
    <t>42,07</t>
  </si>
  <si>
    <t>32,13</t>
  </si>
  <si>
    <t>36,12</t>
  </si>
  <si>
    <t>Ukelele Caoba Soprano Concierto Ibrah Music + Accesorios</t>
  </si>
  <si>
    <t>Mat Yoga TPE Overfit 183x61cm 8mm Bicolor Negro Lineas</t>
  </si>
  <si>
    <t>38,18</t>
  </si>
  <si>
    <t>Pack 50 Lancetas Glucometro Howell 28G Desechables</t>
  </si>
  <si>
    <t>26,7</t>
  </si>
  <si>
    <t>Kit Glucometro Howell BG-710b Bluetooth +Tiras+Lancetas</t>
  </si>
  <si>
    <t>-7,78</t>
  </si>
  <si>
    <t>Tiras Nasales Howell Dilatador Nasal 30 Unidades Negro</t>
  </si>
  <si>
    <t>-46,44</t>
  </si>
  <si>
    <t>Silla de Ruedas Plegable Howell Aluminio 7kg Adulto</t>
  </si>
  <si>
    <t>45,96</t>
  </si>
  <si>
    <t>Masajeador Piernas Bota Compresion Howell Inalambrico</t>
  </si>
  <si>
    <t>35,34</t>
  </si>
  <si>
    <t>Almohada Cervical Memory Foam Howell Visco Carbon Aircell</t>
  </si>
  <si>
    <t>3,11</t>
  </si>
  <si>
    <t>Calienta Camas King Dual Hosser 180x200cm Electrico</t>
  </si>
  <si>
    <t>58,69</t>
  </si>
  <si>
    <t>Pack 50 Tiras Reactivas Glucometro Howell BS-602</t>
  </si>
  <si>
    <t>38,24</t>
  </si>
  <si>
    <t>Calienta Camas 2 Plazas Dual Hosser 160x150cm Electrico</t>
  </si>
  <si>
    <t>31,59</t>
  </si>
  <si>
    <t>Mat Yoga NBR Overfit 189x61cm 15mm Rosado Antideslizante</t>
  </si>
  <si>
    <t>22,61</t>
  </si>
  <si>
    <t>Frazada Polar Termica Queen Homely Manta 220x220cm 300gsm</t>
  </si>
  <si>
    <t>2,09</t>
  </si>
  <si>
    <t>Barra Olimpica Hexagonal 23kg Overfit Acero Peso Muerto</t>
  </si>
  <si>
    <t>46,3</t>
  </si>
  <si>
    <t>36,4</t>
  </si>
  <si>
    <t>Amplificador Bajo Electrico Ibrah Music 20w Rpa-20 + Boost</t>
  </si>
  <si>
    <t>44,18</t>
  </si>
  <si>
    <t>Cuchillo Santoku 18 cm Fervora Profesional Acero 3CR13 Japon</t>
  </si>
  <si>
    <t>-15,58</t>
  </si>
  <si>
    <t>Cuchillo Chef 18 cm Fervora Profesional Acero 3CR13 Japones</t>
  </si>
  <si>
    <t>28,58</t>
  </si>
  <si>
    <t>Lampara Mesa LED Doble Hosser Touch 10W 400lm Negro</t>
  </si>
  <si>
    <t>5,91</t>
  </si>
  <si>
    <t>40,77</t>
  </si>
  <si>
    <t>96,26</t>
  </si>
  <si>
    <t>toallitas húmedas de bebe</t>
  </si>
  <si>
    <t>toallitas húmedas de adulto</t>
  </si>
  <si>
    <t>Codigo EAN</t>
  </si>
  <si>
    <t>TITULO</t>
  </si>
  <si>
    <t>Ancho</t>
  </si>
  <si>
    <t>Alto</t>
  </si>
  <si>
    <t>Largo</t>
  </si>
  <si>
    <t>notas</t>
  </si>
  <si>
    <t>50+</t>
  </si>
  <si>
    <t>1.5 (grosor)</t>
  </si>
  <si>
    <t>1 (grosor)</t>
  </si>
  <si>
    <t>2 (grosor)</t>
  </si>
  <si>
    <t xml:space="preserve">tradicional </t>
  </si>
  <si>
    <t xml:space="preserve">catalogo </t>
  </si>
  <si>
    <t>falla</t>
  </si>
  <si>
    <t xml:space="preserve">todo listo </t>
  </si>
  <si>
    <t xml:space="preserve">cambios </t>
  </si>
  <si>
    <t xml:space="preserve">listo </t>
  </si>
  <si>
    <t>listo</t>
  </si>
  <si>
    <t>precio a corregir?</t>
  </si>
  <si>
    <t xml:space="preserve">se necesitan medidas y peso </t>
  </si>
  <si>
    <t>se necesitan medidas y peso</t>
  </si>
  <si>
    <t xml:space="preserve">peso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</si>
</sst>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"/>
    <numFmt numFmtId="165" formatCode="0.0"/>
    <numFmt numFmtId="166" formatCode="d/M/yyyy"/>
    <numFmt numFmtId="167" formatCode="0.0%"/>
    <numFmt numFmtId="168" formatCode="_ * #,##0_ ;_ * \-#,##0_ ;_ * &quot;-&quot;_ ;_ @_ "/>
    <numFmt numFmtId="169" formatCode="mmmm yyyy"/>
    <numFmt numFmtId="170" formatCode="dd/mm/yyyy"/>
    <numFmt numFmtId="171" formatCode="0.0000"/>
    <numFmt numFmtId="172" formatCode="&quot;$&quot;#,##0.00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2.0"/>
      <color theme="1"/>
      <name val="Calibri"/>
    </font>
    <font>
      <sz val="10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sz val="12.0"/>
      <color rgb="FF000000"/>
      <name val="Calibri"/>
    </font>
    <font>
      <sz val="11.0"/>
      <color theme="1"/>
      <name val="Calibri"/>
    </font>
    <font>
      <b/>
      <color theme="1"/>
      <name val="Arial"/>
    </font>
    <font>
      <b/>
      <sz val="12.0"/>
      <color theme="1"/>
      <name val="Calibri"/>
    </font>
    <font>
      <u/>
      <color rgb="FF1155CC"/>
      <name val="Arial"/>
    </font>
    <font>
      <b/>
      <sz val="11.0"/>
      <color theme="1"/>
      <name val="Arial"/>
      <scheme val="minor"/>
    </font>
    <font>
      <color rgb="FF1F1F1F"/>
      <name val="&quot;Google Sans Text&quot;"/>
    </font>
    <font>
      <sz val="11.0"/>
      <color theme="1"/>
      <name val="Arial"/>
      <scheme val="minor"/>
    </font>
    <font>
      <b/>
      <color rgb="FF1F1F1F"/>
      <name val="&quot;Google Sans Text&quot;"/>
    </font>
    <font>
      <b/>
      <sz val="11.0"/>
      <color rgb="FF333333"/>
      <name val="Proxima Nova"/>
    </font>
    <font>
      <sz val="11.0"/>
      <color rgb="FF333333"/>
      <name val="Proxima Nova"/>
    </font>
    <font>
      <b/>
      <sz val="11.0"/>
      <color theme="1"/>
      <name val="Calibri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readingOrder="0"/>
    </xf>
    <xf borderId="1" fillId="4" fontId="1" numFmtId="164" xfId="0" applyAlignment="1" applyBorder="1" applyFill="1" applyFont="1" applyNumberFormat="1">
      <alignment readingOrder="0"/>
    </xf>
    <xf borderId="1" fillId="5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horizontal="right" readingOrder="0"/>
    </xf>
    <xf borderId="1" fillId="3" fontId="1" numFmtId="165" xfId="0" applyAlignment="1" applyBorder="1" applyFont="1" applyNumberFormat="1">
      <alignment horizontal="right" readingOrder="0"/>
    </xf>
    <xf borderId="1" fillId="3" fontId="1" numFmtId="166" xfId="0" applyAlignment="1" applyBorder="1" applyFont="1" applyNumberFormat="1">
      <alignment readingOrder="0"/>
    </xf>
    <xf borderId="1" fillId="6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5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4" fontId="2" numFmtId="164" xfId="0" applyAlignment="1" applyBorder="1" applyFont="1" applyNumberFormat="1">
      <alignment readingOrder="0"/>
    </xf>
    <xf borderId="1" fillId="5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0" xfId="0" applyBorder="1" applyFont="1" applyNumberFormat="1"/>
    <xf borderId="1" fillId="0" fontId="2" numFmtId="0" xfId="0" applyBorder="1" applyFont="1"/>
    <xf borderId="1" fillId="5" fontId="2" numFmtId="167" xfId="0" applyAlignment="1" applyBorder="1" applyFont="1" applyNumberFormat="1">
      <alignment readingOrder="0"/>
    </xf>
    <xf borderId="1" fillId="4" fontId="2" numFmtId="168" xfId="0" applyAlignment="1" applyBorder="1" applyFont="1" applyNumberFormat="1">
      <alignment readingOrder="0"/>
    </xf>
    <xf borderId="1" fillId="4" fontId="2" numFmtId="168" xfId="0" applyBorder="1" applyFont="1" applyNumberFormat="1"/>
    <xf borderId="1" fillId="0" fontId="6" numFmtId="0" xfId="0" applyAlignment="1" applyBorder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right" readingOrder="0" vertical="bottom"/>
    </xf>
    <xf borderId="1" fillId="0" fontId="5" numFmtId="165" xfId="0" applyAlignment="1" applyBorder="1" applyFont="1" applyNumberFormat="1">
      <alignment horizontal="right" vertical="bottom"/>
    </xf>
    <xf borderId="1" fillId="0" fontId="5" numFmtId="1" xfId="0" applyAlignment="1" applyBorder="1" applyFont="1" applyNumberFormat="1">
      <alignment horizontal="right" vertical="bottom"/>
    </xf>
    <xf borderId="1" fillId="0" fontId="2" numFmtId="169" xfId="0" applyAlignment="1" applyBorder="1" applyFont="1" applyNumberFormat="1">
      <alignment readingOrder="0"/>
    </xf>
    <xf borderId="1" fillId="0" fontId="5" numFmtId="165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readingOrder="0" shrinkToFit="0" vertical="bottom" wrapText="0"/>
    </xf>
    <xf borderId="1" fillId="4" fontId="5" numFmtId="0" xfId="0" applyAlignment="1" applyBorder="1" applyFont="1">
      <alignment vertical="bottom"/>
    </xf>
    <xf borderId="1" fillId="4" fontId="8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9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readingOrder="0" shrinkToFit="0" wrapText="0"/>
    </xf>
    <xf borderId="1" fillId="4" fontId="2" numFmtId="164" xfId="0" applyBorder="1" applyFont="1" applyNumberFormat="1"/>
    <xf borderId="1" fillId="0" fontId="8" numFmtId="0" xfId="0" applyAlignment="1" applyBorder="1" applyFont="1">
      <alignment vertical="bottom"/>
    </xf>
    <xf borderId="1" fillId="0" fontId="5" numFmtId="164" xfId="0" applyAlignment="1" applyBorder="1" applyFont="1" applyNumberFormat="1">
      <alignment readingOrder="0" vertical="bottom"/>
    </xf>
    <xf borderId="1" fillId="0" fontId="8" numFmtId="0" xfId="0" applyAlignment="1" applyBorder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readingOrder="0"/>
    </xf>
    <xf borderId="1" fillId="5" fontId="2" numFmtId="0" xfId="0" applyBorder="1" applyFont="1"/>
    <xf borderId="1" fillId="0" fontId="2" numFmtId="0" xfId="0" applyAlignment="1" applyBorder="1" applyFont="1">
      <alignment shrinkToFit="0" wrapText="0"/>
    </xf>
    <xf borderId="1" fillId="0" fontId="2" numFmtId="165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/>
    </xf>
    <xf borderId="1" fillId="0" fontId="10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/>
    </xf>
    <xf borderId="1" fillId="7" fontId="11" numFmtId="0" xfId="0" applyAlignment="1" applyBorder="1" applyFill="1" applyFont="1">
      <alignment vertical="center"/>
    </xf>
    <xf borderId="1" fillId="7" fontId="11" numFmtId="0" xfId="0" applyAlignment="1" applyBorder="1" applyFont="1">
      <alignment readingOrder="0" shrinkToFit="0" vertical="center" wrapText="1"/>
    </xf>
    <xf borderId="1" fillId="7" fontId="11" numFmtId="3" xfId="0" applyAlignment="1" applyBorder="1" applyFont="1" applyNumberFormat="1">
      <alignment readingOrder="0" shrinkToFit="0" vertical="center" wrapText="1"/>
    </xf>
    <xf borderId="1" fillId="7" fontId="11" numFmtId="164" xfId="0" applyAlignment="1" applyBorder="1" applyFont="1" applyNumberFormat="1">
      <alignment readingOrder="0" shrinkToFit="0" vertical="center" wrapText="1"/>
    </xf>
    <xf borderId="1" fillId="7" fontId="11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12" numFmtId="0" xfId="0" applyAlignment="1" applyBorder="1" applyFont="1">
      <alignment vertical="bottom"/>
    </xf>
    <xf borderId="1" fillId="0" fontId="8" numFmtId="167" xfId="0" applyAlignment="1" applyBorder="1" applyFont="1" applyNumberFormat="1">
      <alignment horizontal="right" vertical="bottom"/>
    </xf>
    <xf borderId="1" fillId="0" fontId="8" numFmtId="10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right" vertical="bottom"/>
    </xf>
    <xf borderId="1" fillId="0" fontId="8" numFmtId="170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13" numFmtId="0" xfId="0" applyAlignment="1" applyFont="1">
      <alignment vertical="bottom"/>
    </xf>
    <xf borderId="1" fillId="0" fontId="11" numFmtId="0" xfId="0" applyAlignment="1" applyBorder="1" applyFont="1">
      <alignment readingOrder="0" vertical="bottom"/>
    </xf>
    <xf borderId="0" fillId="0" fontId="8" numFmtId="0" xfId="0" applyAlignment="1" applyFont="1">
      <alignment horizontal="center" vertical="bottom"/>
    </xf>
    <xf borderId="1" fillId="8" fontId="8" numFmtId="0" xfId="0" applyAlignment="1" applyBorder="1" applyFill="1" applyFont="1">
      <alignment readingOrder="0" vertical="bottom"/>
    </xf>
    <xf borderId="1" fillId="9" fontId="8" numFmtId="0" xfId="0" applyAlignment="1" applyBorder="1" applyFill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0" fontId="2" numFmtId="170" xfId="0" applyAlignment="1" applyBorder="1" applyFont="1" applyNumberFormat="1">
      <alignment horizontal="center" readingOrder="0" vertical="center"/>
    </xf>
    <xf borderId="1" fillId="0" fontId="1" numFmtId="0" xfId="0" applyBorder="1" applyFont="1"/>
    <xf borderId="1" fillId="0" fontId="8" numFmtId="170" xfId="0" applyAlignment="1" applyBorder="1" applyFont="1" applyNumberFormat="1">
      <alignment horizontal="center" readingOrder="0" vertical="center"/>
    </xf>
    <xf borderId="1" fillId="9" fontId="2" numFmtId="0" xfId="0" applyAlignment="1" applyBorder="1" applyFont="1">
      <alignment readingOrder="0"/>
    </xf>
    <xf borderId="0" fillId="0" fontId="2" numFmtId="3" xfId="0" applyFont="1" applyNumberFormat="1"/>
    <xf borderId="0" fillId="0" fontId="2" numFmtId="164" xfId="0" applyFont="1" applyNumberFormat="1"/>
    <xf borderId="1" fillId="0" fontId="14" numFmtId="0" xfId="0" applyAlignment="1" applyBorder="1" applyFont="1">
      <alignment vertical="bottom"/>
    </xf>
    <xf borderId="1" fillId="0" fontId="14" numFmtId="2" xfId="0" applyAlignment="1" applyBorder="1" applyFont="1" applyNumberFormat="1">
      <alignment horizontal="center" vertical="bottom"/>
    </xf>
    <xf borderId="1" fillId="0" fontId="14" numFmtId="171" xfId="0" applyAlignment="1" applyBorder="1" applyFont="1" applyNumberFormat="1">
      <alignment horizontal="center" vertical="bottom"/>
    </xf>
    <xf borderId="1" fillId="0" fontId="14" numFmtId="164" xfId="0" applyAlignment="1" applyBorder="1" applyFont="1" applyNumberFormat="1">
      <alignment horizontal="center" vertical="bottom"/>
    </xf>
    <xf borderId="0" fillId="0" fontId="15" numFmtId="0" xfId="0" applyAlignment="1" applyFont="1">
      <alignment readingOrder="0"/>
    </xf>
    <xf borderId="0" fillId="0" fontId="2" numFmtId="171" xfId="0" applyFont="1" applyNumberFormat="1"/>
    <xf borderId="1" fillId="0" fontId="16" numFmtId="0" xfId="0" applyAlignment="1" applyBorder="1" applyFont="1">
      <alignment vertical="bottom"/>
    </xf>
    <xf borderId="1" fillId="0" fontId="16" numFmtId="2" xfId="0" applyAlignment="1" applyBorder="1" applyFont="1" applyNumberFormat="1">
      <alignment horizontal="right" vertical="bottom"/>
    </xf>
    <xf borderId="1" fillId="0" fontId="16" numFmtId="0" xfId="0" applyBorder="1" applyFont="1"/>
    <xf borderId="1" fillId="0" fontId="16" numFmtId="171" xfId="0" applyAlignment="1" applyBorder="1" applyFont="1" applyNumberFormat="1">
      <alignment readingOrder="0"/>
    </xf>
    <xf borderId="1" fillId="0" fontId="16" numFmtId="164" xfId="0" applyBorder="1" applyFont="1" applyNumberFormat="1"/>
    <xf borderId="0" fillId="0" fontId="17" numFmtId="0" xfId="0" applyAlignment="1" applyFont="1">
      <alignment readingOrder="0"/>
    </xf>
    <xf borderId="1" fillId="0" fontId="16" numFmtId="0" xfId="0" applyAlignment="1" applyBorder="1" applyFont="1">
      <alignment shrinkToFit="0" vertical="bottom" wrapText="1"/>
    </xf>
    <xf borderId="1" fillId="0" fontId="5" numFmtId="171" xfId="0" applyAlignment="1" applyBorder="1" applyFont="1" applyNumberFormat="1">
      <alignment horizontal="right" vertical="bottom"/>
    </xf>
    <xf borderId="1" fillId="0" fontId="16" numFmtId="0" xfId="0" applyAlignment="1" applyBorder="1" applyFont="1">
      <alignment horizontal="right" vertical="bottom"/>
    </xf>
    <xf borderId="1" fillId="0" fontId="16" numFmtId="172" xfId="0" applyAlignment="1" applyBorder="1" applyFont="1" applyNumberFormat="1">
      <alignment horizontal="right" vertical="bottom"/>
    </xf>
    <xf borderId="1" fillId="0" fontId="16" numFmtId="171" xfId="0" applyBorder="1" applyFont="1" applyNumberFormat="1"/>
    <xf borderId="1" fillId="10" fontId="16" numFmtId="2" xfId="0" applyAlignment="1" applyBorder="1" applyFill="1" applyFont="1" applyNumberFormat="1">
      <alignment horizontal="right" vertical="bottom"/>
    </xf>
    <xf borderId="1" fillId="10" fontId="16" numFmtId="0" xfId="0" applyBorder="1" applyFont="1"/>
    <xf borderId="1" fillId="10" fontId="16" numFmtId="171" xfId="0" applyAlignment="1" applyBorder="1" applyFont="1" applyNumberFormat="1">
      <alignment readingOrder="0"/>
    </xf>
    <xf borderId="0" fillId="9" fontId="2" numFmtId="2" xfId="0" applyFont="1" applyNumberFormat="1"/>
    <xf borderId="0" fillId="9" fontId="2" numFmtId="164" xfId="0" applyFont="1" applyNumberFormat="1"/>
    <xf borderId="1" fillId="0" fontId="16" numFmtId="171" xfId="0" applyAlignment="1" applyBorder="1" applyFont="1" applyNumberFormat="1">
      <alignment horizontal="right" readingOrder="0" vertical="bottom"/>
    </xf>
    <xf borderId="1" fillId="11" fontId="18" numFmtId="0" xfId="0" applyAlignment="1" applyBorder="1" applyFill="1" applyFont="1">
      <alignment vertical="bottom"/>
    </xf>
    <xf borderId="1" fillId="11" fontId="18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1" fillId="12" fontId="19" numFmtId="0" xfId="0" applyAlignment="1" applyBorder="1" applyFill="1" applyFont="1">
      <alignment vertical="bottom"/>
    </xf>
    <xf borderId="1" fillId="12" fontId="19" numFmtId="164" xfId="0" applyAlignment="1" applyBorder="1" applyFont="1" applyNumberFormat="1">
      <alignment horizontal="right" vertical="bottom"/>
    </xf>
    <xf borderId="1" fillId="13" fontId="19" numFmtId="0" xfId="0" applyAlignment="1" applyBorder="1" applyFill="1" applyFont="1">
      <alignment vertical="bottom"/>
    </xf>
    <xf borderId="1" fillId="13" fontId="19" numFmtId="164" xfId="0" applyAlignment="1" applyBorder="1" applyFont="1" applyNumberFormat="1">
      <alignment horizontal="right" vertical="bottom"/>
    </xf>
    <xf borderId="0" fillId="0" fontId="20" numFmtId="0" xfId="0" applyAlignment="1" applyFont="1">
      <alignment vertical="top"/>
    </xf>
    <xf borderId="0" fillId="0" fontId="10" numFmtId="0" xfId="0" applyAlignment="1" applyFont="1">
      <alignment shrinkToFit="0" vertical="bottom" wrapText="1"/>
    </xf>
    <xf borderId="0" fillId="0" fontId="21" numFmtId="0" xfId="0" applyAlignment="1" applyFont="1">
      <alignment readingOrder="0" shrinkToFit="0" vertical="bottom" wrapText="0"/>
    </xf>
    <xf borderId="0" fillId="10" fontId="1" numFmtId="0" xfId="0" applyAlignment="1" applyFont="1">
      <alignment readingOrder="0"/>
    </xf>
    <xf borderId="0" fillId="0" fontId="1" numFmtId="0" xfId="0" applyFont="1"/>
    <xf borderId="0" fillId="0" fontId="21" numFmtId="0" xfId="0" applyAlignment="1" applyFont="1">
      <alignment horizontal="right" readingOrder="0" shrinkToFit="0" vertical="bottom" wrapText="0"/>
    </xf>
    <xf borderId="0" fillId="0" fontId="21" numFmtId="11" xfId="0" applyAlignment="1" applyFont="1" applyNumberFormat="1">
      <alignment horizontal="right" readingOrder="0" shrinkToFit="0" vertical="bottom" wrapText="0"/>
    </xf>
    <xf borderId="0" fillId="0" fontId="21" numFmtId="11" xfId="0" applyAlignment="1" applyFont="1" applyNumberFormat="1">
      <alignment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14" fontId="2" numFmtId="0" xfId="0" applyAlignment="1" applyFill="1" applyFont="1">
      <alignment readingOrder="0"/>
    </xf>
    <xf borderId="0" fillId="14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DD5D5"/>
          <bgColor rgb="FFFDD5D5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0</xdr:row>
      <xdr:rowOff>180975</xdr:rowOff>
    </xdr:from>
    <xdr:ext cx="8648700" cy="4362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26.25"/>
    <col customWidth="1" min="3" max="3" width="15.0"/>
    <col customWidth="1" min="4" max="4" width="16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  <c r="P3" s="2" t="s">
        <v>6</v>
      </c>
    </row>
    <row r="4">
      <c r="A4" s="2" t="s">
        <v>7</v>
      </c>
      <c r="B4" s="2" t="s">
        <v>8</v>
      </c>
      <c r="Q4" s="2" t="s">
        <v>2</v>
      </c>
    </row>
    <row r="5">
      <c r="A5" s="2" t="s">
        <v>9</v>
      </c>
      <c r="Q5" s="2" t="s">
        <v>10</v>
      </c>
    </row>
    <row r="6">
      <c r="A6" s="2" t="s">
        <v>11</v>
      </c>
      <c r="Q6" s="2" t="s">
        <v>9</v>
      </c>
    </row>
    <row r="7">
      <c r="A7" s="2" t="s">
        <v>12</v>
      </c>
    </row>
    <row r="8">
      <c r="A8" s="2" t="s">
        <v>13</v>
      </c>
    </row>
    <row r="9">
      <c r="A9" s="2" t="s">
        <v>14</v>
      </c>
    </row>
    <row r="10">
      <c r="A10" s="2" t="s">
        <v>15</v>
      </c>
    </row>
    <row r="11">
      <c r="A11" s="2" t="s">
        <v>16</v>
      </c>
    </row>
    <row r="12">
      <c r="A12" s="2" t="s">
        <v>17</v>
      </c>
    </row>
    <row r="13">
      <c r="A13" s="2" t="s">
        <v>18</v>
      </c>
    </row>
    <row r="14">
      <c r="A14" s="2" t="s">
        <v>19</v>
      </c>
    </row>
    <row r="15">
      <c r="A15" s="2" t="s">
        <v>20</v>
      </c>
    </row>
    <row r="18">
      <c r="A18" s="2" t="s">
        <v>21</v>
      </c>
      <c r="B18" s="2" t="s">
        <v>22</v>
      </c>
      <c r="C18" s="2" t="s">
        <v>23</v>
      </c>
      <c r="D18" s="2" t="s">
        <v>24</v>
      </c>
    </row>
    <row r="19">
      <c r="B19" s="2" t="s">
        <v>25</v>
      </c>
      <c r="C19" s="2" t="s">
        <v>26</v>
      </c>
      <c r="D19" s="2" t="s">
        <v>25</v>
      </c>
    </row>
    <row r="20">
      <c r="B20" s="2" t="s">
        <v>27</v>
      </c>
      <c r="D20" s="2" t="s">
        <v>28</v>
      </c>
    </row>
    <row r="21">
      <c r="B21" s="2" t="s">
        <v>29</v>
      </c>
      <c r="D21" s="2" t="s">
        <v>30</v>
      </c>
    </row>
    <row r="22">
      <c r="B22" s="2" t="s">
        <v>31</v>
      </c>
      <c r="D22" s="2" t="s">
        <v>32</v>
      </c>
    </row>
    <row r="23">
      <c r="B23" s="2" t="s">
        <v>33</v>
      </c>
      <c r="D23" s="2" t="s">
        <v>34</v>
      </c>
    </row>
    <row r="24">
      <c r="B24" s="2" t="s">
        <v>35</v>
      </c>
      <c r="D24" s="2" t="s">
        <v>36</v>
      </c>
    </row>
    <row r="28">
      <c r="A28" s="3"/>
      <c r="B28" s="4" t="s">
        <v>37</v>
      </c>
      <c r="C28" s="4" t="s">
        <v>38</v>
      </c>
      <c r="D28" s="4" t="s">
        <v>39</v>
      </c>
      <c r="E28" s="4" t="s">
        <v>40</v>
      </c>
    </row>
    <row r="29">
      <c r="A29" s="5" t="s">
        <v>41</v>
      </c>
      <c r="B29" s="6">
        <v>33.0</v>
      </c>
      <c r="C29" s="6">
        <v>81.0</v>
      </c>
      <c r="D29" s="6">
        <v>21.0</v>
      </c>
      <c r="E29" s="6">
        <v>12.6</v>
      </c>
    </row>
    <row r="30">
      <c r="A30" s="5" t="s">
        <v>42</v>
      </c>
      <c r="B30" s="6">
        <v>46.0</v>
      </c>
      <c r="C30" s="6">
        <v>77.0</v>
      </c>
      <c r="D30" s="6">
        <v>32.0</v>
      </c>
      <c r="E30" s="6">
        <v>19.0</v>
      </c>
    </row>
    <row r="31">
      <c r="A31" s="5" t="s">
        <v>43</v>
      </c>
      <c r="B31" s="6">
        <v>18.0</v>
      </c>
      <c r="C31" s="6">
        <v>82.0</v>
      </c>
      <c r="D31" s="6">
        <v>66.0</v>
      </c>
      <c r="E31" s="6">
        <v>17.1</v>
      </c>
    </row>
    <row r="32">
      <c r="A32" s="5" t="s">
        <v>44</v>
      </c>
      <c r="B32" s="6">
        <v>19.0</v>
      </c>
      <c r="C32" s="6">
        <v>90.0</v>
      </c>
      <c r="D32" s="6">
        <v>75.0</v>
      </c>
      <c r="E32" s="6">
        <v>22.1</v>
      </c>
    </row>
    <row r="33">
      <c r="A33" s="7" t="s">
        <v>45</v>
      </c>
      <c r="B33" s="6">
        <v>18.0</v>
      </c>
      <c r="C33" s="6">
        <v>92.0</v>
      </c>
      <c r="D33" s="6">
        <v>77.0</v>
      </c>
      <c r="E33" s="6">
        <v>24.3</v>
      </c>
    </row>
    <row r="34">
      <c r="A34" s="5" t="s">
        <v>46</v>
      </c>
      <c r="B34" s="6">
        <v>14.0</v>
      </c>
      <c r="C34" s="6">
        <v>35.0</v>
      </c>
      <c r="D34" s="6">
        <v>42.0</v>
      </c>
      <c r="E34" s="6">
        <v>1.75</v>
      </c>
    </row>
    <row r="35">
      <c r="A35" s="5" t="s">
        <v>47</v>
      </c>
      <c r="B35" s="6">
        <v>14.0</v>
      </c>
      <c r="C35" s="6">
        <v>35.0</v>
      </c>
      <c r="D35" s="6">
        <v>42.0</v>
      </c>
      <c r="E35" s="6">
        <v>1.68</v>
      </c>
    </row>
    <row r="36">
      <c r="A36" s="5" t="s">
        <v>48</v>
      </c>
      <c r="B36" s="6">
        <v>11.0</v>
      </c>
      <c r="C36" s="6">
        <v>36.0</v>
      </c>
      <c r="D36" s="6">
        <v>43.0</v>
      </c>
      <c r="E36" s="6">
        <v>1.5</v>
      </c>
    </row>
    <row r="37">
      <c r="A37" s="5" t="s">
        <v>49</v>
      </c>
      <c r="B37" s="6">
        <v>11.0</v>
      </c>
      <c r="C37" s="6">
        <v>36.0</v>
      </c>
      <c r="D37" s="6">
        <v>43.0</v>
      </c>
      <c r="E37" s="6">
        <v>1.5</v>
      </c>
    </row>
    <row r="38">
      <c r="A38" s="5" t="s">
        <v>50</v>
      </c>
      <c r="B38" s="6">
        <v>13.0</v>
      </c>
      <c r="C38" s="6">
        <v>68.0</v>
      </c>
      <c r="D38" s="6">
        <v>44.0</v>
      </c>
      <c r="E38" s="6">
        <v>4.8</v>
      </c>
    </row>
    <row r="39">
      <c r="A39" s="5" t="s">
        <v>51</v>
      </c>
      <c r="B39" s="6">
        <v>19.0</v>
      </c>
      <c r="C39" s="6">
        <v>98.0</v>
      </c>
      <c r="D39" s="6">
        <v>50.0</v>
      </c>
      <c r="E39" s="6">
        <v>7.8</v>
      </c>
    </row>
    <row r="40">
      <c r="A40" s="7" t="s">
        <v>52</v>
      </c>
      <c r="B40" s="3"/>
      <c r="C40" s="3"/>
      <c r="D40" s="3"/>
      <c r="E40" s="3"/>
    </row>
    <row r="41">
      <c r="A41" s="5" t="s">
        <v>53</v>
      </c>
      <c r="B41" s="6">
        <v>14.0</v>
      </c>
      <c r="C41" s="6">
        <v>126.0</v>
      </c>
      <c r="D41" s="6">
        <v>50.7</v>
      </c>
      <c r="E41" s="6">
        <v>20.4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0"/>
    <col customWidth="1" min="2" max="2" width="55.75"/>
    <col customWidth="1" min="3" max="3" width="52.0"/>
    <col customWidth="1" min="4" max="4" width="14.25"/>
    <col customWidth="1" min="5" max="5" width="72.75"/>
    <col customWidth="1" min="6" max="6" width="44.63"/>
    <col customWidth="1" min="7" max="7" width="20.5"/>
    <col customWidth="1" min="8" max="8" width="12.13"/>
    <col customWidth="1" min="9" max="9" width="5.88"/>
    <col customWidth="1" min="10" max="10" width="8.0"/>
    <col customWidth="1" min="11" max="11" width="5.75"/>
    <col customWidth="1" min="12" max="12" width="8.0"/>
    <col customWidth="1" min="13" max="13" width="5.75"/>
    <col customWidth="1" min="14" max="14" width="31.88"/>
    <col customWidth="1" min="15" max="15" width="11.13"/>
    <col customWidth="1" min="16" max="16" width="21.25"/>
    <col customWidth="1" min="17" max="17" width="10.75"/>
    <col customWidth="1" min="18" max="18" width="22.5"/>
    <col customWidth="1" min="19" max="19" width="11.88"/>
    <col customWidth="1" min="21" max="21" width="19.25"/>
    <col customWidth="1" min="22" max="22" width="18.25"/>
    <col customWidth="1" min="24" max="24" width="10.13"/>
    <col customWidth="1" min="25" max="25" width="9.38"/>
    <col customWidth="1" min="26" max="26" width="7.75"/>
  </cols>
  <sheetData>
    <row r="1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9" t="s">
        <v>61</v>
      </c>
      <c r="I1" s="10" t="s">
        <v>62</v>
      </c>
      <c r="J1" s="9" t="s">
        <v>63</v>
      </c>
      <c r="K1" s="10" t="s">
        <v>62</v>
      </c>
      <c r="L1" s="9" t="s">
        <v>64</v>
      </c>
      <c r="M1" s="10" t="s">
        <v>62</v>
      </c>
      <c r="N1" s="11" t="s">
        <v>65</v>
      </c>
      <c r="O1" s="8" t="s">
        <v>66</v>
      </c>
      <c r="P1" s="12" t="s">
        <v>67</v>
      </c>
      <c r="Q1" s="12" t="s">
        <v>68</v>
      </c>
      <c r="R1" s="13" t="s">
        <v>69</v>
      </c>
      <c r="S1" s="12" t="s">
        <v>70</v>
      </c>
      <c r="T1" s="14" t="s">
        <v>71</v>
      </c>
      <c r="U1" s="15" t="s">
        <v>72</v>
      </c>
      <c r="V1" s="15" t="s">
        <v>73</v>
      </c>
      <c r="W1" s="12" t="s">
        <v>74</v>
      </c>
      <c r="X1" s="12" t="s">
        <v>75</v>
      </c>
      <c r="Y1" s="12" t="s">
        <v>76</v>
      </c>
      <c r="Z1" s="12" t="s">
        <v>77</v>
      </c>
      <c r="AA1" s="12" t="s">
        <v>78</v>
      </c>
      <c r="AB1" s="16" t="s">
        <v>79</v>
      </c>
      <c r="AC1" s="17"/>
      <c r="AD1" s="17"/>
      <c r="AE1" s="17"/>
      <c r="AF1" s="17"/>
      <c r="AG1" s="17"/>
    </row>
    <row r="2">
      <c r="A2" s="18" t="s">
        <v>80</v>
      </c>
      <c r="B2" s="19" t="s">
        <v>81</v>
      </c>
      <c r="C2" s="19" t="s">
        <v>81</v>
      </c>
      <c r="D2" s="20">
        <f t="shared" ref="D2:D18" si="1">LEN(C2)</f>
        <v>1</v>
      </c>
      <c r="E2" s="19" t="s">
        <v>81</v>
      </c>
      <c r="F2" s="19" t="s">
        <v>81</v>
      </c>
      <c r="G2" s="19" t="s">
        <v>81</v>
      </c>
      <c r="H2" s="21">
        <v>22990.0</v>
      </c>
      <c r="I2" s="22">
        <v>39.3</v>
      </c>
      <c r="J2" s="21">
        <v>18990.0</v>
      </c>
      <c r="K2" s="22">
        <v>43.3</v>
      </c>
      <c r="L2" s="21">
        <v>16990.0</v>
      </c>
      <c r="M2" s="22">
        <v>38.4</v>
      </c>
      <c r="N2" s="19" t="s">
        <v>81</v>
      </c>
      <c r="O2" s="19" t="s">
        <v>81</v>
      </c>
      <c r="P2" s="19" t="s">
        <v>81</v>
      </c>
      <c r="Q2" s="19" t="s">
        <v>81</v>
      </c>
      <c r="R2" s="23" t="s">
        <v>81</v>
      </c>
      <c r="S2" s="19" t="s">
        <v>81</v>
      </c>
      <c r="T2" s="19" t="s">
        <v>81</v>
      </c>
      <c r="U2" s="24">
        <f t="shared" ref="U2:U28" si="2">1-(J2/H2)</f>
        <v>0.1739886907</v>
      </c>
      <c r="V2" s="24">
        <f t="shared" ref="V2:V28" si="3">1-(L2/J2)</f>
        <v>0.1053185887</v>
      </c>
      <c r="W2" s="19" t="s">
        <v>81</v>
      </c>
      <c r="X2" s="19" t="s">
        <v>81</v>
      </c>
      <c r="Y2" s="19" t="s">
        <v>81</v>
      </c>
      <c r="Z2" s="19" t="s">
        <v>81</v>
      </c>
      <c r="AA2" s="25"/>
      <c r="AB2" s="25" t="str">
        <f t="shared" ref="AB2:AB225" si="4">W2*X2*Y2/1000000</f>
        <v>#VALUE!</v>
      </c>
      <c r="AC2" s="25"/>
      <c r="AD2" s="25"/>
      <c r="AE2" s="25"/>
      <c r="AF2" s="25"/>
      <c r="AG2" s="25"/>
    </row>
    <row r="3">
      <c r="A3" s="18" t="s">
        <v>82</v>
      </c>
      <c r="B3" s="19" t="s">
        <v>81</v>
      </c>
      <c r="C3" s="19" t="s">
        <v>81</v>
      </c>
      <c r="D3" s="20">
        <f t="shared" si="1"/>
        <v>1</v>
      </c>
      <c r="E3" s="19" t="s">
        <v>81</v>
      </c>
      <c r="F3" s="19" t="s">
        <v>81</v>
      </c>
      <c r="G3" s="19" t="s">
        <v>81</v>
      </c>
      <c r="H3" s="21">
        <v>79990.0</v>
      </c>
      <c r="I3" s="22">
        <v>41.7</v>
      </c>
      <c r="J3" s="21">
        <v>69990.0</v>
      </c>
      <c r="K3" s="22">
        <v>35.5</v>
      </c>
      <c r="L3" s="21">
        <v>64990.0</v>
      </c>
      <c r="M3" s="22">
        <v>31.7</v>
      </c>
      <c r="N3" s="19" t="s">
        <v>81</v>
      </c>
      <c r="O3" s="19" t="s">
        <v>81</v>
      </c>
      <c r="P3" s="19" t="s">
        <v>81</v>
      </c>
      <c r="Q3" s="19" t="s">
        <v>81</v>
      </c>
      <c r="R3" s="23" t="s">
        <v>81</v>
      </c>
      <c r="S3" s="19" t="s">
        <v>81</v>
      </c>
      <c r="T3" s="19" t="s">
        <v>81</v>
      </c>
      <c r="U3" s="24">
        <f t="shared" si="2"/>
        <v>0.125015627</v>
      </c>
      <c r="V3" s="24">
        <f t="shared" si="3"/>
        <v>0.07143877697</v>
      </c>
      <c r="W3" s="19" t="s">
        <v>81</v>
      </c>
      <c r="X3" s="19" t="s">
        <v>81</v>
      </c>
      <c r="Y3" s="19" t="s">
        <v>81</v>
      </c>
      <c r="Z3" s="19" t="s">
        <v>81</v>
      </c>
      <c r="AA3" s="25"/>
      <c r="AB3" s="25" t="str">
        <f t="shared" si="4"/>
        <v>#VALUE!</v>
      </c>
      <c r="AC3" s="25"/>
      <c r="AD3" s="25"/>
      <c r="AE3" s="25"/>
      <c r="AF3" s="25"/>
      <c r="AG3" s="25"/>
    </row>
    <row r="4">
      <c r="A4" s="18" t="s">
        <v>83</v>
      </c>
      <c r="B4" s="19" t="s">
        <v>81</v>
      </c>
      <c r="C4" s="19" t="s">
        <v>81</v>
      </c>
      <c r="D4" s="20">
        <f t="shared" si="1"/>
        <v>1</v>
      </c>
      <c r="E4" s="19" t="s">
        <v>81</v>
      </c>
      <c r="F4" s="19" t="s">
        <v>81</v>
      </c>
      <c r="G4" s="19" t="s">
        <v>81</v>
      </c>
      <c r="H4" s="21">
        <v>79990.0</v>
      </c>
      <c r="I4" s="22">
        <v>39.7</v>
      </c>
      <c r="J4" s="21">
        <v>69990.0</v>
      </c>
      <c r="K4" s="22">
        <v>33.2</v>
      </c>
      <c r="L4" s="21">
        <v>64990.0</v>
      </c>
      <c r="M4" s="22">
        <v>29.2</v>
      </c>
      <c r="N4" s="19" t="s">
        <v>81</v>
      </c>
      <c r="O4" s="19" t="s">
        <v>81</v>
      </c>
      <c r="P4" s="19" t="s">
        <v>81</v>
      </c>
      <c r="Q4" s="19" t="s">
        <v>81</v>
      </c>
      <c r="R4" s="23" t="s">
        <v>81</v>
      </c>
      <c r="S4" s="19" t="s">
        <v>81</v>
      </c>
      <c r="T4" s="19" t="s">
        <v>81</v>
      </c>
      <c r="U4" s="24">
        <f t="shared" si="2"/>
        <v>0.125015627</v>
      </c>
      <c r="V4" s="24">
        <f t="shared" si="3"/>
        <v>0.07143877697</v>
      </c>
      <c r="W4" s="19" t="s">
        <v>81</v>
      </c>
      <c r="X4" s="19" t="s">
        <v>81</v>
      </c>
      <c r="Y4" s="19" t="s">
        <v>81</v>
      </c>
      <c r="Z4" s="19" t="s">
        <v>81</v>
      </c>
      <c r="AA4" s="25"/>
      <c r="AB4" s="25" t="str">
        <f t="shared" si="4"/>
        <v>#VALUE!</v>
      </c>
      <c r="AC4" s="25"/>
      <c r="AD4" s="25"/>
      <c r="AE4" s="25"/>
      <c r="AF4" s="25"/>
      <c r="AG4" s="25"/>
    </row>
    <row r="5">
      <c r="A5" s="18" t="s">
        <v>84</v>
      </c>
      <c r="B5" s="19" t="s">
        <v>81</v>
      </c>
      <c r="C5" s="19" t="s">
        <v>81</v>
      </c>
      <c r="D5" s="20">
        <f t="shared" si="1"/>
        <v>1</v>
      </c>
      <c r="E5" s="19" t="s">
        <v>81</v>
      </c>
      <c r="F5" s="19" t="s">
        <v>81</v>
      </c>
      <c r="G5" s="19" t="s">
        <v>81</v>
      </c>
      <c r="H5" s="21">
        <v>69990.0</v>
      </c>
      <c r="I5" s="22">
        <v>39.2</v>
      </c>
      <c r="J5" s="21">
        <v>64990.0</v>
      </c>
      <c r="K5" s="22">
        <v>35.6</v>
      </c>
      <c r="L5" s="21">
        <v>59990.0</v>
      </c>
      <c r="M5" s="22">
        <v>31.5</v>
      </c>
      <c r="N5" s="19" t="s">
        <v>81</v>
      </c>
      <c r="O5" s="19" t="s">
        <v>81</v>
      </c>
      <c r="P5" s="19" t="s">
        <v>81</v>
      </c>
      <c r="Q5" s="19" t="s">
        <v>81</v>
      </c>
      <c r="R5" s="23" t="s">
        <v>81</v>
      </c>
      <c r="S5" s="19" t="s">
        <v>81</v>
      </c>
      <c r="T5" s="19" t="s">
        <v>81</v>
      </c>
      <c r="U5" s="24">
        <f t="shared" si="2"/>
        <v>0.07143877697</v>
      </c>
      <c r="V5" s="24">
        <f t="shared" si="3"/>
        <v>0.07693491306</v>
      </c>
      <c r="W5" s="19" t="s">
        <v>81</v>
      </c>
      <c r="X5" s="19" t="s">
        <v>81</v>
      </c>
      <c r="Y5" s="19" t="s">
        <v>81</v>
      </c>
      <c r="Z5" s="19" t="s">
        <v>81</v>
      </c>
      <c r="AA5" s="25"/>
      <c r="AB5" s="25" t="str">
        <f t="shared" si="4"/>
        <v>#VALUE!</v>
      </c>
      <c r="AC5" s="25"/>
      <c r="AD5" s="25"/>
      <c r="AE5" s="25"/>
      <c r="AF5" s="25"/>
      <c r="AG5" s="25"/>
    </row>
    <row r="6">
      <c r="A6" s="18" t="s">
        <v>85</v>
      </c>
      <c r="B6" s="19" t="s">
        <v>81</v>
      </c>
      <c r="C6" s="19" t="s">
        <v>81</v>
      </c>
      <c r="D6" s="20">
        <f t="shared" si="1"/>
        <v>1</v>
      </c>
      <c r="E6" s="19" t="s">
        <v>81</v>
      </c>
      <c r="F6" s="19" t="s">
        <v>81</v>
      </c>
      <c r="G6" s="19" t="s">
        <v>81</v>
      </c>
      <c r="H6" s="21">
        <v>49990.0</v>
      </c>
      <c r="I6" s="22">
        <v>43.5</v>
      </c>
      <c r="J6" s="21">
        <v>44990.0</v>
      </c>
      <c r="K6" s="22">
        <v>38.9</v>
      </c>
      <c r="L6" s="21">
        <v>39990.0</v>
      </c>
      <c r="M6" s="22">
        <v>33.1</v>
      </c>
      <c r="N6" s="19" t="s">
        <v>81</v>
      </c>
      <c r="O6" s="19" t="s">
        <v>81</v>
      </c>
      <c r="P6" s="19" t="s">
        <v>81</v>
      </c>
      <c r="Q6" s="19" t="s">
        <v>81</v>
      </c>
      <c r="R6" s="23" t="s">
        <v>81</v>
      </c>
      <c r="S6" s="19" t="s">
        <v>81</v>
      </c>
      <c r="T6" s="19" t="s">
        <v>81</v>
      </c>
      <c r="U6" s="24">
        <f t="shared" si="2"/>
        <v>0.100020004</v>
      </c>
      <c r="V6" s="24">
        <f t="shared" si="3"/>
        <v>0.111135808</v>
      </c>
      <c r="W6" s="19" t="s">
        <v>81</v>
      </c>
      <c r="X6" s="19" t="s">
        <v>81</v>
      </c>
      <c r="Y6" s="19" t="s">
        <v>81</v>
      </c>
      <c r="Z6" s="19" t="s">
        <v>81</v>
      </c>
      <c r="AA6" s="25"/>
      <c r="AB6" s="25" t="str">
        <f t="shared" si="4"/>
        <v>#VALUE!</v>
      </c>
      <c r="AC6" s="25"/>
      <c r="AD6" s="25"/>
      <c r="AE6" s="25"/>
      <c r="AF6" s="25"/>
      <c r="AG6" s="25"/>
    </row>
    <row r="7">
      <c r="A7" s="18" t="s">
        <v>86</v>
      </c>
      <c r="B7" s="19" t="s">
        <v>81</v>
      </c>
      <c r="C7" s="19" t="s">
        <v>81</v>
      </c>
      <c r="D7" s="20">
        <f t="shared" si="1"/>
        <v>1</v>
      </c>
      <c r="E7" s="19" t="s">
        <v>81</v>
      </c>
      <c r="F7" s="19" t="s">
        <v>81</v>
      </c>
      <c r="G7" s="19" t="s">
        <v>81</v>
      </c>
      <c r="H7" s="21">
        <v>44990.0</v>
      </c>
      <c r="I7" s="22">
        <v>60.6</v>
      </c>
      <c r="J7" s="21">
        <v>39990.0</v>
      </c>
      <c r="K7" s="22">
        <v>47.9</v>
      </c>
      <c r="L7" s="21">
        <v>34990.0</v>
      </c>
      <c r="M7" s="22">
        <v>42.6</v>
      </c>
      <c r="N7" s="19" t="s">
        <v>81</v>
      </c>
      <c r="O7" s="19" t="s">
        <v>81</v>
      </c>
      <c r="P7" s="19" t="s">
        <v>81</v>
      </c>
      <c r="Q7" s="19" t="s">
        <v>81</v>
      </c>
      <c r="R7" s="23" t="s">
        <v>81</v>
      </c>
      <c r="S7" s="19" t="s">
        <v>81</v>
      </c>
      <c r="T7" s="19" t="s">
        <v>81</v>
      </c>
      <c r="U7" s="24">
        <f t="shared" si="2"/>
        <v>0.111135808</v>
      </c>
      <c r="V7" s="24">
        <f t="shared" si="3"/>
        <v>0.1250312578</v>
      </c>
      <c r="W7" s="19" t="s">
        <v>81</v>
      </c>
      <c r="X7" s="19" t="s">
        <v>81</v>
      </c>
      <c r="Y7" s="19" t="s">
        <v>81</v>
      </c>
      <c r="Z7" s="19" t="s">
        <v>81</v>
      </c>
      <c r="AA7" s="25"/>
      <c r="AB7" s="25" t="str">
        <f t="shared" si="4"/>
        <v>#VALUE!</v>
      </c>
      <c r="AC7" s="25"/>
      <c r="AD7" s="25"/>
      <c r="AE7" s="25"/>
      <c r="AF7" s="25"/>
      <c r="AG7" s="25"/>
    </row>
    <row r="8">
      <c r="A8" s="18" t="s">
        <v>43</v>
      </c>
      <c r="B8" s="19" t="s">
        <v>81</v>
      </c>
      <c r="C8" s="19" t="s">
        <v>81</v>
      </c>
      <c r="D8" s="20">
        <f t="shared" si="1"/>
        <v>1</v>
      </c>
      <c r="E8" s="19" t="s">
        <v>81</v>
      </c>
      <c r="F8" s="19" t="s">
        <v>81</v>
      </c>
      <c r="G8" s="19" t="s">
        <v>81</v>
      </c>
      <c r="H8" s="21">
        <v>129990.0</v>
      </c>
      <c r="I8" s="22">
        <v>35.8</v>
      </c>
      <c r="J8" s="21">
        <v>119990.0</v>
      </c>
      <c r="K8" s="22">
        <v>31.7</v>
      </c>
      <c r="L8" s="21">
        <v>109990.0</v>
      </c>
      <c r="M8" s="22">
        <v>26.9</v>
      </c>
      <c r="N8" s="19" t="s">
        <v>81</v>
      </c>
      <c r="O8" s="19" t="s">
        <v>81</v>
      </c>
      <c r="P8" s="19" t="s">
        <v>81</v>
      </c>
      <c r="Q8" s="19" t="s">
        <v>81</v>
      </c>
      <c r="R8" s="23" t="s">
        <v>81</v>
      </c>
      <c r="S8" s="19" t="s">
        <v>81</v>
      </c>
      <c r="T8" s="19" t="s">
        <v>81</v>
      </c>
      <c r="U8" s="24">
        <f t="shared" si="2"/>
        <v>0.07692899454</v>
      </c>
      <c r="V8" s="24">
        <f t="shared" si="3"/>
        <v>0.08334027836</v>
      </c>
      <c r="W8" s="19" t="s">
        <v>81</v>
      </c>
      <c r="X8" s="19" t="s">
        <v>81</v>
      </c>
      <c r="Y8" s="19" t="s">
        <v>81</v>
      </c>
      <c r="Z8" s="19" t="s">
        <v>81</v>
      </c>
      <c r="AA8" s="25"/>
      <c r="AB8" s="25" t="str">
        <f t="shared" si="4"/>
        <v>#VALUE!</v>
      </c>
      <c r="AC8" s="25"/>
      <c r="AD8" s="25"/>
      <c r="AE8" s="25"/>
      <c r="AF8" s="25"/>
      <c r="AG8" s="25"/>
    </row>
    <row r="9">
      <c r="A9" s="18" t="s">
        <v>44</v>
      </c>
      <c r="B9" s="19" t="s">
        <v>81</v>
      </c>
      <c r="C9" s="19" t="s">
        <v>81</v>
      </c>
      <c r="D9" s="20">
        <f t="shared" si="1"/>
        <v>1</v>
      </c>
      <c r="E9" s="19" t="s">
        <v>81</v>
      </c>
      <c r="F9" s="19" t="s">
        <v>81</v>
      </c>
      <c r="G9" s="19" t="s">
        <v>81</v>
      </c>
      <c r="H9" s="21">
        <v>169990.0</v>
      </c>
      <c r="I9" s="22">
        <v>37.5</v>
      </c>
      <c r="J9" s="21">
        <v>159990.0</v>
      </c>
      <c r="K9" s="22">
        <v>34.5</v>
      </c>
      <c r="L9" s="21">
        <v>149990.0</v>
      </c>
      <c r="M9" s="22">
        <v>31.1</v>
      </c>
      <c r="N9" s="19" t="s">
        <v>81</v>
      </c>
      <c r="O9" s="19" t="s">
        <v>81</v>
      </c>
      <c r="P9" s="19" t="s">
        <v>81</v>
      </c>
      <c r="Q9" s="19" t="s">
        <v>81</v>
      </c>
      <c r="R9" s="23" t="s">
        <v>81</v>
      </c>
      <c r="S9" s="19" t="s">
        <v>81</v>
      </c>
      <c r="T9" s="19" t="s">
        <v>81</v>
      </c>
      <c r="U9" s="24">
        <f t="shared" si="2"/>
        <v>0.05882698982</v>
      </c>
      <c r="V9" s="24">
        <f t="shared" si="3"/>
        <v>0.06250390649</v>
      </c>
      <c r="W9" s="19" t="s">
        <v>81</v>
      </c>
      <c r="X9" s="19" t="s">
        <v>81</v>
      </c>
      <c r="Y9" s="19" t="s">
        <v>81</v>
      </c>
      <c r="Z9" s="19" t="s">
        <v>81</v>
      </c>
      <c r="AA9" s="25"/>
      <c r="AB9" s="25" t="str">
        <f t="shared" si="4"/>
        <v>#VALUE!</v>
      </c>
      <c r="AC9" s="25"/>
      <c r="AD9" s="25"/>
      <c r="AE9" s="25"/>
      <c r="AF9" s="25"/>
      <c r="AG9" s="25"/>
    </row>
    <row r="10">
      <c r="A10" s="18" t="s">
        <v>45</v>
      </c>
      <c r="B10" s="19" t="s">
        <v>81</v>
      </c>
      <c r="C10" s="19" t="s">
        <v>81</v>
      </c>
      <c r="D10" s="20">
        <f t="shared" si="1"/>
        <v>1</v>
      </c>
      <c r="E10" s="19" t="s">
        <v>81</v>
      </c>
      <c r="F10" s="19" t="s">
        <v>81</v>
      </c>
      <c r="G10" s="19" t="s">
        <v>81</v>
      </c>
      <c r="H10" s="21">
        <v>199990.0</v>
      </c>
      <c r="I10" s="22">
        <v>39.7</v>
      </c>
      <c r="J10" s="21">
        <v>179990.0</v>
      </c>
      <c r="K10" s="22">
        <v>34.6</v>
      </c>
      <c r="L10" s="21">
        <v>169990.0</v>
      </c>
      <c r="M10" s="22">
        <v>31.7</v>
      </c>
      <c r="N10" s="19" t="s">
        <v>81</v>
      </c>
      <c r="O10" s="19" t="s">
        <v>81</v>
      </c>
      <c r="P10" s="19" t="s">
        <v>81</v>
      </c>
      <c r="Q10" s="19" t="s">
        <v>81</v>
      </c>
      <c r="R10" s="23" t="s">
        <v>81</v>
      </c>
      <c r="S10" s="19" t="s">
        <v>81</v>
      </c>
      <c r="T10" s="19" t="s">
        <v>81</v>
      </c>
      <c r="U10" s="24">
        <f t="shared" si="2"/>
        <v>0.1000050003</v>
      </c>
      <c r="V10" s="24">
        <f t="shared" si="3"/>
        <v>0.05555864215</v>
      </c>
      <c r="W10" s="19" t="s">
        <v>81</v>
      </c>
      <c r="X10" s="19" t="s">
        <v>81</v>
      </c>
      <c r="Y10" s="19" t="s">
        <v>81</v>
      </c>
      <c r="Z10" s="19" t="s">
        <v>81</v>
      </c>
      <c r="AA10" s="25"/>
      <c r="AB10" s="25" t="str">
        <f t="shared" si="4"/>
        <v>#VALUE!</v>
      </c>
      <c r="AC10" s="25"/>
      <c r="AD10" s="25"/>
      <c r="AE10" s="25"/>
      <c r="AF10" s="25"/>
      <c r="AG10" s="25"/>
    </row>
    <row r="11">
      <c r="A11" s="18" t="s">
        <v>46</v>
      </c>
      <c r="B11" s="19" t="s">
        <v>81</v>
      </c>
      <c r="C11" s="19" t="s">
        <v>87</v>
      </c>
      <c r="D11" s="20">
        <f t="shared" si="1"/>
        <v>59</v>
      </c>
      <c r="E11" s="19" t="s">
        <v>88</v>
      </c>
      <c r="F11" s="19" t="s">
        <v>81</v>
      </c>
      <c r="G11" s="19" t="s">
        <v>81</v>
      </c>
      <c r="H11" s="21">
        <v>39990.0</v>
      </c>
      <c r="I11" s="22">
        <v>56.1</v>
      </c>
      <c r="J11" s="21">
        <v>29990.0</v>
      </c>
      <c r="K11" s="22">
        <v>46.5</v>
      </c>
      <c r="L11" s="21">
        <v>24990.0</v>
      </c>
      <c r="M11" s="22">
        <v>33.8</v>
      </c>
      <c r="N11" s="19" t="s">
        <v>81</v>
      </c>
      <c r="O11" s="19" t="s">
        <v>81</v>
      </c>
      <c r="P11" s="19" t="s">
        <v>81</v>
      </c>
      <c r="Q11" s="19" t="s">
        <v>81</v>
      </c>
      <c r="R11" s="23" t="s">
        <v>81</v>
      </c>
      <c r="S11" s="19" t="s">
        <v>81</v>
      </c>
      <c r="T11" s="19" t="s">
        <v>81</v>
      </c>
      <c r="U11" s="24">
        <f t="shared" si="2"/>
        <v>0.2500625156</v>
      </c>
      <c r="V11" s="24">
        <f t="shared" si="3"/>
        <v>0.1667222407</v>
      </c>
      <c r="W11" s="19" t="s">
        <v>81</v>
      </c>
      <c r="X11" s="19" t="s">
        <v>81</v>
      </c>
      <c r="Y11" s="19" t="s">
        <v>81</v>
      </c>
      <c r="Z11" s="19" t="s">
        <v>81</v>
      </c>
      <c r="AA11" s="25"/>
      <c r="AB11" s="25" t="str">
        <f t="shared" si="4"/>
        <v>#VALUE!</v>
      </c>
      <c r="AC11" s="25"/>
      <c r="AD11" s="25"/>
      <c r="AE11" s="25"/>
      <c r="AF11" s="25"/>
      <c r="AG11" s="25"/>
    </row>
    <row r="12">
      <c r="A12" s="18" t="s">
        <v>47</v>
      </c>
      <c r="B12" s="19" t="s">
        <v>81</v>
      </c>
      <c r="C12" s="19" t="s">
        <v>89</v>
      </c>
      <c r="D12" s="20">
        <f t="shared" si="1"/>
        <v>59</v>
      </c>
      <c r="E12" s="19" t="s">
        <v>90</v>
      </c>
      <c r="F12" s="19" t="s">
        <v>81</v>
      </c>
      <c r="G12" s="19" t="s">
        <v>81</v>
      </c>
      <c r="H12" s="21">
        <v>39990.0</v>
      </c>
      <c r="I12" s="22">
        <v>56.1</v>
      </c>
      <c r="J12" s="21">
        <v>29990.0</v>
      </c>
      <c r="K12" s="22">
        <v>46.5</v>
      </c>
      <c r="L12" s="21">
        <v>24990.0</v>
      </c>
      <c r="M12" s="22">
        <v>33.8</v>
      </c>
      <c r="N12" s="19" t="s">
        <v>81</v>
      </c>
      <c r="O12" s="19" t="s">
        <v>81</v>
      </c>
      <c r="P12" s="19" t="s">
        <v>81</v>
      </c>
      <c r="Q12" s="19" t="s">
        <v>81</v>
      </c>
      <c r="R12" s="23" t="s">
        <v>81</v>
      </c>
      <c r="S12" s="19" t="s">
        <v>81</v>
      </c>
      <c r="T12" s="19" t="s">
        <v>81</v>
      </c>
      <c r="U12" s="24">
        <f t="shared" si="2"/>
        <v>0.2500625156</v>
      </c>
      <c r="V12" s="24">
        <f t="shared" si="3"/>
        <v>0.1667222407</v>
      </c>
      <c r="W12" s="19" t="s">
        <v>81</v>
      </c>
      <c r="X12" s="19" t="s">
        <v>81</v>
      </c>
      <c r="Y12" s="19" t="s">
        <v>81</v>
      </c>
      <c r="Z12" s="19" t="s">
        <v>81</v>
      </c>
      <c r="AA12" s="25"/>
      <c r="AB12" s="25" t="str">
        <f t="shared" si="4"/>
        <v>#VALUE!</v>
      </c>
      <c r="AC12" s="25"/>
      <c r="AD12" s="25"/>
      <c r="AE12" s="25"/>
      <c r="AF12" s="25"/>
      <c r="AG12" s="25"/>
    </row>
    <row r="13">
      <c r="A13" s="18" t="s">
        <v>48</v>
      </c>
      <c r="B13" s="19" t="s">
        <v>81</v>
      </c>
      <c r="C13" s="19" t="s">
        <v>91</v>
      </c>
      <c r="D13" s="20">
        <f t="shared" si="1"/>
        <v>58</v>
      </c>
      <c r="E13" s="19" t="s">
        <v>92</v>
      </c>
      <c r="F13" s="19" t="s">
        <v>81</v>
      </c>
      <c r="G13" s="19" t="s">
        <v>81</v>
      </c>
      <c r="H13" s="21">
        <v>24990.0</v>
      </c>
      <c r="I13" s="22">
        <v>42.3</v>
      </c>
      <c r="J13" s="21">
        <v>18990.0</v>
      </c>
      <c r="K13" s="22">
        <v>42.5</v>
      </c>
      <c r="L13" s="21">
        <v>16990.0</v>
      </c>
      <c r="M13" s="22">
        <v>37.4</v>
      </c>
      <c r="N13" s="19" t="s">
        <v>81</v>
      </c>
      <c r="O13" s="19" t="s">
        <v>81</v>
      </c>
      <c r="P13" s="19" t="s">
        <v>81</v>
      </c>
      <c r="Q13" s="19" t="s">
        <v>81</v>
      </c>
      <c r="R13" s="23" t="s">
        <v>81</v>
      </c>
      <c r="S13" s="19" t="s">
        <v>81</v>
      </c>
      <c r="T13" s="19" t="s">
        <v>81</v>
      </c>
      <c r="U13" s="24">
        <f t="shared" si="2"/>
        <v>0.2400960384</v>
      </c>
      <c r="V13" s="24">
        <f t="shared" si="3"/>
        <v>0.1053185887</v>
      </c>
      <c r="W13" s="19" t="s">
        <v>81</v>
      </c>
      <c r="X13" s="19" t="s">
        <v>81</v>
      </c>
      <c r="Y13" s="19" t="s">
        <v>81</v>
      </c>
      <c r="Z13" s="19" t="s">
        <v>81</v>
      </c>
      <c r="AA13" s="25"/>
      <c r="AB13" s="25" t="str">
        <f t="shared" si="4"/>
        <v>#VALUE!</v>
      </c>
      <c r="AC13" s="25"/>
      <c r="AD13" s="25"/>
      <c r="AE13" s="25"/>
      <c r="AF13" s="25"/>
      <c r="AG13" s="25"/>
    </row>
    <row r="14">
      <c r="A14" s="18" t="s">
        <v>49</v>
      </c>
      <c r="B14" s="19" t="s">
        <v>81</v>
      </c>
      <c r="C14" s="19" t="s">
        <v>93</v>
      </c>
      <c r="D14" s="20">
        <f t="shared" si="1"/>
        <v>57</v>
      </c>
      <c r="E14" s="19" t="s">
        <v>94</v>
      </c>
      <c r="F14" s="19" t="s">
        <v>81</v>
      </c>
      <c r="G14" s="19" t="s">
        <v>81</v>
      </c>
      <c r="H14" s="21">
        <v>24990.0</v>
      </c>
      <c r="I14" s="22">
        <v>42.3</v>
      </c>
      <c r="J14" s="21">
        <v>18990.0</v>
      </c>
      <c r="K14" s="22">
        <v>42.5</v>
      </c>
      <c r="L14" s="21">
        <v>16990.0</v>
      </c>
      <c r="M14" s="22">
        <v>37.4</v>
      </c>
      <c r="N14" s="19" t="s">
        <v>81</v>
      </c>
      <c r="O14" s="19" t="s">
        <v>81</v>
      </c>
      <c r="P14" s="19" t="s">
        <v>81</v>
      </c>
      <c r="Q14" s="19" t="s">
        <v>81</v>
      </c>
      <c r="R14" s="23" t="s">
        <v>81</v>
      </c>
      <c r="S14" s="19" t="s">
        <v>81</v>
      </c>
      <c r="T14" s="19" t="s">
        <v>81</v>
      </c>
      <c r="U14" s="24">
        <f t="shared" si="2"/>
        <v>0.2400960384</v>
      </c>
      <c r="V14" s="24">
        <f t="shared" si="3"/>
        <v>0.1053185887</v>
      </c>
      <c r="W14" s="19" t="s">
        <v>81</v>
      </c>
      <c r="X14" s="19" t="s">
        <v>81</v>
      </c>
      <c r="Y14" s="19" t="s">
        <v>81</v>
      </c>
      <c r="Z14" s="19" t="s">
        <v>81</v>
      </c>
      <c r="AA14" s="25"/>
      <c r="AB14" s="25" t="str">
        <f t="shared" si="4"/>
        <v>#VALUE!</v>
      </c>
      <c r="AC14" s="25"/>
      <c r="AD14" s="25"/>
      <c r="AE14" s="25"/>
      <c r="AF14" s="25"/>
      <c r="AG14" s="25"/>
    </row>
    <row r="15">
      <c r="A15" s="18" t="s">
        <v>95</v>
      </c>
      <c r="B15" s="19" t="s">
        <v>81</v>
      </c>
      <c r="C15" s="19" t="s">
        <v>81</v>
      </c>
      <c r="D15" s="20">
        <f t="shared" si="1"/>
        <v>1</v>
      </c>
      <c r="E15" s="19" t="s">
        <v>81</v>
      </c>
      <c r="F15" s="19" t="s">
        <v>81</v>
      </c>
      <c r="G15" s="19" t="s">
        <v>81</v>
      </c>
      <c r="H15" s="21">
        <v>18990.0</v>
      </c>
      <c r="I15" s="22">
        <v>42.2</v>
      </c>
      <c r="J15" s="21">
        <v>16990.0</v>
      </c>
      <c r="K15" s="22">
        <v>37.2</v>
      </c>
      <c r="L15" s="21">
        <v>14990.0</v>
      </c>
      <c r="M15" s="22">
        <v>30.8</v>
      </c>
      <c r="N15" s="19" t="s">
        <v>81</v>
      </c>
      <c r="O15" s="19" t="s">
        <v>81</v>
      </c>
      <c r="P15" s="19" t="s">
        <v>81</v>
      </c>
      <c r="Q15" s="19" t="s">
        <v>81</v>
      </c>
      <c r="R15" s="23" t="s">
        <v>81</v>
      </c>
      <c r="S15" s="19" t="s">
        <v>81</v>
      </c>
      <c r="T15" s="19" t="s">
        <v>81</v>
      </c>
      <c r="U15" s="24">
        <f t="shared" si="2"/>
        <v>0.1053185887</v>
      </c>
      <c r="V15" s="24">
        <f t="shared" si="3"/>
        <v>0.1177163037</v>
      </c>
      <c r="W15" s="19" t="s">
        <v>81</v>
      </c>
      <c r="X15" s="19" t="s">
        <v>81</v>
      </c>
      <c r="Y15" s="19" t="s">
        <v>81</v>
      </c>
      <c r="Z15" s="19" t="s">
        <v>81</v>
      </c>
      <c r="AA15" s="25"/>
      <c r="AB15" s="25" t="str">
        <f t="shared" si="4"/>
        <v>#VALUE!</v>
      </c>
      <c r="AC15" s="25"/>
      <c r="AD15" s="25"/>
      <c r="AE15" s="25"/>
      <c r="AF15" s="25"/>
      <c r="AG15" s="25"/>
    </row>
    <row r="16">
      <c r="A16" s="19" t="s">
        <v>96</v>
      </c>
      <c r="B16" s="19" t="s">
        <v>81</v>
      </c>
      <c r="C16" s="19"/>
      <c r="D16" s="20">
        <f t="shared" si="1"/>
        <v>0</v>
      </c>
      <c r="E16" s="19"/>
      <c r="F16" s="19"/>
      <c r="G16" s="19"/>
      <c r="H16" s="21">
        <v>199990.0</v>
      </c>
      <c r="I16" s="22">
        <v>50.4</v>
      </c>
      <c r="J16" s="21">
        <v>179990.0</v>
      </c>
      <c r="K16" s="22">
        <v>46.5</v>
      </c>
      <c r="L16" s="21">
        <v>159990.0</v>
      </c>
      <c r="M16" s="22">
        <v>41.7</v>
      </c>
      <c r="N16" s="19" t="s">
        <v>81</v>
      </c>
      <c r="O16" s="19" t="s">
        <v>81</v>
      </c>
      <c r="P16" s="19" t="s">
        <v>81</v>
      </c>
      <c r="Q16" s="19" t="s">
        <v>81</v>
      </c>
      <c r="R16" s="19" t="s">
        <v>81</v>
      </c>
      <c r="S16" s="19" t="s">
        <v>81</v>
      </c>
      <c r="T16" s="19" t="s">
        <v>81</v>
      </c>
      <c r="U16" s="24">
        <f t="shared" si="2"/>
        <v>0.1000050003</v>
      </c>
      <c r="V16" s="24">
        <f t="shared" si="3"/>
        <v>0.1111172843</v>
      </c>
      <c r="W16" s="19">
        <v>16.0</v>
      </c>
      <c r="X16" s="19">
        <v>105.0</v>
      </c>
      <c r="Y16" s="19">
        <v>45.0</v>
      </c>
      <c r="Z16" s="19">
        <v>7.6</v>
      </c>
      <c r="AA16" s="25"/>
      <c r="AB16" s="25">
        <f t="shared" si="4"/>
        <v>0.0756</v>
      </c>
      <c r="AC16" s="25"/>
      <c r="AD16" s="25"/>
      <c r="AE16" s="25"/>
      <c r="AF16" s="25"/>
      <c r="AG16" s="25"/>
    </row>
    <row r="17">
      <c r="A17" s="19" t="s">
        <v>97</v>
      </c>
      <c r="B17" s="19" t="s">
        <v>81</v>
      </c>
      <c r="C17" s="19"/>
      <c r="D17" s="20">
        <f t="shared" si="1"/>
        <v>0</v>
      </c>
      <c r="E17" s="19"/>
      <c r="F17" s="19"/>
      <c r="G17" s="19"/>
      <c r="H17" s="21">
        <v>199990.0</v>
      </c>
      <c r="I17" s="22">
        <v>50.4</v>
      </c>
      <c r="J17" s="21">
        <v>179990.0</v>
      </c>
      <c r="K17" s="22">
        <v>46.5</v>
      </c>
      <c r="L17" s="21">
        <v>159990.0</v>
      </c>
      <c r="M17" s="22">
        <v>41.7</v>
      </c>
      <c r="N17" s="19" t="s">
        <v>81</v>
      </c>
      <c r="O17" s="19" t="s">
        <v>81</v>
      </c>
      <c r="P17" s="19" t="s">
        <v>81</v>
      </c>
      <c r="Q17" s="19" t="s">
        <v>81</v>
      </c>
      <c r="R17" s="19" t="s">
        <v>81</v>
      </c>
      <c r="S17" s="19" t="s">
        <v>81</v>
      </c>
      <c r="T17" s="19" t="s">
        <v>81</v>
      </c>
      <c r="U17" s="24">
        <f t="shared" si="2"/>
        <v>0.1000050003</v>
      </c>
      <c r="V17" s="24">
        <f t="shared" si="3"/>
        <v>0.1111172843</v>
      </c>
      <c r="W17" s="19">
        <v>16.0</v>
      </c>
      <c r="X17" s="19">
        <v>105.0</v>
      </c>
      <c r="Y17" s="19">
        <v>45.0</v>
      </c>
      <c r="Z17" s="19">
        <v>7.6</v>
      </c>
      <c r="AA17" s="25"/>
      <c r="AB17" s="25">
        <f t="shared" si="4"/>
        <v>0.0756</v>
      </c>
      <c r="AC17" s="25"/>
      <c r="AD17" s="25"/>
      <c r="AE17" s="25"/>
      <c r="AF17" s="25"/>
      <c r="AG17" s="25"/>
    </row>
    <row r="18">
      <c r="A18" s="19" t="s">
        <v>98</v>
      </c>
      <c r="B18" s="19" t="s">
        <v>81</v>
      </c>
      <c r="C18" s="19"/>
      <c r="D18" s="20">
        <f t="shared" si="1"/>
        <v>0</v>
      </c>
      <c r="E18" s="19"/>
      <c r="F18" s="19"/>
      <c r="G18" s="19"/>
      <c r="H18" s="21">
        <v>59990.0</v>
      </c>
      <c r="I18" s="22">
        <v>47.4</v>
      </c>
      <c r="J18" s="21">
        <v>49990.0</v>
      </c>
      <c r="K18" s="22">
        <v>39.9</v>
      </c>
      <c r="L18" s="21">
        <v>44990.0</v>
      </c>
      <c r="M18" s="22">
        <v>34.9</v>
      </c>
      <c r="N18" s="19" t="s">
        <v>81</v>
      </c>
      <c r="O18" s="19" t="s">
        <v>81</v>
      </c>
      <c r="P18" s="19" t="s">
        <v>81</v>
      </c>
      <c r="Q18" s="19" t="s">
        <v>81</v>
      </c>
      <c r="R18" s="19" t="s">
        <v>81</v>
      </c>
      <c r="S18" s="19" t="s">
        <v>81</v>
      </c>
      <c r="T18" s="19" t="s">
        <v>81</v>
      </c>
      <c r="U18" s="24">
        <f t="shared" si="2"/>
        <v>0.1666944491</v>
      </c>
      <c r="V18" s="24">
        <f t="shared" si="3"/>
        <v>0.100020004</v>
      </c>
      <c r="W18" s="19">
        <v>13.0</v>
      </c>
      <c r="X18" s="19">
        <v>31.0</v>
      </c>
      <c r="Y18" s="19">
        <v>34.0</v>
      </c>
      <c r="Z18" s="19">
        <v>3.75</v>
      </c>
      <c r="AA18" s="25"/>
      <c r="AB18" s="25">
        <f t="shared" si="4"/>
        <v>0.013702</v>
      </c>
      <c r="AC18" s="25"/>
      <c r="AD18" s="25"/>
      <c r="AE18" s="25"/>
      <c r="AF18" s="25"/>
      <c r="AG18" s="25"/>
    </row>
    <row r="19">
      <c r="A19" s="19" t="s">
        <v>99</v>
      </c>
      <c r="B19" s="19" t="s">
        <v>81</v>
      </c>
      <c r="C19" s="19"/>
      <c r="D19" s="20"/>
      <c r="E19" s="19"/>
      <c r="F19" s="19"/>
      <c r="G19" s="19"/>
      <c r="H19" s="21">
        <v>59990.0</v>
      </c>
      <c r="I19" s="26">
        <f t="array" ref="I19">IF(OR(H19=0, H19=""), 0, 1 - ((((XLOOKUP($A19, 'datos de inventario'!$A:$A, 'datos de inventario'!$D:$D, 0) * 'datos de inventario'!$K$2) + (XLOOKUP($A19, 'datos de inventario'!$A:$A, 'datos de inventario'!$F:$F, 0) * 'datos de inventario'!$K$3 * 'datos de inventario'!$K$4)) * 1.19 + (H19 * 0.15) + XLOOKUP(MAX($Z19, (XLOOKUP($A19, 'datos de inventario'!$A:$A, 'datos de inventario'!$F:$F, 0) * 1000000 / 4000)) + 0.1, Tarifas!$A$2:$A$33, IF(H19 &lt;= 9989, Tarifas!$B$2:$B$33, IF(H19 &lt;= 19989, Tarifas!$C$2:$C$33, Tarifas!$D$2:$D$33)), "Peso excedido", 1)) / H19))</f>
        <v>0.4610927738</v>
      </c>
      <c r="J19" s="21">
        <v>49990.0</v>
      </c>
      <c r="K19" s="26">
        <f t="array" ref="K19">IF(OR(J19=0, J19=""), 0, 1 - ((((XLOOKUP($A19, 'datos de inventario'!$A:$A, 'datos de inventario'!$D:$D, 0) * 'datos de inventario'!$K$2) + (XLOOKUP($A19, 'datos de inventario'!$A:$A, 'datos de inventario'!$F:$F, 0) * 'datos de inventario'!$K$3 * 'datos de inventario'!$K$4)) * 1.19 + (J19 * 0.15) + XLOOKUP(MAX($Z19, (XLOOKUP($A19, 'datos de inventario'!$A:$A, 'datos de inventario'!$F:$F, 0) * 1000000 / 4000)) + 0.1, Tarifas!$A$2:$A$33, IF(J19 &lt;= 9989, Tarifas!$B$2:$B$33, IF(J19 &lt;= 19989, Tarifas!$C$2:$C$33, Tarifas!$D$2:$D$33)), "Peso excedido", 1)) / J19))</f>
        <v>0.3832957692</v>
      </c>
      <c r="L19" s="21">
        <v>44990.0</v>
      </c>
      <c r="M19" s="26">
        <f t="array" ref="M19">IF(OR(L19=0, L19=""), 0, 1 - ((((XLOOKUP($A19, 'datos de inventario'!$A:$A, 'datos de inventario'!$D:$D, 0) * 'datos de inventario'!$K$2) + (XLOOKUP($A19, 'datos de inventario'!$A:$A, 'datos de inventario'!$F:$F, 0) * 'datos de inventario'!$K$3 * 'datos de inventario'!$K$4)) * 1.19 + (L19 * 0.15) + XLOOKUP(MAX($Z19, (XLOOKUP($A19, 'datos de inventario'!$A:$A, 'datos de inventario'!$F:$F, 0) * 1000000 / 4000)) + 0.1, Tarifas!$A$2:$A$33, IF(L19 &lt;= 9989, Tarifas!$B$2:$B$33, IF(L19 &lt;= 19989, Tarifas!$C$2:$C$33, Tarifas!$D$2:$D$33)), "Peso excedido", 1)) / L19))</f>
        <v>0.3314282174</v>
      </c>
      <c r="N19" s="19" t="s">
        <v>81</v>
      </c>
      <c r="O19" s="19" t="s">
        <v>81</v>
      </c>
      <c r="P19" s="19" t="s">
        <v>81</v>
      </c>
      <c r="Q19" s="19" t="s">
        <v>81</v>
      </c>
      <c r="R19" s="19" t="s">
        <v>81</v>
      </c>
      <c r="S19" s="19" t="s">
        <v>81</v>
      </c>
      <c r="T19" s="19" t="s">
        <v>81</v>
      </c>
      <c r="U19" s="24">
        <f t="shared" si="2"/>
        <v>0.1666944491</v>
      </c>
      <c r="V19" s="24">
        <f t="shared" si="3"/>
        <v>0.100020004</v>
      </c>
      <c r="W19" s="19">
        <v>14.5</v>
      </c>
      <c r="X19" s="19">
        <v>40.0</v>
      </c>
      <c r="Y19" s="19">
        <v>35.0</v>
      </c>
      <c r="Z19" s="19">
        <v>2.2</v>
      </c>
      <c r="AA19" s="19"/>
      <c r="AB19" s="25">
        <f t="shared" si="4"/>
        <v>0.0203</v>
      </c>
      <c r="AC19" s="25"/>
      <c r="AD19" s="25"/>
      <c r="AE19" s="25"/>
      <c r="AF19" s="25"/>
      <c r="AG19" s="25"/>
    </row>
    <row r="20">
      <c r="A20" s="19" t="s">
        <v>100</v>
      </c>
      <c r="B20" s="19" t="s">
        <v>81</v>
      </c>
      <c r="C20" s="19"/>
      <c r="D20" s="20"/>
      <c r="E20" s="19"/>
      <c r="F20" s="19"/>
      <c r="G20" s="19"/>
      <c r="H20" s="21">
        <v>149990.0</v>
      </c>
      <c r="I20" s="26">
        <f t="array" ref="I20">IF(OR(H20=0, H20=""), 0, 1 - ((((XLOOKUP($A20, 'datos de inventario'!$A:$A, 'datos de inventario'!$D:$D, 0) * 'datos de inventario'!$K$2) + (XLOOKUP($A20, 'datos de inventario'!$A:$A, 'datos de inventario'!$F:$F, 0) * 'datos de inventario'!$K$3 * 'datos de inventario'!$K$4)) * 1.19 + (H20 * 0.15) + XLOOKUP(MAX($Z20, (XLOOKUP($A20, 'datos de inventario'!$A:$A, 'datos de inventario'!$F:$F, 0) * 1000000 / 4000)) + 0.1, Tarifas!$A$2:$A$33, IF(H20 &lt;= 9989, Tarifas!$B$2:$B$33, IF(H20 &lt;= 19989, Tarifas!$C$2:$C$33, Tarifas!$D$2:$D$33)), "Peso excedido", 1)) / H20))</f>
        <v>0.6751266951</v>
      </c>
      <c r="J20" s="21">
        <v>99990.0</v>
      </c>
      <c r="K20" s="26">
        <f t="array" ref="K20">IF(OR(J20=0, J20=""), 0, 1 - ((((XLOOKUP($A20, 'datos de inventario'!$A:$A, 'datos de inventario'!$D:$D, 0) * 'datos de inventario'!$K$2) + (XLOOKUP($A20, 'datos de inventario'!$A:$A, 'datos de inventario'!$F:$F, 0) * 'datos de inventario'!$K$3 * 'datos de inventario'!$K$4)) * 1.19 + (J20 * 0.15) + XLOOKUP(MAX($Z20, (XLOOKUP($A20, 'datos de inventario'!$A:$A, 'datos de inventario'!$F:$F, 0) * 1000000 / 4000)) + 0.1, Tarifas!$A$2:$A$33, IF(J20 &lt;= 9989, Tarifas!$B$2:$B$33, IF(J20 &lt;= 19989, Tarifas!$C$2:$C$33, Tarifas!$D$2:$D$33)), "Peso excedido", 1)) / J20))</f>
        <v>0.5876812981</v>
      </c>
      <c r="L20" s="21">
        <v>89990.0</v>
      </c>
      <c r="M20" s="26">
        <f t="array" ref="M20">IF(OR(L20=0, L20=""), 0, 1 - ((((XLOOKUP($A20, 'datos de inventario'!$A:$A, 'datos de inventario'!$D:$D, 0) * 'datos de inventario'!$K$2) + (XLOOKUP($A20, 'datos de inventario'!$A:$A, 'datos de inventario'!$F:$F, 0) * 'datos de inventario'!$K$3 * 'datos de inventario'!$K$4)) * 1.19 + (L20 * 0.15) + XLOOKUP(MAX($Z20, (XLOOKUP($A20, 'datos de inventario'!$A:$A, 'datos de inventario'!$F:$F, 0) * 1000000 / 4000)) + 0.1, Tarifas!$A$2:$A$33, IF(L20 &lt;= 9989, Tarifas!$B$2:$B$33, IF(L20 &lt;= 19989, Tarifas!$C$2:$C$33, Tarifas!$D$2:$D$33)), "Peso excedido", 1)) / L20))</f>
        <v>0.5585315368</v>
      </c>
      <c r="N20" s="19" t="s">
        <v>81</v>
      </c>
      <c r="O20" s="19" t="s">
        <v>81</v>
      </c>
      <c r="P20" s="19" t="s">
        <v>81</v>
      </c>
      <c r="Q20" s="19" t="s">
        <v>81</v>
      </c>
      <c r="R20" s="19" t="s">
        <v>81</v>
      </c>
      <c r="S20" s="19" t="s">
        <v>81</v>
      </c>
      <c r="T20" s="19" t="s">
        <v>81</v>
      </c>
      <c r="U20" s="24">
        <f t="shared" si="2"/>
        <v>0.333355557</v>
      </c>
      <c r="V20" s="24">
        <f t="shared" si="3"/>
        <v>0.100010001</v>
      </c>
      <c r="W20" s="19">
        <v>19.0</v>
      </c>
      <c r="X20" s="19">
        <v>40.0</v>
      </c>
      <c r="Y20" s="19">
        <v>35.0</v>
      </c>
      <c r="Z20" s="19">
        <v>2.88</v>
      </c>
      <c r="AA20" s="19"/>
      <c r="AB20" s="25">
        <f t="shared" si="4"/>
        <v>0.0266</v>
      </c>
      <c r="AC20" s="25"/>
      <c r="AD20" s="25"/>
      <c r="AE20" s="25"/>
      <c r="AF20" s="25"/>
      <c r="AG20" s="25"/>
    </row>
    <row r="21">
      <c r="A21" s="19" t="s">
        <v>101</v>
      </c>
      <c r="B21" s="19" t="s">
        <v>81</v>
      </c>
      <c r="C21" s="19"/>
      <c r="D21" s="20"/>
      <c r="E21" s="19"/>
      <c r="F21" s="19"/>
      <c r="G21" s="19"/>
      <c r="H21" s="21">
        <v>18990.0</v>
      </c>
      <c r="I21" s="26">
        <f t="array" ref="I21">IF(OR(H21=0, H21=""), 0, 1 - ((((XLOOKUP($A21, 'datos de inventario'!$A:$A, 'datos de inventario'!$D:$D, 0) * 'datos de inventario'!$K$2) + (XLOOKUP($A21, 'datos de inventario'!$A:$A, 'datos de inventario'!$F:$F, 0) * 'datos de inventario'!$K$3 * 'datos de inventario'!$K$4)) * 1.19 + (H21 * 0.15) + XLOOKUP(MAX($Z21, (XLOOKUP($A21, 'datos de inventario'!$A:$A, 'datos de inventario'!$F:$F, 0) * 1000000 / 4000)) + 0.1, Tarifas!$A$2:$A$33, IF(H21 &lt;= 9989, Tarifas!$B$2:$B$33, IF(H21 &lt;= 19989, Tarifas!$C$2:$C$33, Tarifas!$D$2:$D$33)), "Peso excedido", 1)) / H21))</f>
        <v>0.4103486045</v>
      </c>
      <c r="J21" s="21">
        <v>16990.0</v>
      </c>
      <c r="K21" s="26">
        <f t="array" ref="K21">IF(OR(J21=0, J21=""), 0, 1 - ((((XLOOKUP($A21, 'datos de inventario'!$A:$A, 'datos de inventario'!$D:$D, 0) * 'datos de inventario'!$K$2) + (XLOOKUP($A21, 'datos de inventario'!$A:$A, 'datos de inventario'!$F:$F, 0) * 'datos de inventario'!$K$3 * 'datos de inventario'!$K$4)) * 1.19 + (J21 * 0.15) + XLOOKUP(MAX($Z21, (XLOOKUP($A21, 'datos de inventario'!$A:$A, 'datos de inventario'!$F:$F, 0) * 1000000 / 4000)) + 0.1, Tarifas!$A$2:$A$33, IF(J21 &lt;= 9989, Tarifas!$B$2:$B$33, IF(J21 &lt;= 19989, Tarifas!$C$2:$C$33, Tarifas!$D$2:$D$33)), "Peso excedido", 1)) / J21))</f>
        <v>0.3585944673</v>
      </c>
      <c r="L21" s="21">
        <v>14990.0</v>
      </c>
      <c r="M21" s="26">
        <f t="array" ref="M21">IF(OR(L21=0, L21=""), 0, 1 - ((((XLOOKUP($A21, 'datos de inventario'!$A:$A, 'datos de inventario'!$D:$D, 0) * 'datos de inventario'!$K$2) + (XLOOKUP($A21, 'datos de inventario'!$A:$A, 'datos de inventario'!$F:$F, 0) * 'datos de inventario'!$K$3 * 'datos de inventario'!$K$4)) * 1.19 + (L21 * 0.15) + XLOOKUP(MAX($Z21, (XLOOKUP($A21, 'datos de inventario'!$A:$A, 'datos de inventario'!$F:$F, 0) * 1000000 / 4000)) + 0.1, Tarifas!$A$2:$A$33, IF(L21 &lt;= 9989, Tarifas!$B$2:$B$33, IF(L21 &lt;= 19989, Tarifas!$C$2:$C$33, Tarifas!$D$2:$D$33)), "Peso excedido", 1)) / L21))</f>
        <v>0.29303002</v>
      </c>
      <c r="N21" s="19" t="s">
        <v>81</v>
      </c>
      <c r="O21" s="19" t="s">
        <v>81</v>
      </c>
      <c r="P21" s="19" t="s">
        <v>81</v>
      </c>
      <c r="Q21" s="19" t="s">
        <v>81</v>
      </c>
      <c r="R21" s="19" t="s">
        <v>81</v>
      </c>
      <c r="S21" s="19" t="s">
        <v>81</v>
      </c>
      <c r="T21" s="19" t="s">
        <v>81</v>
      </c>
      <c r="U21" s="24">
        <f t="shared" si="2"/>
        <v>0.1053185887</v>
      </c>
      <c r="V21" s="24">
        <f t="shared" si="3"/>
        <v>0.1177163037</v>
      </c>
      <c r="W21" s="19">
        <v>4.5</v>
      </c>
      <c r="X21" s="19">
        <v>11.5</v>
      </c>
      <c r="Y21" s="19">
        <v>16.0</v>
      </c>
      <c r="Z21" s="19">
        <v>0.256</v>
      </c>
      <c r="AA21" s="19"/>
      <c r="AB21" s="25">
        <f t="shared" si="4"/>
        <v>0.000828</v>
      </c>
      <c r="AC21" s="25"/>
      <c r="AD21" s="25"/>
      <c r="AE21" s="25"/>
      <c r="AF21" s="25"/>
      <c r="AG21" s="25"/>
    </row>
    <row r="22">
      <c r="A22" s="19" t="s">
        <v>102</v>
      </c>
      <c r="B22" s="19" t="s">
        <v>81</v>
      </c>
      <c r="C22" s="19"/>
      <c r="D22" s="20"/>
      <c r="E22" s="19"/>
      <c r="F22" s="19"/>
      <c r="G22" s="19"/>
      <c r="H22" s="21">
        <v>4990.0</v>
      </c>
      <c r="I22" s="26">
        <f t="array" ref="I22">IF(OR(H22=0, H22=""), 0, 1 - ((((XLOOKUP($A22, 'datos de inventario'!$A:$A, 'datos de inventario'!$D:$D, 0) * 'datos de inventario'!$K$2) + (XLOOKUP($A22, 'datos de inventario'!$A:$A, 'datos de inventario'!$F:$F, 0) * 'datos de inventario'!$K$3 * 'datos de inventario'!$K$4)) * 1.19 + (H22 * 0.15) + XLOOKUP(MAX($Z22, (XLOOKUP($A22, 'datos de inventario'!$A:$A, 'datos de inventario'!$F:$F, 0) * 1000000 / 4000)) + 0.1, Tarifas!$A$2:$A$33, IF(H22 &lt;= 9989, Tarifas!$B$2:$B$33, IF(H22 &lt;= 19989, Tarifas!$C$2:$C$33, Tarifas!$D$2:$D$33)), "Peso excedido", 1)) / H22))</f>
        <v>0.6058547094</v>
      </c>
      <c r="J22" s="21">
        <v>3990.0</v>
      </c>
      <c r="K22" s="26">
        <f t="array" ref="K22">IF(OR(J22=0, J22=""), 0, 1 - ((((XLOOKUP($A22, 'datos de inventario'!$A:$A, 'datos de inventario'!$D:$D, 0) * 'datos de inventario'!$K$2) + (XLOOKUP($A22, 'datos de inventario'!$A:$A, 'datos de inventario'!$F:$F, 0) * 'datos de inventario'!$K$3 * 'datos de inventario'!$K$4)) * 1.19 + (J22 * 0.15) + XLOOKUP(MAX($Z22, (XLOOKUP($A22, 'datos de inventario'!$A:$A, 'datos de inventario'!$F:$F, 0) * 1000000 / 4000)) + 0.1, Tarifas!$A$2:$A$33, IF(J22 &lt;= 9989, Tarifas!$B$2:$B$33, IF(J22 &lt;= 19989, Tarifas!$C$2:$C$33, Tarifas!$D$2:$D$33)), "Peso excedido", 1)) / J22))</f>
        <v>0.5446654135</v>
      </c>
      <c r="L22" s="21">
        <v>2990.0</v>
      </c>
      <c r="M22" s="26">
        <f t="array" ref="M22">IF(OR(L22=0, L22=""), 0, 1 - ((((XLOOKUP($A22, 'datos de inventario'!$A:$A, 'datos de inventario'!$D:$D, 0) * 'datos de inventario'!$K$2) + (XLOOKUP($A22, 'datos de inventario'!$A:$A, 'datos de inventario'!$F:$F, 0) * 'datos de inventario'!$K$3 * 'datos de inventario'!$K$4)) * 1.19 + (L22 * 0.15) + XLOOKUP(MAX($Z22, (XLOOKUP($A22, 'datos de inventario'!$A:$A, 'datos de inventario'!$F:$F, 0) * 1000000 / 4000)) + 0.1, Tarifas!$A$2:$A$33, IF(L22 &lt;= 9989, Tarifas!$B$2:$B$33, IF(L22 &lt;= 19989, Tarifas!$C$2:$C$33, Tarifas!$D$2:$D$33)), "Peso excedido", 1)) / L22))</f>
        <v>0.4425468227</v>
      </c>
      <c r="N22" s="19" t="s">
        <v>81</v>
      </c>
      <c r="O22" s="19" t="s">
        <v>81</v>
      </c>
      <c r="P22" s="19" t="s">
        <v>81</v>
      </c>
      <c r="Q22" s="19" t="s">
        <v>81</v>
      </c>
      <c r="R22" s="19" t="s">
        <v>81</v>
      </c>
      <c r="S22" s="19" t="s">
        <v>81</v>
      </c>
      <c r="T22" s="19" t="s">
        <v>81</v>
      </c>
      <c r="U22" s="24">
        <f t="shared" si="2"/>
        <v>0.2004008016</v>
      </c>
      <c r="V22" s="24">
        <f t="shared" si="3"/>
        <v>0.2506265664</v>
      </c>
      <c r="W22" s="19">
        <v>4.0</v>
      </c>
      <c r="X22" s="19">
        <v>4.0</v>
      </c>
      <c r="Y22" s="19">
        <v>6.0</v>
      </c>
      <c r="Z22" s="19">
        <v>0.024</v>
      </c>
      <c r="AA22" s="19"/>
      <c r="AB22" s="25">
        <f t="shared" si="4"/>
        <v>0.000096</v>
      </c>
      <c r="AC22" s="25"/>
      <c r="AD22" s="25"/>
      <c r="AE22" s="25"/>
      <c r="AF22" s="25"/>
      <c r="AG22" s="25"/>
    </row>
    <row r="23">
      <c r="A23" s="19" t="s">
        <v>103</v>
      </c>
      <c r="B23" s="19" t="s">
        <v>81</v>
      </c>
      <c r="C23" s="19"/>
      <c r="D23" s="20"/>
      <c r="E23" s="19"/>
      <c r="F23" s="19"/>
      <c r="G23" s="19"/>
      <c r="H23" s="21">
        <v>12990.0</v>
      </c>
      <c r="I23" s="26">
        <f t="array" ref="I23">IF(OR(H23=0, H23=""), 0, 1 - ((((XLOOKUP($A23, 'datos de inventario'!$A:$A, 'datos de inventario'!$D:$D, 0) * 'datos de inventario'!$K$2) + (XLOOKUP($A23, 'datos de inventario'!$A:$A, 'datos de inventario'!$F:$F, 0) * 'datos de inventario'!$K$3 * 'datos de inventario'!$K$4)) * 1.19 + (H23 * 0.15) + XLOOKUP(MAX($Z23, (XLOOKUP($A23, 'datos de inventario'!$A:$A, 'datos de inventario'!$F:$F, 0) * 1000000 / 4000)) + 0.1, Tarifas!$A$2:$A$33, IF(H23 &lt;= 9989, Tarifas!$B$2:$B$33, IF(H23 &lt;= 19989, Tarifas!$C$2:$C$33, Tarifas!$D$2:$D$33)), "Peso excedido", 1)) / H23))</f>
        <v>0.5399874904</v>
      </c>
      <c r="J23" s="21">
        <v>11990.0</v>
      </c>
      <c r="K23" s="26">
        <f t="array" ref="K23">IF(OR(J23=0, J23=""), 0, 1 - ((((XLOOKUP($A23, 'datos de inventario'!$A:$A, 'datos de inventario'!$D:$D, 0) * 'datos de inventario'!$K$2) + (XLOOKUP($A23, 'datos de inventario'!$A:$A, 'datos de inventario'!$F:$F, 0) * 'datos de inventario'!$K$3 * 'datos de inventario'!$K$4)) * 1.19 + (J23 * 0.15) + XLOOKUP(MAX($Z23, (XLOOKUP($A23, 'datos de inventario'!$A:$A, 'datos de inventario'!$F:$F, 0) * 1000000 / 4000)) + 0.1, Tarifas!$A$2:$A$33, IF(J23 &lt;= 9989, Tarifas!$B$2:$B$33, IF(J23 &lt;= 19989, Tarifas!$C$2:$C$33, Tarifas!$D$2:$D$33)), "Peso excedido", 1)) / J23))</f>
        <v>0.514131568</v>
      </c>
      <c r="L23" s="21">
        <v>10990.0</v>
      </c>
      <c r="M23" s="26">
        <f t="array" ref="M23">IF(OR(L23=0, L23=""), 0, 1 - ((((XLOOKUP($A23, 'datos de inventario'!$A:$A, 'datos de inventario'!$D:$D, 0) * 'datos de inventario'!$K$2) + (XLOOKUP($A23, 'datos de inventario'!$A:$A, 'datos de inventario'!$F:$F, 0) * 'datos de inventario'!$K$3 * 'datos de inventario'!$K$4)) * 1.19 + (L23 * 0.15) + XLOOKUP(MAX($Z23, (XLOOKUP($A23, 'datos de inventario'!$A:$A, 'datos de inventario'!$F:$F, 0) * 1000000 / 4000)) + 0.1, Tarifas!$A$2:$A$33, IF(L23 &lt;= 9989, Tarifas!$B$2:$B$33, IF(L23 &lt;= 19989, Tarifas!$C$2:$C$33, Tarifas!$D$2:$D$33)), "Peso excedido", 1)) / L23))</f>
        <v>0.4835702912</v>
      </c>
      <c r="N23" s="19" t="s">
        <v>81</v>
      </c>
      <c r="O23" s="19" t="s">
        <v>81</v>
      </c>
      <c r="P23" s="19" t="s">
        <v>81</v>
      </c>
      <c r="Q23" s="19" t="s">
        <v>81</v>
      </c>
      <c r="R23" s="19" t="s">
        <v>81</v>
      </c>
      <c r="S23" s="19" t="s">
        <v>81</v>
      </c>
      <c r="T23" s="19" t="s">
        <v>81</v>
      </c>
      <c r="U23" s="24">
        <f t="shared" si="2"/>
        <v>0.07698229407</v>
      </c>
      <c r="V23" s="24">
        <f t="shared" si="3"/>
        <v>0.0834028357</v>
      </c>
      <c r="W23" s="19">
        <v>3.5</v>
      </c>
      <c r="X23" s="19">
        <v>4.0</v>
      </c>
      <c r="Y23" s="19">
        <v>6.0</v>
      </c>
      <c r="Z23" s="19">
        <v>0.026</v>
      </c>
      <c r="AA23" s="19"/>
      <c r="AB23" s="25">
        <f t="shared" si="4"/>
        <v>0.000084</v>
      </c>
      <c r="AC23" s="25"/>
      <c r="AD23" s="25"/>
      <c r="AE23" s="25"/>
      <c r="AF23" s="25"/>
      <c r="AG23" s="25"/>
    </row>
    <row r="24">
      <c r="A24" s="19" t="s">
        <v>104</v>
      </c>
      <c r="B24" s="19" t="s">
        <v>81</v>
      </c>
      <c r="C24" s="19"/>
      <c r="D24" s="20"/>
      <c r="E24" s="19"/>
      <c r="F24" s="19"/>
      <c r="G24" s="19"/>
      <c r="H24" s="21">
        <v>26990.0</v>
      </c>
      <c r="I24" s="26">
        <f t="array" ref="I24">IF(OR(H24=0, H24=""), 0, 1 - ((((XLOOKUP($A24, 'datos de inventario'!$A:$A, 'datos de inventario'!$D:$D, 0) * 'datos de inventario'!$K$2) + (XLOOKUP($A24, 'datos de inventario'!$A:$A, 'datos de inventario'!$F:$F, 0) * 'datos de inventario'!$K$3 * 'datos de inventario'!$K$4)) * 1.19 + (H24 * 0.15) + XLOOKUP(MAX($Z24, (XLOOKUP($A24, 'datos de inventario'!$A:$A, 'datos de inventario'!$F:$F, 0) * 1000000 / 4000)) + 0.1, Tarifas!$A$2:$A$33, IF(H24 &lt;= 9989, Tarifas!$B$2:$B$33, IF(H24 &lt;= 19989, Tarifas!$C$2:$C$33, Tarifas!$D$2:$D$33)), "Peso excedido", 1)) / H24))</f>
        <v>0.3821488144</v>
      </c>
      <c r="J24" s="21">
        <v>24990.0</v>
      </c>
      <c r="K24" s="26">
        <f t="array" ref="K24">IF(OR(J24=0, J24=""), 0, 1 - ((((XLOOKUP($A24, 'datos de inventario'!$A:$A, 'datos de inventario'!$D:$D, 0) * 'datos de inventario'!$K$2) + (XLOOKUP($A24, 'datos de inventario'!$A:$A, 'datos de inventario'!$F:$F, 0) * 'datos de inventario'!$K$3 * 'datos de inventario'!$K$4)) * 1.19 + (J24 * 0.15) + XLOOKUP(MAX($Z24, (XLOOKUP($A24, 'datos de inventario'!$A:$A, 'datos de inventario'!$F:$F, 0) * 1000000 / 4000)) + 0.1, Tarifas!$A$2:$A$33, IF(J24 &lt;= 9989, Tarifas!$B$2:$B$33, IF(J24 &lt;= 19989, Tarifas!$C$2:$C$33, Tarifas!$D$2:$D$33)), "Peso excedido", 1)) / J24))</f>
        <v>0.3447057423</v>
      </c>
      <c r="L24" s="21">
        <v>18990.0</v>
      </c>
      <c r="M24" s="26">
        <f t="array" ref="M24">IF(OR(L24=0, L24=""), 0, 1 - ((((XLOOKUP($A24, 'datos de inventario'!$A:$A, 'datos de inventario'!$D:$D, 0) * 'datos de inventario'!$K$2) + (XLOOKUP($A24, 'datos de inventario'!$A:$A, 'datos de inventario'!$F:$F, 0) * 'datos de inventario'!$K$3 * 'datos de inventario'!$K$4)) * 1.19 + (L24 * 0.15) + XLOOKUP(MAX($Z24, (XLOOKUP($A24, 'datos de inventario'!$A:$A, 'datos de inventario'!$F:$F, 0) * 1000000 / 4000)) + 0.1, Tarifas!$A$2:$A$33, IF(L24 &lt;= 9989, Tarifas!$B$2:$B$33, IF(L24 &lt;= 19989, Tarifas!$C$2:$C$33, Tarifas!$D$2:$D$33)), "Peso excedido", 1)) / L24))</f>
        <v>0.3572510005</v>
      </c>
      <c r="N24" s="19" t="s">
        <v>81</v>
      </c>
      <c r="O24" s="19" t="s">
        <v>81</v>
      </c>
      <c r="P24" s="19" t="s">
        <v>81</v>
      </c>
      <c r="Q24" s="19" t="s">
        <v>81</v>
      </c>
      <c r="R24" s="19" t="s">
        <v>81</v>
      </c>
      <c r="S24" s="19" t="s">
        <v>81</v>
      </c>
      <c r="T24" s="19" t="s">
        <v>81</v>
      </c>
      <c r="U24" s="24">
        <f t="shared" si="2"/>
        <v>0.07410151908</v>
      </c>
      <c r="V24" s="24">
        <f t="shared" si="3"/>
        <v>0.2400960384</v>
      </c>
      <c r="W24" s="19">
        <v>17.0</v>
      </c>
      <c r="X24" s="19">
        <v>41.0</v>
      </c>
      <c r="Y24" s="19">
        <v>17.0</v>
      </c>
      <c r="Z24" s="19">
        <v>1.44</v>
      </c>
      <c r="AA24" s="19"/>
      <c r="AB24" s="25">
        <f t="shared" si="4"/>
        <v>0.011849</v>
      </c>
      <c r="AC24" s="25"/>
      <c r="AD24" s="25"/>
      <c r="AE24" s="25"/>
      <c r="AF24" s="25"/>
      <c r="AG24" s="25"/>
    </row>
    <row r="25">
      <c r="A25" s="19" t="s">
        <v>105</v>
      </c>
      <c r="B25" s="19" t="s">
        <v>81</v>
      </c>
      <c r="C25" s="19"/>
      <c r="D25" s="20"/>
      <c r="E25" s="19"/>
      <c r="F25" s="19"/>
      <c r="G25" s="19"/>
      <c r="H25" s="21">
        <v>44990.0</v>
      </c>
      <c r="I25" s="26">
        <f t="array" ref="I25">IF(OR(H25=0, H25=""), 0, 1 - ((((XLOOKUP($A25, 'datos de inventario'!$A:$A, 'datos de inventario'!$D:$D, 0) * 'datos de inventario'!$K$2) + (XLOOKUP($A25, 'datos de inventario'!$A:$A, 'datos de inventario'!$F:$F, 0) * 'datos de inventario'!$K$3 * 'datos de inventario'!$K$4)) * 1.19 + (H25 * 0.15) + XLOOKUP(MAX($Z25, (XLOOKUP($A25, 'datos de inventario'!$A:$A, 'datos de inventario'!$F:$F, 0) * 1000000 / 4000)) + 0.1, Tarifas!$A$2:$A$33, IF(H25 &lt;= 9989, Tarifas!$B$2:$B$33, IF(H25 &lt;= 19989, Tarifas!$C$2:$C$33, Tarifas!$D$2:$D$33)), "Peso excedido", 1)) / H25))</f>
        <v>0.4549028673</v>
      </c>
      <c r="J25" s="21">
        <v>39990.0</v>
      </c>
      <c r="K25" s="26">
        <f t="array" ref="K25">IF(OR(J25=0, J25=""), 0, 1 - ((((XLOOKUP($A25, 'datos de inventario'!$A:$A, 'datos de inventario'!$D:$D, 0) * 'datos de inventario'!$K$2) + (XLOOKUP($A25, 'datos de inventario'!$A:$A, 'datos de inventario'!$F:$F, 0) * 'datos de inventario'!$K$3 * 'datos de inventario'!$K$4)) * 1.19 + (J25 * 0.15) + XLOOKUP(MAX($Z25, (XLOOKUP($A25, 'datos de inventario'!$A:$A, 'datos de inventario'!$F:$F, 0) * 1000000 / 4000)) + 0.1, Tarifas!$A$2:$A$33, IF(J25 &lt;= 9989, Tarifas!$B$2:$B$33, IF(J25 &lt;= 19989, Tarifas!$C$2:$C$33, Tarifas!$D$2:$D$33)), "Peso excedido", 1)) / J25))</f>
        <v>0.4055033758</v>
      </c>
      <c r="L25" s="21">
        <v>34990.0</v>
      </c>
      <c r="M25" s="26">
        <f t="array" ref="M25">IF(OR(L25=0, L25=""), 0, 1 - ((((XLOOKUP($A25, 'datos de inventario'!$A:$A, 'datos de inventario'!$D:$D, 0) * 'datos de inventario'!$K$2) + (XLOOKUP($A25, 'datos de inventario'!$A:$A, 'datos de inventario'!$F:$F, 0) * 'datos de inventario'!$K$3 * 'datos de inventario'!$K$4)) * 1.19 + (L25 * 0.15) + XLOOKUP(MAX($Z25, (XLOOKUP($A25, 'datos de inventario'!$A:$A, 'datos de inventario'!$F:$F, 0) * 1000000 / 4000)) + 0.1, Tarifas!$A$2:$A$33, IF(L25 &lt;= 9989, Tarifas!$B$2:$B$33, IF(L25 &lt;= 19989, Tarifas!$C$2:$C$33, Tarifas!$D$2:$D$33)), "Peso excedido", 1)) / L25))</f>
        <v>0.3419857102</v>
      </c>
      <c r="N25" s="19" t="s">
        <v>81</v>
      </c>
      <c r="O25" s="19" t="s">
        <v>81</v>
      </c>
      <c r="P25" s="19" t="s">
        <v>81</v>
      </c>
      <c r="Q25" s="19" t="s">
        <v>81</v>
      </c>
      <c r="R25" s="19" t="s">
        <v>81</v>
      </c>
      <c r="S25" s="19" t="s">
        <v>81</v>
      </c>
      <c r="T25" s="19" t="s">
        <v>81</v>
      </c>
      <c r="U25" s="24">
        <f t="shared" si="2"/>
        <v>0.111135808</v>
      </c>
      <c r="V25" s="24">
        <f t="shared" si="3"/>
        <v>0.1250312578</v>
      </c>
      <c r="W25" s="19">
        <v>9.0</v>
      </c>
      <c r="X25" s="19">
        <v>22.5</v>
      </c>
      <c r="Y25" s="19">
        <v>58.0</v>
      </c>
      <c r="Z25" s="19">
        <v>0.8</v>
      </c>
      <c r="AA25" s="19"/>
      <c r="AB25" s="25">
        <f t="shared" si="4"/>
        <v>0.011745</v>
      </c>
      <c r="AC25" s="25"/>
      <c r="AD25" s="25"/>
      <c r="AE25" s="25"/>
      <c r="AF25" s="25"/>
      <c r="AG25" s="25"/>
    </row>
    <row r="26">
      <c r="A26" s="19" t="s">
        <v>106</v>
      </c>
      <c r="B26" s="19" t="s">
        <v>81</v>
      </c>
      <c r="C26" s="19"/>
      <c r="D26" s="20"/>
      <c r="E26" s="19"/>
      <c r="F26" s="19"/>
      <c r="G26" s="19"/>
      <c r="H26" s="21">
        <v>119990.0</v>
      </c>
      <c r="I26" s="26">
        <f t="array" ref="I26">IF(OR(H26=0, H26=""), 0, 1 - ((((XLOOKUP($A26, 'datos de inventario'!$A:$A, 'datos de inventario'!$D:$D, 0) * 'datos de inventario'!$K$2) + (XLOOKUP($A26, 'datos de inventario'!$A:$A, 'datos de inventario'!$F:$F, 0) * 'datos de inventario'!$K$3 * 'datos de inventario'!$K$4)) * 1.19 + (H26 * 0.15) + XLOOKUP(MAX($Z26, (XLOOKUP($A26, 'datos de inventario'!$A:$A, 'datos de inventario'!$F:$F, 0) * 1000000 / 4000)) + 0.1, Tarifas!$A$2:$A$33, IF(H26 &lt;= 9989, Tarifas!$B$2:$B$33, IF(H26 &lt;= 19989, Tarifas!$C$2:$C$33, Tarifas!$D$2:$D$33)), "Peso excedido", 1)) / H26))</f>
        <v>0.2503994083</v>
      </c>
      <c r="J26" s="21">
        <v>109990.0</v>
      </c>
      <c r="K26" s="26">
        <f t="array" ref="K26">IF(OR(J26=0, J26=""), 0, 1 - ((((XLOOKUP($A26, 'datos de inventario'!$A:$A, 'datos de inventario'!$D:$D, 0) * 'datos de inventario'!$K$2) + (XLOOKUP($A26, 'datos de inventario'!$A:$A, 'datos de inventario'!$F:$F, 0) * 'datos de inventario'!$K$3 * 'datos de inventario'!$K$4)) * 1.19 + (J26 * 0.15) + XLOOKUP(MAX($Z26, (XLOOKUP($A26, 'datos de inventario'!$A:$A, 'datos de inventario'!$F:$F, 0) * 1000000 / 4000)) + 0.1, Tarifas!$A$2:$A$33, IF(J26 &lt;= 9989, Tarifas!$B$2:$B$33, IF(J26 &lt;= 19989, Tarifas!$C$2:$C$33, Tarifas!$D$2:$D$33)), "Peso excedido", 1)) / J26))</f>
        <v>0.1958853078</v>
      </c>
      <c r="L26" s="21">
        <v>99990.0</v>
      </c>
      <c r="M26" s="26">
        <f t="array" ref="M26">IF(OR(L26=0, L26=""), 0, 1 - ((((XLOOKUP($A26, 'datos de inventario'!$A:$A, 'datos de inventario'!$D:$D, 0) * 'datos de inventario'!$K$2) + (XLOOKUP($A26, 'datos de inventario'!$A:$A, 'datos de inventario'!$F:$F, 0) * 'datos de inventario'!$K$3 * 'datos de inventario'!$K$4)) * 1.19 + (L26 * 0.15) + XLOOKUP(MAX($Z26, (XLOOKUP($A26, 'datos de inventario'!$A:$A, 'datos de inventario'!$F:$F, 0) * 1000000 / 4000)) + 0.1, Tarifas!$A$2:$A$33, IF(L26 &lt;= 9989, Tarifas!$B$2:$B$33, IF(L26 &lt;= 19989, Tarifas!$C$2:$C$33, Tarifas!$D$2:$D$33)), "Peso excedido", 1)) / L26))</f>
        <v>0.1304672967</v>
      </c>
      <c r="N26" s="19" t="s">
        <v>81</v>
      </c>
      <c r="O26" s="19" t="s">
        <v>81</v>
      </c>
      <c r="P26" s="19" t="s">
        <v>81</v>
      </c>
      <c r="Q26" s="19" t="s">
        <v>81</v>
      </c>
      <c r="R26" s="19" t="s">
        <v>81</v>
      </c>
      <c r="S26" s="19" t="s">
        <v>81</v>
      </c>
      <c r="T26" s="19" t="s">
        <v>81</v>
      </c>
      <c r="U26" s="24">
        <f t="shared" si="2"/>
        <v>0.08334027836</v>
      </c>
      <c r="V26" s="24">
        <f t="shared" si="3"/>
        <v>0.09091735612</v>
      </c>
      <c r="W26" s="19">
        <v>25.0</v>
      </c>
      <c r="X26" s="19">
        <v>87.0</v>
      </c>
      <c r="Y26" s="19">
        <v>88.0</v>
      </c>
      <c r="Z26" s="19">
        <v>14.04</v>
      </c>
      <c r="AA26" s="19"/>
      <c r="AB26" s="25">
        <f t="shared" si="4"/>
        <v>0.1914</v>
      </c>
      <c r="AC26" s="25"/>
      <c r="AD26" s="25"/>
      <c r="AE26" s="25"/>
      <c r="AF26" s="25"/>
      <c r="AG26" s="25"/>
    </row>
    <row r="27">
      <c r="A27" s="19" t="s">
        <v>107</v>
      </c>
      <c r="B27" s="19" t="s">
        <v>81</v>
      </c>
      <c r="C27" s="19"/>
      <c r="D27" s="20"/>
      <c r="E27" s="19"/>
      <c r="F27" s="19"/>
      <c r="G27" s="19"/>
      <c r="H27" s="21">
        <v>29990.0</v>
      </c>
      <c r="I27" s="26">
        <f t="array" ref="I27">IF(OR(H27=0, H27=""), 0, 1 - ((((XLOOKUP($A27, 'datos de inventario'!$A:$A, 'datos de inventario'!$D:$D, 0) * 'datos de inventario'!$K$2) + (XLOOKUP($A27, 'datos de inventario'!$A:$A, 'datos de inventario'!$F:$F, 0) * 'datos de inventario'!$K$3 * 'datos de inventario'!$K$4)) * 1.19 + (H27 * 0.15) + XLOOKUP(MAX($Z27, (XLOOKUP($A27, 'datos de inventario'!$A:$A, 'datos de inventario'!$F:$F, 0) * 1000000 / 4000)) + 0.1, Tarifas!$A$2:$A$33, IF(H27 &lt;= 9989, Tarifas!$B$2:$B$33, IF(H27 &lt;= 19989, Tarifas!$C$2:$C$33, Tarifas!$D$2:$D$33)), "Peso excedido", 1)) / H27))</f>
        <v>0.5437965155</v>
      </c>
      <c r="J27" s="21">
        <v>24990.0</v>
      </c>
      <c r="K27" s="26">
        <f t="array" ref="K27">IF(OR(J27=0, J27=""), 0, 1 - ((((XLOOKUP($A27, 'datos de inventario'!$A:$A, 'datos de inventario'!$D:$D, 0) * 'datos de inventario'!$K$2) + (XLOOKUP($A27, 'datos de inventario'!$A:$A, 'datos de inventario'!$F:$F, 0) * 'datos de inventario'!$K$3 * 'datos de inventario'!$K$4)) * 1.19 + (J27 * 0.15) + XLOOKUP(MAX($Z27, (XLOOKUP($A27, 'datos de inventario'!$A:$A, 'datos de inventario'!$F:$F, 0) * 1000000 / 4000)) + 0.1, Tarifas!$A$2:$A$33, IF(J27 &lt;= 9989, Tarifas!$B$2:$B$33, IF(J27 &lt;= 19989, Tarifas!$C$2:$C$33, Tarifas!$D$2:$D$33)), "Peso excedido", 1)) / J27))</f>
        <v>0.4825313125</v>
      </c>
      <c r="L27" s="21">
        <v>18990.0</v>
      </c>
      <c r="M27" s="26">
        <f t="array" ref="M27">IF(OR(L27=0, L27=""), 0, 1 - ((((XLOOKUP($A27, 'datos de inventario'!$A:$A, 'datos de inventario'!$D:$D, 0) * 'datos de inventario'!$K$2) + (XLOOKUP($A27, 'datos de inventario'!$A:$A, 'datos de inventario'!$F:$F, 0) * 'datos de inventario'!$K$3 * 'datos de inventario'!$K$4)) * 1.19 + (L27 * 0.15) + XLOOKUP(MAX($Z27, (XLOOKUP($A27, 'datos de inventario'!$A:$A, 'datos de inventario'!$F:$F, 0) * 1000000 / 4000)) + 0.1, Tarifas!$A$2:$A$33, IF(L27 &lt;= 9989, Tarifas!$B$2:$B$33, IF(L27 &lt;= 19989, Tarifas!$C$2:$C$33, Tarifas!$D$2:$D$33)), "Peso excedido", 1)) / L27))</f>
        <v>0.4828045024</v>
      </c>
      <c r="N27" s="19" t="s">
        <v>81</v>
      </c>
      <c r="O27" s="19" t="s">
        <v>81</v>
      </c>
      <c r="P27" s="19" t="s">
        <v>81</v>
      </c>
      <c r="Q27" s="19" t="s">
        <v>81</v>
      </c>
      <c r="R27" s="19" t="s">
        <v>81</v>
      </c>
      <c r="S27" s="19" t="s">
        <v>81</v>
      </c>
      <c r="T27" s="19" t="s">
        <v>81</v>
      </c>
      <c r="U27" s="24">
        <f t="shared" si="2"/>
        <v>0.1667222407</v>
      </c>
      <c r="V27" s="24">
        <f t="shared" si="3"/>
        <v>0.2400960384</v>
      </c>
      <c r="W27" s="19">
        <v>8.0</v>
      </c>
      <c r="X27" s="19">
        <v>38.0</v>
      </c>
      <c r="Y27" s="19">
        <v>3.0</v>
      </c>
      <c r="Z27" s="19">
        <v>0.41</v>
      </c>
      <c r="AA27" s="19"/>
      <c r="AB27" s="25">
        <f t="shared" si="4"/>
        <v>0.000912</v>
      </c>
      <c r="AC27" s="25"/>
      <c r="AD27" s="25"/>
      <c r="AE27" s="25"/>
      <c r="AF27" s="25"/>
      <c r="AG27" s="25"/>
    </row>
    <row r="28">
      <c r="A28" s="19" t="s">
        <v>108</v>
      </c>
      <c r="B28" s="19" t="s">
        <v>81</v>
      </c>
      <c r="C28" s="19"/>
      <c r="D28" s="20"/>
      <c r="E28" s="19"/>
      <c r="F28" s="19"/>
      <c r="G28" s="19"/>
      <c r="H28" s="21">
        <v>18990.0</v>
      </c>
      <c r="I28" s="26">
        <f t="array" ref="I28">IF(OR(H28=0, H28=""), 0, 1 - ((((XLOOKUP($A28, 'datos de inventario'!$A:$A, 'datos de inventario'!$D:$D, 0) * 'datos de inventario'!$K$2) + (XLOOKUP($A28, 'datos de inventario'!$A:$A, 'datos de inventario'!$F:$F, 0) * 'datos de inventario'!$K$3 * 'datos de inventario'!$K$4)) * 1.19 + (H28 * 0.15) + XLOOKUP(MAX($Z29, (XLOOKUP($A28, 'datos de inventario'!$A:$A, 'datos de inventario'!$F:$F, 0) * 1000000 / 4000)) + 0.1, Tarifas!$A$2:$A$33, IF(H28 &lt;= 9989, Tarifas!$B$2:$B$33, IF(H28 &lt;= 19989, Tarifas!$C$2:$C$33, Tarifas!$D$2:$D$33)), "Peso excedido", 1)) / H28))</f>
        <v>0.4290113217</v>
      </c>
      <c r="J28" s="21">
        <v>17990.0</v>
      </c>
      <c r="K28" s="26">
        <f t="array" ref="K28">IF(OR(J28=0, J28=""), 0, 1 - ((((XLOOKUP($A28, 'datos de inventario'!$A:$A, 'datos de inventario'!$D:$D, 0) * 'datos de inventario'!$K$2) + (XLOOKUP($A28, 'datos de inventario'!$A:$A, 'datos de inventario'!$F:$F, 0) * 'datos de inventario'!$K$3 * 'datos de inventario'!$K$4)) * 1.19 + (J28 * 0.15) + XLOOKUP(MAX($Z29, (XLOOKUP($A28, 'datos de inventario'!$A:$A, 'datos de inventario'!$F:$F, 0) * 1000000 / 4000)) + 0.1, Tarifas!$A$2:$A$33, IF(J28 &lt;= 9989, Tarifas!$B$2:$B$33, IF(J28 &lt;= 19989, Tarifas!$C$2:$C$33, Tarifas!$D$2:$D$33)), "Peso excedido", 1)) / J28))</f>
        <v>0.4056100611</v>
      </c>
      <c r="L28" s="21">
        <v>16990.0</v>
      </c>
      <c r="M28" s="26">
        <f t="array" ref="M28">IF(OR(L28=0, L28=""), 0, 1 - ((((XLOOKUP($A28, 'datos de inventario'!$A:$A, 'datos de inventario'!$D:$D, 0) * 'datos de inventario'!$K$2) + (XLOOKUP($A28, 'datos de inventario'!$A:$A, 'datos de inventario'!$F:$F, 0) * 'datos de inventario'!$K$3 * 'datos de inventario'!$K$4)) * 1.19 + (L28 * 0.15) + XLOOKUP(MAX($Z29, (XLOOKUP($A28, 'datos de inventario'!$A:$A, 'datos de inventario'!$F:$F, 0) * 1000000 / 4000)) + 0.1, Tarifas!$A$2:$A$33, IF(L28 &lt;= 9989, Tarifas!$B$2:$B$33, IF(L28 &lt;= 19989, Tarifas!$C$2:$C$33, Tarifas!$D$2:$D$33)), "Peso excedido", 1)) / L28))</f>
        <v>0.3794540906</v>
      </c>
      <c r="N28" s="19" t="s">
        <v>81</v>
      </c>
      <c r="O28" s="19" t="s">
        <v>81</v>
      </c>
      <c r="P28" s="19" t="s">
        <v>81</v>
      </c>
      <c r="Q28" s="19" t="s">
        <v>81</v>
      </c>
      <c r="R28" s="19" t="s">
        <v>81</v>
      </c>
      <c r="S28" s="19" t="s">
        <v>81</v>
      </c>
      <c r="T28" s="19" t="s">
        <v>81</v>
      </c>
      <c r="U28" s="24">
        <f t="shared" si="2"/>
        <v>0.05265929437</v>
      </c>
      <c r="V28" s="24">
        <f t="shared" si="3"/>
        <v>0.05558643691</v>
      </c>
      <c r="W28" s="2">
        <v>15.0</v>
      </c>
      <c r="X28" s="2">
        <v>15.0</v>
      </c>
      <c r="Y28" s="2">
        <v>61.0</v>
      </c>
      <c r="Z28" s="2">
        <v>1.048</v>
      </c>
      <c r="AA28" s="19"/>
      <c r="AB28" s="25">
        <f t="shared" si="4"/>
        <v>0.013725</v>
      </c>
      <c r="AC28" s="25"/>
      <c r="AD28" s="25"/>
      <c r="AE28" s="25"/>
      <c r="AF28" s="25"/>
      <c r="AG28" s="25"/>
    </row>
    <row r="29">
      <c r="A29" s="19" t="s">
        <v>109</v>
      </c>
      <c r="B29" s="19"/>
      <c r="C29" s="19"/>
      <c r="D29" s="20"/>
      <c r="E29" s="19"/>
      <c r="F29" s="19"/>
      <c r="G29" s="19"/>
      <c r="H29" s="21"/>
      <c r="I29" s="26"/>
      <c r="J29" s="21"/>
      <c r="K29" s="26"/>
      <c r="L29" s="21"/>
      <c r="M29" s="26"/>
      <c r="N29" s="19"/>
      <c r="O29" s="19"/>
      <c r="P29" s="19"/>
      <c r="Q29" s="19"/>
      <c r="R29" s="19"/>
      <c r="S29" s="19"/>
      <c r="T29" s="19"/>
      <c r="U29" s="24"/>
      <c r="V29" s="24"/>
      <c r="W29" s="19">
        <v>8.0</v>
      </c>
      <c r="X29" s="19">
        <v>39.0</v>
      </c>
      <c r="Y29" s="19">
        <v>3.0</v>
      </c>
      <c r="Z29" s="19">
        <v>0.38</v>
      </c>
      <c r="AA29" s="19"/>
      <c r="AB29" s="25">
        <f t="shared" si="4"/>
        <v>0.000936</v>
      </c>
      <c r="AC29" s="25"/>
      <c r="AD29" s="25"/>
      <c r="AE29" s="25"/>
      <c r="AF29" s="25"/>
      <c r="AG29" s="25"/>
    </row>
    <row r="30">
      <c r="A30" s="19" t="s">
        <v>110</v>
      </c>
      <c r="B30" s="19" t="s">
        <v>81</v>
      </c>
      <c r="C30" s="19"/>
      <c r="D30" s="20"/>
      <c r="E30" s="19"/>
      <c r="F30" s="19"/>
      <c r="G30" s="19"/>
      <c r="H30" s="21">
        <v>19980.0</v>
      </c>
      <c r="I30" s="26">
        <f t="array" ref="I30">IF(OR(H30=0, H30=""), 0, 1 - ((((XLOOKUP($A30, 'datos de inventario'!$A:$A, 'datos de inventario'!$D:$D, 0) * 'datos de inventario'!$K$2) + (XLOOKUP($A30, 'datos de inventario'!$A:$A, 'datos de inventario'!$F:$F, 0) * 'datos de inventario'!$K$3 * 'datos de inventario'!$K$4)) * 1.19 + (H30 * 0.15) + XLOOKUP(MAX($Z30, (XLOOKUP($A30, 'datos de inventario'!$A:$A, 'datos de inventario'!$F:$F, 0) * 1000000 / 4000)) + 0.1, Tarifas!$A$2:$A$33, IF(H30 &lt;= 9989, Tarifas!$B$2:$B$33, IF(H30 &lt;= 19989, Tarifas!$C$2:$C$33, Tarifas!$D$2:$D$33)), "Peso excedido", 1)) / H30))</f>
        <v>0.401357983</v>
      </c>
      <c r="J30" s="21">
        <v>18990.0</v>
      </c>
      <c r="K30" s="26">
        <f t="array" ref="K30">IF(OR(J30=0, J30=""), 0, 1 - ((((XLOOKUP($A30, 'datos de inventario'!$A:$A, 'datos de inventario'!$D:$D, 0) * 'datos de inventario'!$K$2) + (XLOOKUP($A30, 'datos de inventario'!$A:$A, 'datos de inventario'!$F:$F, 0) * 'datos de inventario'!$K$3 * 'datos de inventario'!$K$4)) * 1.19 + (J30 * 0.15) + XLOOKUP(MAX($Z30, (XLOOKUP($A30, 'datos de inventario'!$A:$A, 'datos de inventario'!$F:$F, 0) * 1000000 / 4000)) + 0.1, Tarifas!$A$2:$A$33, IF(J30 &lt;= 9989, Tarifas!$B$2:$B$33, IF(J30 &lt;= 19989, Tarifas!$C$2:$C$33, Tarifas!$D$2:$D$33)), "Peso excedido", 1)) / J30))</f>
        <v>0.3779690627</v>
      </c>
      <c r="L30" s="21">
        <v>17990.0</v>
      </c>
      <c r="M30" s="26">
        <f t="array" ref="M30">IF(OR(L30=0, L30=""), 0, 1 - ((((XLOOKUP($A30, 'datos de inventario'!$A:$A, 'datos de inventario'!$D:$D, 0) * 'datos de inventario'!$K$2) + (XLOOKUP($A30, 'datos de inventario'!$A:$A, 'datos de inventario'!$F:$F, 0) * 'datos de inventario'!$K$3 * 'datos de inventario'!$K$4)) * 1.19 + (L30 * 0.15) + XLOOKUP(MAX($Z30, (XLOOKUP($A30, 'datos de inventario'!$A:$A, 'datos de inventario'!$F:$F, 0) * 1000000 / 4000)) + 0.1, Tarifas!$A$2:$A$33, IF(L30 &lt;= 9989, Tarifas!$B$2:$B$33, IF(L30 &lt;= 19989, Tarifas!$C$2:$C$33, Tarifas!$D$2:$D$33)), "Peso excedido", 1)) / L30))</f>
        <v>0.3517305447</v>
      </c>
      <c r="N30" s="19" t="s">
        <v>81</v>
      </c>
      <c r="O30" s="19" t="s">
        <v>81</v>
      </c>
      <c r="P30" s="19" t="s">
        <v>81</v>
      </c>
      <c r="Q30" s="19" t="s">
        <v>81</v>
      </c>
      <c r="R30" s="19" t="s">
        <v>81</v>
      </c>
      <c r="S30" s="19" t="s">
        <v>81</v>
      </c>
      <c r="T30" s="19" t="s">
        <v>81</v>
      </c>
      <c r="U30" s="24">
        <f t="shared" ref="U30:U39" si="5">1-(J30/H30)</f>
        <v>0.04954954955</v>
      </c>
      <c r="V30" s="24">
        <f t="shared" ref="V30:V39" si="6">1-(L30/J30)</f>
        <v>0.05265929437</v>
      </c>
      <c r="W30" s="19">
        <v>20.0</v>
      </c>
      <c r="X30" s="19">
        <v>20.0</v>
      </c>
      <c r="Y30" s="19">
        <v>64.0</v>
      </c>
      <c r="Z30" s="19">
        <v>0.988</v>
      </c>
      <c r="AA30" s="19"/>
      <c r="AB30" s="25">
        <f t="shared" si="4"/>
        <v>0.0256</v>
      </c>
      <c r="AC30" s="25"/>
      <c r="AD30" s="25"/>
      <c r="AE30" s="25"/>
      <c r="AF30" s="25"/>
      <c r="AG30" s="25"/>
    </row>
    <row r="31">
      <c r="A31" s="19" t="s">
        <v>111</v>
      </c>
      <c r="B31" s="19" t="s">
        <v>81</v>
      </c>
      <c r="C31" s="19"/>
      <c r="D31" s="20"/>
      <c r="E31" s="19"/>
      <c r="F31" s="19"/>
      <c r="G31" s="19"/>
      <c r="H31" s="21">
        <v>22990.0</v>
      </c>
      <c r="I31" s="26">
        <f t="array" ref="I31">IF(OR(H31=0, H31=""), 0, 1 - ((((XLOOKUP($A31, 'datos de inventario'!$A:$A, 'datos de inventario'!$D:$D, 0) * 'datos de inventario'!$K$2) + (XLOOKUP($A31, 'datos de inventario'!$A:$A, 'datos de inventario'!$F:$F, 0) * 'datos de inventario'!$K$3 * 'datos de inventario'!$K$4)) * 1.19 + (H31 * 0.15) + XLOOKUP(MAX($Z31, (XLOOKUP($A31, 'datos de inventario'!$A:$A, 'datos de inventario'!$F:$F, 0) * 1000000 / 4000)) + 0.1, Tarifas!$A$2:$A$33, IF(H31 &lt;= 9989, Tarifas!$B$2:$B$33, IF(H31 &lt;= 19989, Tarifas!$C$2:$C$33, Tarifas!$D$2:$D$33)), "Peso excedido", 1)) / H31))</f>
        <v>0.3107554371</v>
      </c>
      <c r="J31" s="21">
        <v>19980.0</v>
      </c>
      <c r="K31" s="26">
        <f t="array" ref="K31">IF(OR(J31=0, J31=""), 0, 1 - ((((XLOOKUP($A31, 'datos de inventario'!$A:$A, 'datos de inventario'!$D:$D, 0) * 'datos de inventario'!$K$2) + (XLOOKUP($A31, 'datos de inventario'!$A:$A, 'datos de inventario'!$F:$F, 0) * 'datos de inventario'!$K$3 * 'datos de inventario'!$K$4)) * 1.19 + (J31 * 0.15) + XLOOKUP(MAX($Z31, (XLOOKUP($A31, 'datos de inventario'!$A:$A, 'datos de inventario'!$F:$F, 0) * 1000000 / 4000)) + 0.1, Tarifas!$A$2:$A$33, IF(J31 &lt;= 9989, Tarifas!$B$2:$B$33, IF(J31 &lt;= 19989, Tarifas!$C$2:$C$33, Tarifas!$D$2:$D$33)), "Peso excedido", 1)) / J31))</f>
        <v>0.3401285035</v>
      </c>
      <c r="L31" s="21">
        <v>17990.0</v>
      </c>
      <c r="M31" s="26">
        <f t="array" ref="M31">IF(OR(L31=0, L31=""), 0, 1 - ((((XLOOKUP($A31, 'datos de inventario'!$A:$A, 'datos de inventario'!$D:$D, 0) * 'datos de inventario'!$K$2) + (XLOOKUP($A31, 'datos de inventario'!$A:$A, 'datos de inventario'!$F:$F, 0) * 'datos de inventario'!$K$3 * 'datos de inventario'!$K$4)) * 1.19 + (L31 * 0.15) + XLOOKUP(MAX($Z31, (XLOOKUP($A31, 'datos de inventario'!$A:$A, 'datos de inventario'!$F:$F, 0) * 1000000 / 4000)) + 0.1, Tarifas!$A$2:$A$33, IF(L31 &lt;= 9989, Tarifas!$B$2:$B$33, IF(L31 &lt;= 19989, Tarifas!$C$2:$C$33, Tarifas!$D$2:$D$33)), "Peso excedido", 1)) / L31))</f>
        <v>0.2837280434</v>
      </c>
      <c r="N31" s="19" t="s">
        <v>81</v>
      </c>
      <c r="O31" s="19" t="s">
        <v>81</v>
      </c>
      <c r="P31" s="19" t="s">
        <v>81</v>
      </c>
      <c r="Q31" s="19" t="s">
        <v>81</v>
      </c>
      <c r="R31" s="19" t="s">
        <v>81</v>
      </c>
      <c r="S31" s="19" t="s">
        <v>81</v>
      </c>
      <c r="T31" s="19" t="s">
        <v>81</v>
      </c>
      <c r="U31" s="24">
        <f t="shared" si="5"/>
        <v>0.1309264898</v>
      </c>
      <c r="V31" s="24">
        <f t="shared" si="6"/>
        <v>0.0995995996</v>
      </c>
      <c r="W31" s="19">
        <v>13.0</v>
      </c>
      <c r="X31" s="19">
        <v>42.0</v>
      </c>
      <c r="Y31" s="19">
        <v>5.0</v>
      </c>
      <c r="Z31" s="19">
        <v>0.66</v>
      </c>
      <c r="AA31" s="19"/>
      <c r="AB31" s="25">
        <f t="shared" si="4"/>
        <v>0.00273</v>
      </c>
      <c r="AC31" s="25"/>
      <c r="AD31" s="25"/>
      <c r="AE31" s="25"/>
      <c r="AF31" s="25"/>
      <c r="AG31" s="25"/>
    </row>
    <row r="32">
      <c r="A32" s="19" t="s">
        <v>112</v>
      </c>
      <c r="B32" s="19" t="s">
        <v>81</v>
      </c>
      <c r="C32" s="19"/>
      <c r="D32" s="20"/>
      <c r="E32" s="19"/>
      <c r="F32" s="19"/>
      <c r="G32" s="19"/>
      <c r="H32" s="21">
        <v>18990.0</v>
      </c>
      <c r="I32" s="26">
        <f t="array" ref="I32">IF(OR(H32=0, H32=""), 0, 1 - ((((XLOOKUP($A32, 'datos de inventario'!$A:$A, 'datos de inventario'!$D:$D, 0) * 'datos de inventario'!$K$2) + (XLOOKUP($A32, 'datos de inventario'!$A:$A, 'datos de inventario'!$F:$F, 0) * 'datos de inventario'!$K$3 * 'datos de inventario'!$K$4)) * 1.19 + (H32 * 0.15) + XLOOKUP(MAX($Z32, (XLOOKUP($A32, 'datos de inventario'!$A:$A, 'datos de inventario'!$F:$F, 0) * 1000000 / 4000)) + 0.1, Tarifas!$A$2:$A$33, IF(H32 &lt;= 9989, Tarifas!$B$2:$B$33, IF(H32 &lt;= 19989, Tarifas!$C$2:$C$33, Tarifas!$D$2:$D$33)), "Peso excedido", 1)) / H32))</f>
        <v>0.6292430226</v>
      </c>
      <c r="J32" s="21">
        <v>14990.0</v>
      </c>
      <c r="K32" s="26">
        <f t="array" ref="K32">IF(OR(J32=0, J32=""), 0, 1 - ((((XLOOKUP($A32, 'datos de inventario'!$A:$A, 'datos de inventario'!$D:$D, 0) * 'datos de inventario'!$K$2) + (XLOOKUP($A32, 'datos de inventario'!$A:$A, 'datos de inventario'!$F:$F, 0) * 'datos de inventario'!$K$3 * 'datos de inventario'!$K$4)) * 1.19 + (J32 * 0.15) + XLOOKUP(MAX($Z32, (XLOOKUP($A32, 'datos de inventario'!$A:$A, 'datos de inventario'!$F:$F, 0) * 1000000 / 4000)) + 0.1, Tarifas!$A$2:$A$33, IF(J32 &lt;= 9989, Tarifas!$B$2:$B$33, IF(J32 &lt;= 19989, Tarifas!$C$2:$C$33, Tarifas!$D$2:$D$33)), "Peso excedido", 1)) / J32))</f>
        <v>0.5703352235</v>
      </c>
      <c r="L32" s="21">
        <v>12990.0</v>
      </c>
      <c r="M32" s="26">
        <f t="array" ref="M32">IF(OR(L32=0, L32=""), 0, 1 - ((((XLOOKUP($A32, 'datos de inventario'!$A:$A, 'datos de inventario'!$D:$D, 0) * 'datos de inventario'!$K$2) + (XLOOKUP($A32, 'datos de inventario'!$A:$A, 'datos de inventario'!$F:$F, 0) * 'datos de inventario'!$K$3 * 'datos de inventario'!$K$4)) * 1.19 + (L32 * 0.15) + XLOOKUP(MAX($Z32, (XLOOKUP($A32, 'datos de inventario'!$A:$A, 'datos de inventario'!$F:$F, 0) * 1000000 / 4000)) + 0.1, Tarifas!$A$2:$A$33, IF(L32 &lt;= 9989, Tarifas!$B$2:$B$33, IF(L32 &lt;= 19989, Tarifas!$C$2:$C$33, Tarifas!$D$2:$D$33)), "Peso excedido", 1)) / L32))</f>
        <v>0.5272767513</v>
      </c>
      <c r="N32" s="19" t="s">
        <v>81</v>
      </c>
      <c r="O32" s="19" t="s">
        <v>81</v>
      </c>
      <c r="P32" s="19" t="s">
        <v>81</v>
      </c>
      <c r="Q32" s="19" t="s">
        <v>81</v>
      </c>
      <c r="R32" s="19" t="s">
        <v>81</v>
      </c>
      <c r="S32" s="19" t="s">
        <v>81</v>
      </c>
      <c r="T32" s="19" t="s">
        <v>81</v>
      </c>
      <c r="U32" s="24">
        <f t="shared" si="5"/>
        <v>0.2106371775</v>
      </c>
      <c r="V32" s="24">
        <f t="shared" si="6"/>
        <v>0.1334222815</v>
      </c>
      <c r="W32" s="19">
        <v>2.0</v>
      </c>
      <c r="X32" s="19">
        <v>7.0</v>
      </c>
      <c r="Y32" s="19">
        <v>10.0</v>
      </c>
      <c r="Z32" s="19">
        <v>0.032</v>
      </c>
      <c r="AA32" s="19"/>
      <c r="AB32" s="25">
        <f t="shared" si="4"/>
        <v>0.00014</v>
      </c>
      <c r="AC32" s="25"/>
      <c r="AD32" s="25"/>
      <c r="AE32" s="25"/>
      <c r="AF32" s="25"/>
      <c r="AG32" s="25"/>
    </row>
    <row r="33">
      <c r="A33" s="19" t="s">
        <v>113</v>
      </c>
      <c r="B33" s="19" t="s">
        <v>81</v>
      </c>
      <c r="C33" s="19"/>
      <c r="D33" s="20"/>
      <c r="E33" s="19"/>
      <c r="F33" s="19"/>
      <c r="G33" s="19"/>
      <c r="H33" s="21">
        <v>89990.0</v>
      </c>
      <c r="I33" s="26">
        <f t="array" ref="I33">IF(OR(H33=0, H33=""), 0, 1 - ((((XLOOKUP($A33, 'datos de inventario'!$A:$A, 'datos de inventario'!$D:$D, 0) * 'datos de inventario'!$K$2) + (XLOOKUP($A33, 'datos de inventario'!$A:$A, 'datos de inventario'!$F:$F, 0) * 'datos de inventario'!$K$3 * 'datos de inventario'!$K$4)) * 1.19 + (H33 * 0.15) + XLOOKUP(MAX($Z33, (XLOOKUP($A33, 'datos de inventario'!$A:$A, 'datos de inventario'!$F:$F, 0) * 1000000 / 4000)) + 0.1, Tarifas!$A$2:$A$33, IF(H33 &lt;= 9989, Tarifas!$B$2:$B$33, IF(H33 &lt;= 19989, Tarifas!$C$2:$C$33, Tarifas!$D$2:$D$33)), "Peso excedido", 1)) / H33))</f>
        <v>0.4546343983</v>
      </c>
      <c r="J33" s="21">
        <v>79990.0</v>
      </c>
      <c r="K33" s="26">
        <f t="array" ref="K33">IF(OR(J33=0, J33=""), 0, 1 - ((((XLOOKUP($A33, 'datos de inventario'!$A:$A, 'datos de inventario'!$D:$D, 0) * 'datos de inventario'!$K$2) + (XLOOKUP($A33, 'datos de inventario'!$A:$A, 'datos de inventario'!$F:$F, 0) * 'datos de inventario'!$K$3 * 'datos de inventario'!$K$4)) * 1.19 + (J33 * 0.15) + XLOOKUP(MAX($Z33, (XLOOKUP($A33, 'datos de inventario'!$A:$A, 'datos de inventario'!$F:$F, 0) * 1000000 / 4000)) + 0.1, Tarifas!$A$2:$A$33, IF(J33 &lt;= 9989, Tarifas!$B$2:$B$33, IF(J33 &lt;= 19989, Tarifas!$C$2:$C$33, Tarifas!$D$2:$D$33)), "Peso excedido", 1)) / J33))</f>
        <v>0.4052075197</v>
      </c>
      <c r="L33" s="21">
        <v>69990.0</v>
      </c>
      <c r="M33" s="26">
        <f t="array" ref="M33">IF(OR(L33=0, L33=""), 0, 1 - ((((XLOOKUP($A33, 'datos de inventario'!$A:$A, 'datos de inventario'!$D:$D, 0) * 'datos de inventario'!$K$2) + (XLOOKUP($A33, 'datos de inventario'!$A:$A, 'datos de inventario'!$F:$F, 0) * 'datos de inventario'!$K$3 * 'datos de inventario'!$K$4)) * 1.19 + (L33 * 0.15) + XLOOKUP(MAX($Z33, (XLOOKUP($A33, 'datos de inventario'!$A:$A, 'datos de inventario'!$F:$F, 0) * 1000000 / 4000)) + 0.1, Tarifas!$A$2:$A$33, IF(L33 &lt;= 9989, Tarifas!$B$2:$B$33, IF(L33 &lt;= 19989, Tarifas!$C$2:$C$33, Tarifas!$D$2:$D$33)), "Peso excedido", 1)) / L33))</f>
        <v>0.3416566581</v>
      </c>
      <c r="N33" s="19" t="s">
        <v>81</v>
      </c>
      <c r="O33" s="19" t="s">
        <v>81</v>
      </c>
      <c r="P33" s="19" t="s">
        <v>81</v>
      </c>
      <c r="Q33" s="19" t="s">
        <v>81</v>
      </c>
      <c r="R33" s="19" t="s">
        <v>81</v>
      </c>
      <c r="S33" s="19" t="s">
        <v>81</v>
      </c>
      <c r="T33" s="19" t="s">
        <v>81</v>
      </c>
      <c r="U33" s="24">
        <f t="shared" si="5"/>
        <v>0.1111234582</v>
      </c>
      <c r="V33" s="24">
        <f t="shared" si="6"/>
        <v>0.125015627</v>
      </c>
      <c r="W33" s="19">
        <v>7.5</v>
      </c>
      <c r="X33" s="19">
        <v>36.0</v>
      </c>
      <c r="Y33" s="19">
        <v>28.0</v>
      </c>
      <c r="Z33" s="19">
        <v>1.8</v>
      </c>
      <c r="AA33" s="19"/>
      <c r="AB33" s="25">
        <f t="shared" si="4"/>
        <v>0.00756</v>
      </c>
      <c r="AC33" s="25"/>
      <c r="AD33" s="25"/>
      <c r="AE33" s="25"/>
      <c r="AF33" s="25"/>
      <c r="AG33" s="25"/>
    </row>
    <row r="34">
      <c r="A34" s="19" t="s">
        <v>114</v>
      </c>
      <c r="B34" s="19" t="s">
        <v>81</v>
      </c>
      <c r="C34" s="19"/>
      <c r="D34" s="20"/>
      <c r="E34" s="19"/>
      <c r="F34" s="19"/>
      <c r="G34" s="19"/>
      <c r="H34" s="21">
        <v>18990.0</v>
      </c>
      <c r="I34" s="26">
        <f t="array" ref="I34">IF(OR(H34=0, H34=""), 0, 1 - ((((XLOOKUP($A34, 'datos de inventario'!$A:$A, 'datos de inventario'!$D:$D, 0) * 'datos de inventario'!$K$2) + (XLOOKUP($A34, 'datos de inventario'!$A:$A, 'datos de inventario'!$F:$F, 0) * 'datos de inventario'!$K$3 * 'datos de inventario'!$K$4)) * 1.19 + (H34 * 0.15) + XLOOKUP(MAX($Z34, (XLOOKUP($A34, 'datos de inventario'!$A:$A, 'datos de inventario'!$F:$F, 0) * 1000000 / 4000)) + 0.1, Tarifas!$A$2:$A$33, IF(H34 &lt;= 9989, Tarifas!$B$2:$B$33, IF(H34 &lt;= 19989, Tarifas!$C$2:$C$33, Tarifas!$D$2:$D$33)), "Peso excedido", 1)) / H34))</f>
        <v>0.396432267</v>
      </c>
      <c r="J34" s="27">
        <v>16990.0</v>
      </c>
      <c r="K34" s="26">
        <f t="array" ref="K34">IF(OR(J34=0, J34=""), 0, 1 - ((((XLOOKUP($A34, 'datos de inventario'!$A:$A, 'datos de inventario'!$D:$D, 0) * 'datos de inventario'!$K$2) + (XLOOKUP($A34, 'datos de inventario'!$A:$A, 'datos de inventario'!$F:$F, 0) * 'datos de inventario'!$K$3 * 'datos de inventario'!$K$4)) * 1.19 + (J34 * 0.15) + XLOOKUP(MAX($Z34, (XLOOKUP($A34, 'datos de inventario'!$A:$A, 'datos de inventario'!$F:$F, 0) * 1000000 / 4000)) + 0.1, Tarifas!$A$2:$A$33, IF(J34 &lt;= 9989, Tarifas!$B$2:$B$33, IF(J34 &lt;= 19989, Tarifas!$C$2:$C$33, Tarifas!$D$2:$D$33)), "Peso excedido", 1)) / J34))</f>
        <v>0.34303995</v>
      </c>
      <c r="L34" s="27">
        <v>14990.0</v>
      </c>
      <c r="M34" s="26">
        <f t="array" ref="M34">IF(OR(L34=0, L34=""), 0, 1 - ((((XLOOKUP($A34, 'datos de inventario'!$A:$A, 'datos de inventario'!$D:$D, 0) * 'datos de inventario'!$K$2) + (XLOOKUP($A34, 'datos de inventario'!$A:$A, 'datos de inventario'!$F:$F, 0) * 'datos de inventario'!$K$3 * 'datos de inventario'!$K$4)) * 1.19 + (L34 * 0.15) + XLOOKUP(MAX($Z34, (XLOOKUP($A34, 'datos de inventario'!$A:$A, 'datos de inventario'!$F:$F, 0) * 1000000 / 4000)) + 0.1, Tarifas!$A$2:$A$33, IF(L34 &lt;= 9989, Tarifas!$B$2:$B$33, IF(L34 &lt;= 19989, Tarifas!$C$2:$C$33, Tarifas!$D$2:$D$33)), "Peso excedido", 1)) / L34))</f>
        <v>0.2754001835</v>
      </c>
      <c r="N34" s="19" t="s">
        <v>81</v>
      </c>
      <c r="O34" s="19" t="s">
        <v>81</v>
      </c>
      <c r="P34" s="19" t="s">
        <v>81</v>
      </c>
      <c r="Q34" s="19" t="s">
        <v>81</v>
      </c>
      <c r="R34" s="19" t="s">
        <v>81</v>
      </c>
      <c r="S34" s="19" t="s">
        <v>81</v>
      </c>
      <c r="T34" s="19" t="s">
        <v>81</v>
      </c>
      <c r="U34" s="24">
        <f t="shared" si="5"/>
        <v>0.1053185887</v>
      </c>
      <c r="V34" s="24">
        <f t="shared" si="6"/>
        <v>0.1177163037</v>
      </c>
      <c r="W34" s="19">
        <v>3.0</v>
      </c>
      <c r="X34" s="19">
        <v>47.0</v>
      </c>
      <c r="Y34" s="19">
        <v>47.0</v>
      </c>
      <c r="Z34" s="19">
        <v>5.4</v>
      </c>
      <c r="AA34" s="19"/>
      <c r="AB34" s="25">
        <f t="shared" si="4"/>
        <v>0.006627</v>
      </c>
      <c r="AC34" s="25"/>
      <c r="AD34" s="25"/>
      <c r="AE34" s="25"/>
      <c r="AF34" s="25"/>
      <c r="AG34" s="25"/>
    </row>
    <row r="35">
      <c r="A35" s="19" t="s">
        <v>115</v>
      </c>
      <c r="B35" s="19" t="s">
        <v>81</v>
      </c>
      <c r="C35" s="19"/>
      <c r="D35" s="20"/>
      <c r="E35" s="19"/>
      <c r="F35" s="19"/>
      <c r="G35" s="19"/>
      <c r="H35" s="21">
        <v>44990.0</v>
      </c>
      <c r="I35" s="26">
        <f t="array" ref="I35">IF(OR(H35=0, H35=""), 0, 1 - ((((XLOOKUP($A35, 'datos de inventario'!$A:$A, 'datos de inventario'!$D:$D, 0) * 'datos de inventario'!$K$2) + (XLOOKUP($A35, 'datos de inventario'!$A:$A, 'datos de inventario'!$F:$F, 0) * 'datos de inventario'!$K$3 * 'datos de inventario'!$K$4)) * 1.19 + (H35 * 0.15) + XLOOKUP(MAX($Z35, (XLOOKUP($A35, 'datos de inventario'!$A:$A, 'datos de inventario'!$F:$F, 0) * 1000000 / 4000)) + 0.1, Tarifas!$A$2:$A$33, IF(H35 &lt;= 9989, Tarifas!$B$2:$B$33, IF(H35 &lt;= 19989, Tarifas!$C$2:$C$33, Tarifas!$D$2:$D$33)), "Peso excedido", 1)) / H35))</f>
        <v>0.3942617359</v>
      </c>
      <c r="J35" s="27">
        <v>39990.0</v>
      </c>
      <c r="K35" s="26">
        <f t="array" ref="K35">IF(OR(J35=0, J35=""), 0, 1 - ((((XLOOKUP($A35, 'datos de inventario'!$A:$A, 'datos de inventario'!$D:$D, 0) * 'datos de inventario'!$K$2) + (XLOOKUP($A35, 'datos de inventario'!$A:$A, 'datos de inventario'!$F:$F, 0) * 'datos de inventario'!$K$3 * 'datos de inventario'!$K$4)) * 1.19 + (J35 * 0.15) + XLOOKUP(MAX($Z35, (XLOOKUP($A35, 'datos de inventario'!$A:$A, 'datos de inventario'!$F:$F, 0) * 1000000 / 4000)) + 0.1, Tarifas!$A$2:$A$33, IF(J35 &lt;= 9989, Tarifas!$B$2:$B$33, IF(J35 &lt;= 19989, Tarifas!$C$2:$C$33, Tarifas!$D$2:$D$33)), "Peso excedido", 1)) / J35))</f>
        <v>0.3372802076</v>
      </c>
      <c r="L35" s="27">
        <v>37990.0</v>
      </c>
      <c r="M35" s="26">
        <f t="array" ref="M35">IF(OR(L35=0, L35=""), 0, 1 - ((((XLOOKUP($A35, 'datos de inventario'!$A:$A, 'datos de inventario'!$D:$D, 0) * 'datos de inventario'!$K$2) + (XLOOKUP($A35, 'datos de inventario'!$A:$A, 'datos de inventario'!$F:$F, 0) * 'datos de inventario'!$K$3 * 'datos de inventario'!$K$4)) * 1.19 + (L35 * 0.15) + XLOOKUP(MAX($Z35, (XLOOKUP($A35, 'datos de inventario'!$A:$A, 'datos de inventario'!$F:$F, 0) * 1000000 / 4000)) + 0.1, Tarifas!$A$2:$A$33, IF(L35 &lt;= 9989, Tarifas!$B$2:$B$33, IF(L35 &lt;= 19989, Tarifas!$C$2:$C$33, Tarifas!$D$2:$D$33)), "Peso excedido", 1)) / L35))</f>
        <v>0.3102878521</v>
      </c>
      <c r="N35" s="19" t="s">
        <v>81</v>
      </c>
      <c r="O35" s="19" t="s">
        <v>81</v>
      </c>
      <c r="P35" s="19" t="s">
        <v>81</v>
      </c>
      <c r="Q35" s="19" t="s">
        <v>81</v>
      </c>
      <c r="R35" s="19" t="s">
        <v>81</v>
      </c>
      <c r="S35" s="19" t="s">
        <v>81</v>
      </c>
      <c r="T35" s="19" t="s">
        <v>81</v>
      </c>
      <c r="U35" s="24">
        <f t="shared" si="5"/>
        <v>0.111135808</v>
      </c>
      <c r="V35" s="24">
        <f t="shared" si="6"/>
        <v>0.05001250313</v>
      </c>
      <c r="W35" s="19">
        <v>4.0</v>
      </c>
      <c r="X35" s="19">
        <v>47.0</v>
      </c>
      <c r="Y35" s="19">
        <v>47.0</v>
      </c>
      <c r="Z35" s="19">
        <v>10.3</v>
      </c>
      <c r="AA35" s="19"/>
      <c r="AB35" s="25">
        <f t="shared" si="4"/>
        <v>0.008836</v>
      </c>
      <c r="AC35" s="25"/>
      <c r="AD35" s="25"/>
      <c r="AE35" s="25"/>
      <c r="AF35" s="25"/>
      <c r="AG35" s="25"/>
    </row>
    <row r="36">
      <c r="A36" s="19" t="s">
        <v>116</v>
      </c>
      <c r="B36" s="19" t="s">
        <v>81</v>
      </c>
      <c r="C36" s="19"/>
      <c r="D36" s="20"/>
      <c r="E36" s="19"/>
      <c r="F36" s="19"/>
      <c r="G36" s="19"/>
      <c r="H36" s="21">
        <v>59990.0</v>
      </c>
      <c r="I36" s="26">
        <f t="array" ref="I36">IF(OR(H36=0, H36=""), 0, 1 - ((((XLOOKUP($A36, 'datos de inventario'!$A:$A, 'datos de inventario'!$D:$D, 0) * 'datos de inventario'!$K$2) + (XLOOKUP($A36, 'datos de inventario'!$A:$A, 'datos de inventario'!$F:$F, 0) * 'datos de inventario'!$K$3 * 'datos de inventario'!$K$4)) * 1.19 + (H36 * 0.15) + XLOOKUP(MAX($Z36, (XLOOKUP($A36, 'datos de inventario'!$A:$A, 'datos de inventario'!$F:$F, 0) * 1000000 / 4000)) + 0.1, Tarifas!$A$2:$A$33, IF(H36 &lt;= 9989, Tarifas!$B$2:$B$33, IF(H36 &lt;= 19989, Tarifas!$C$2:$C$33, Tarifas!$D$2:$D$33)), "Peso excedido", 1)) / H36))</f>
        <v>0.3916078513</v>
      </c>
      <c r="J36" s="27">
        <v>54990.0</v>
      </c>
      <c r="K36" s="26">
        <f t="array" ref="K36">IF(OR(J36=0, J36=""), 0, 1 - ((((XLOOKUP($A36, 'datos de inventario'!$A:$A, 'datos de inventario'!$D:$D, 0) * 'datos de inventario'!$K$2) + (XLOOKUP($A36, 'datos de inventario'!$A:$A, 'datos de inventario'!$F:$F, 0) * 'datos de inventario'!$K$3 * 'datos de inventario'!$K$4)) * 1.19 + (J36 * 0.15) + XLOOKUP(MAX($Z36, (XLOOKUP($A36, 'datos de inventario'!$A:$A, 'datos de inventario'!$F:$F, 0) * 1000000 / 4000)) + 0.1, Tarifas!$A$2:$A$33, IF(J36 &lt;= 9989, Tarifas!$B$2:$B$33, IF(J36 &lt;= 19989, Tarifas!$C$2:$C$33, Tarifas!$D$2:$D$33)), "Peso excedido", 1)) / J36))</f>
        <v>0.3499282597</v>
      </c>
      <c r="L36" s="27">
        <v>49990.0</v>
      </c>
      <c r="M36" s="26">
        <f t="array" ref="M36">IF(OR(L36=0, L36=""), 0, 1 - ((((XLOOKUP($A36, 'datos de inventario'!$A:$A, 'datos de inventario'!$D:$D, 0) * 'datos de inventario'!$K$2) + (XLOOKUP($A36, 'datos de inventario'!$A:$A, 'datos de inventario'!$F:$F, 0) * 'datos de inventario'!$K$3 * 'datos de inventario'!$K$4)) * 1.19 + (L36 * 0.15) + XLOOKUP(MAX($Z36, (XLOOKUP($A36, 'datos de inventario'!$A:$A, 'datos de inventario'!$F:$F, 0) * 1000000 / 4000)) + 0.1, Tarifas!$A$2:$A$33, IF(L36 &lt;= 9989, Tarifas!$B$2:$B$33, IF(L36 &lt;= 19989, Tarifas!$C$2:$C$33, Tarifas!$D$2:$D$33)), "Peso excedido", 1)) / L36))</f>
        <v>0.2999110822</v>
      </c>
      <c r="N36" s="19" t="s">
        <v>81</v>
      </c>
      <c r="O36" s="19" t="s">
        <v>81</v>
      </c>
      <c r="P36" s="19" t="s">
        <v>81</v>
      </c>
      <c r="Q36" s="19" t="s">
        <v>81</v>
      </c>
      <c r="R36" s="19" t="s">
        <v>81</v>
      </c>
      <c r="S36" s="19" t="s">
        <v>81</v>
      </c>
      <c r="T36" s="19" t="s">
        <v>81</v>
      </c>
      <c r="U36" s="24">
        <f t="shared" si="5"/>
        <v>0.08334722454</v>
      </c>
      <c r="V36" s="24">
        <f t="shared" si="6"/>
        <v>0.09092562284</v>
      </c>
      <c r="W36" s="19">
        <v>6.0</v>
      </c>
      <c r="X36" s="19">
        <v>47.0</v>
      </c>
      <c r="Y36" s="19">
        <v>47.0</v>
      </c>
      <c r="Z36" s="19">
        <v>15.5</v>
      </c>
      <c r="AA36" s="19"/>
      <c r="AB36" s="25">
        <f t="shared" si="4"/>
        <v>0.013254</v>
      </c>
      <c r="AC36" s="25"/>
      <c r="AD36" s="25"/>
      <c r="AE36" s="25"/>
      <c r="AF36" s="25"/>
      <c r="AG36" s="25"/>
    </row>
    <row r="37">
      <c r="A37" s="19" t="s">
        <v>117</v>
      </c>
      <c r="B37" s="19" t="s">
        <v>81</v>
      </c>
      <c r="C37" s="19"/>
      <c r="D37" s="20"/>
      <c r="E37" s="19"/>
      <c r="F37" s="19"/>
      <c r="G37" s="19"/>
      <c r="H37" s="21">
        <v>74990.0</v>
      </c>
      <c r="I37" s="26">
        <f t="array" ref="I37">IF(OR(H37=0, H37=""), 0, 1 - ((((XLOOKUP($A37, 'datos de inventario'!$A:$A, 'datos de inventario'!$D:$D, 0) * 'datos de inventario'!$K$2) + (XLOOKUP($A37, 'datos de inventario'!$A:$A, 'datos de inventario'!$F:$F, 0) * 'datos de inventario'!$K$3 * 'datos de inventario'!$K$4)) * 1.19 + (H37 * 0.15) + XLOOKUP(MAX($Z37, (XLOOKUP($A37, 'datos de inventario'!$A:$A, 'datos de inventario'!$F:$F, 0) * 1000000 / 4000)) + 0.1, Tarifas!$A$2:$A$33, IF(H37 &lt;= 9989, Tarifas!$B$2:$B$33, IF(H37 &lt;= 19989, Tarifas!$C$2:$C$33, Tarifas!$D$2:$D$33)), "Peso excedido", 1)) / H37))</f>
        <v>0.3800093279</v>
      </c>
      <c r="J37" s="28">
        <v>69990.0</v>
      </c>
      <c r="K37" s="26">
        <f t="array" ref="K37">IF(OR(J37=0, J37=""), 0, 1 - ((((XLOOKUP($A37, 'datos de inventario'!$A:$A, 'datos de inventario'!$D:$D, 0) * 'datos de inventario'!$K$2) + (XLOOKUP($A37, 'datos de inventario'!$A:$A, 'datos de inventario'!$F:$F, 0) * 'datos de inventario'!$K$3 * 'datos de inventario'!$K$4)) * 1.19 + (J37 * 0.15) + XLOOKUP(MAX($Z37, (XLOOKUP($A37, 'datos de inventario'!$A:$A, 'datos de inventario'!$F:$F, 0) * 1000000 / 4000)) + 0.1, Tarifas!$A$2:$A$33, IF(J37 &lt;= 9989, Tarifas!$B$2:$B$33, IF(J37 &lt;= 19989, Tarifas!$C$2:$C$33, Tarifas!$D$2:$D$33)), "Peso excedido", 1)) / J37))</f>
        <v>0.3464337691</v>
      </c>
      <c r="L37" s="27">
        <v>64990.0</v>
      </c>
      <c r="M37" s="26">
        <f t="array" ref="M37">IF(OR(L37=0, L37=""), 0, 1 - ((((XLOOKUP($A37, 'datos de inventario'!$A:$A, 'datos de inventario'!$D:$D, 0) * 'datos de inventario'!$K$2) + (XLOOKUP($A37, 'datos de inventario'!$A:$A, 'datos de inventario'!$F:$F, 0) * 'datos de inventario'!$K$3 * 'datos de inventario'!$K$4)) * 1.19 + (L37 * 0.15) + XLOOKUP(MAX($Z37, (XLOOKUP($A37, 'datos de inventario'!$A:$A, 'datos de inventario'!$F:$F, 0) * 1000000 / 4000)) + 0.1, Tarifas!$A$2:$A$33, IF(L37 &lt;= 9989, Tarifas!$B$2:$B$33, IF(L37 &lt;= 19989, Tarifas!$C$2:$C$33, Tarifas!$D$2:$D$33)), "Peso excedido", 1)) / L37))</f>
        <v>0.3076919449</v>
      </c>
      <c r="N37" s="19" t="s">
        <v>81</v>
      </c>
      <c r="O37" s="19" t="s">
        <v>81</v>
      </c>
      <c r="P37" s="19" t="s">
        <v>81</v>
      </c>
      <c r="Q37" s="19" t="s">
        <v>81</v>
      </c>
      <c r="R37" s="19" t="s">
        <v>81</v>
      </c>
      <c r="S37" s="19" t="s">
        <v>81</v>
      </c>
      <c r="T37" s="19" t="s">
        <v>81</v>
      </c>
      <c r="U37" s="24">
        <f t="shared" si="5"/>
        <v>0.06667555674</v>
      </c>
      <c r="V37" s="24">
        <f t="shared" si="6"/>
        <v>0.07143877697</v>
      </c>
      <c r="W37" s="19">
        <v>7.0</v>
      </c>
      <c r="X37" s="19">
        <v>47.0</v>
      </c>
      <c r="Y37" s="19">
        <v>47.0</v>
      </c>
      <c r="Z37" s="19">
        <v>20.6</v>
      </c>
      <c r="AA37" s="19"/>
      <c r="AB37" s="25">
        <f t="shared" si="4"/>
        <v>0.015463</v>
      </c>
      <c r="AC37" s="25"/>
      <c r="AD37" s="25"/>
      <c r="AE37" s="25"/>
      <c r="AF37" s="25"/>
      <c r="AG37" s="25"/>
    </row>
    <row r="38">
      <c r="A38" s="19" t="s">
        <v>118</v>
      </c>
      <c r="B38" s="19" t="s">
        <v>81</v>
      </c>
      <c r="C38" s="19"/>
      <c r="D38" s="20"/>
      <c r="E38" s="19"/>
      <c r="F38" s="19"/>
      <c r="G38" s="19"/>
      <c r="H38" s="21">
        <v>99990.0</v>
      </c>
      <c r="I38" s="26">
        <f t="array" ref="I38">IF(OR(H38=0, H38=""), 0, 1 - ((((XLOOKUP($A38, 'datos de inventario'!$A:$A, 'datos de inventario'!$D:$D, 0) * 'datos de inventario'!$K$2) + (XLOOKUP($A38, 'datos de inventario'!$A:$A, 'datos de inventario'!$F:$F, 0) * 'datos de inventario'!$K$3 * 'datos de inventario'!$K$4)) * 1.19 + (H38 * 0.15) + XLOOKUP(MAX($Z38, (XLOOKUP($A38, 'datos de inventario'!$A:$A, 'datos de inventario'!$F:$F, 0) * 1000000 / 4000)) + 0.1, Tarifas!$A$2:$A$33, IF(H38 &lt;= 9989, Tarifas!$B$2:$B$33, IF(H38 &lt;= 19989, Tarifas!$C$2:$C$33, Tarifas!$D$2:$D$33)), "Peso excedido", 1)) / H38))</f>
        <v>0.3500215772</v>
      </c>
      <c r="J38" s="21">
        <v>89990.0</v>
      </c>
      <c r="K38" s="26">
        <f t="array" ref="K38">IF(OR(J38=0, J38=""), 0, 1 - ((((XLOOKUP($A38, 'datos de inventario'!$A:$A, 'datos de inventario'!$D:$D, 0) * 'datos de inventario'!$K$2) + (XLOOKUP($A38, 'datos de inventario'!$A:$A, 'datos de inventario'!$F:$F, 0) * 'datos de inventario'!$K$3 * 'datos de inventario'!$K$4)) * 1.19 + (J38 * 0.15) + XLOOKUP(MAX($Z38, (XLOOKUP($A38, 'datos de inventario'!$A:$A, 'datos de inventario'!$F:$F, 0) * 1000000 / 4000)) + 0.1, Tarifas!$A$2:$A$33, IF(J38 &lt;= 9989, Tarifas!$B$2:$B$33, IF(J38 &lt;= 19989, Tarifas!$C$2:$C$33, Tarifas!$D$2:$D$33)), "Peso excedido", 1)) / J38))</f>
        <v>0.2944622458</v>
      </c>
      <c r="L38" s="21">
        <v>84990.0</v>
      </c>
      <c r="M38" s="26">
        <f t="array" ref="M38">IF(OR(L38=0, L38=""), 0, 1 - ((((XLOOKUP($A38, 'datos de inventario'!$A:$A, 'datos de inventario'!$D:$D, 0) * 'datos de inventario'!$K$2) + (XLOOKUP($A38, 'datos de inventario'!$A:$A, 'datos de inventario'!$F:$F, 0) * 'datos de inventario'!$K$3 * 'datos de inventario'!$K$4)) * 1.19 + (L38 * 0.15) + XLOOKUP(MAX($Z38, (XLOOKUP($A38, 'datos de inventario'!$A:$A, 'datos de inventario'!$F:$F, 0) * 1000000 / 4000)) + 0.1, Tarifas!$A$2:$A$33, IF(L38 &lt;= 9989, Tarifas!$B$2:$B$33, IF(L38 &lt;= 19989, Tarifas!$C$2:$C$33, Tarifas!$D$2:$D$33)), "Peso excedido", 1)) / L38))</f>
        <v>0.2617797094</v>
      </c>
      <c r="N38" s="19" t="s">
        <v>81</v>
      </c>
      <c r="O38" s="19" t="s">
        <v>81</v>
      </c>
      <c r="P38" s="19" t="s">
        <v>81</v>
      </c>
      <c r="Q38" s="19" t="s">
        <v>81</v>
      </c>
      <c r="R38" s="19" t="s">
        <v>81</v>
      </c>
      <c r="S38" s="19" t="s">
        <v>81</v>
      </c>
      <c r="T38" s="19" t="s">
        <v>81</v>
      </c>
      <c r="U38" s="24">
        <f t="shared" si="5"/>
        <v>0.100010001</v>
      </c>
      <c r="V38" s="24">
        <f t="shared" si="6"/>
        <v>0.05556172908</v>
      </c>
      <c r="W38" s="19">
        <v>32.0</v>
      </c>
      <c r="X38" s="19">
        <v>41.5</v>
      </c>
      <c r="Y38" s="19">
        <v>18.0</v>
      </c>
      <c r="Z38" s="19">
        <v>30.0</v>
      </c>
      <c r="AA38" s="19"/>
      <c r="AB38" s="25">
        <f t="shared" si="4"/>
        <v>0.023904</v>
      </c>
      <c r="AC38" s="25"/>
      <c r="AD38" s="25"/>
      <c r="AE38" s="25"/>
      <c r="AF38" s="25"/>
      <c r="AG38" s="25"/>
    </row>
    <row r="39">
      <c r="A39" s="19" t="s">
        <v>119</v>
      </c>
      <c r="B39" s="19" t="s">
        <v>81</v>
      </c>
      <c r="C39" s="19"/>
      <c r="D39" s="20"/>
      <c r="E39" s="19"/>
      <c r="F39" s="19"/>
      <c r="G39" s="19"/>
      <c r="H39" s="21">
        <v>129990.0</v>
      </c>
      <c r="I39" s="26">
        <f t="array" ref="I39">IF(OR(H39=0, H39=""), 0, 1 - ((((XLOOKUP($A39, 'datos de inventario'!$A:$A, 'datos de inventario'!$D:$D, 0) * 'datos de inventario'!$K$2) + (XLOOKUP($A39, 'datos de inventario'!$A:$A, 'datos de inventario'!$F:$F, 0) * 'datos de inventario'!$K$3 * 'datos de inventario'!$K$4)) * 1.19 + (H39 * 0.15) + XLOOKUP(MAX($Z39, (XLOOKUP($A39, 'datos de inventario'!$A:$A, 'datos de inventario'!$F:$F, 0) * 1000000 / 4000)) + 0.1, Tarifas!$A$2:$A$33, IF(H39 &lt;= 9989, Tarifas!$B$2:$B$33, IF(H39 &lt;= 19989, Tarifas!$C$2:$C$33, Tarifas!$D$2:$D$33)), "Peso excedido", 1)) / H39))</f>
        <v>0.4818578929</v>
      </c>
      <c r="J39" s="21">
        <v>119990.0</v>
      </c>
      <c r="K39" s="26">
        <f t="array" ref="K39">IF(OR(J39=0, J39=""), 0, 1 - ((((XLOOKUP($A39, 'datos de inventario'!$A:$A, 'datos de inventario'!$D:$D, 0) * 'datos de inventario'!$K$2) + (XLOOKUP($A39, 'datos de inventario'!$A:$A, 'datos de inventario'!$F:$F, 0) * 'datos de inventario'!$K$3 * 'datos de inventario'!$K$4)) * 1.19 + (J39 * 0.15) + XLOOKUP(MAX($Z39, (XLOOKUP($A39, 'datos de inventario'!$A:$A, 'datos de inventario'!$F:$F, 0) * 1000000 / 4000)) + 0.1, Tarifas!$A$2:$A$33, IF(J39 &lt;= 9989, Tarifas!$B$2:$B$33, IF(J39 &lt;= 19989, Tarifas!$C$2:$C$33, Tarifas!$D$2:$D$33)), "Peso excedido", 1)) / J39))</f>
        <v>0.4511768272</v>
      </c>
      <c r="L39" s="21">
        <v>109990.0</v>
      </c>
      <c r="M39" s="26">
        <f t="array" ref="M39">IF(OR(L39=0, L39=""), 0, 1 - ((((XLOOKUP($A39, 'datos de inventario'!$A:$A, 'datos de inventario'!$D:$D, 0) * 'datos de inventario'!$K$2) + (XLOOKUP($A39, 'datos de inventario'!$A:$A, 'datos de inventario'!$F:$F, 0) * 'datos de inventario'!$K$3 * 'datos de inventario'!$K$4)) * 1.19 + (L39 * 0.15) + XLOOKUP(MAX($Z39, (XLOOKUP($A39, 'datos de inventario'!$A:$A, 'datos de inventario'!$F:$F, 0) * 1000000 / 4000)) + 0.1, Tarifas!$A$2:$A$33, IF(L39 &lt;= 9989, Tarifas!$B$2:$B$33, IF(L39 &lt;= 19989, Tarifas!$C$2:$C$33, Tarifas!$D$2:$D$33)), "Peso excedido", 1)) / L39))</f>
        <v>0.4149168788</v>
      </c>
      <c r="N39" s="19" t="s">
        <v>81</v>
      </c>
      <c r="O39" s="19" t="s">
        <v>81</v>
      </c>
      <c r="P39" s="19" t="s">
        <v>81</v>
      </c>
      <c r="Q39" s="19" t="s">
        <v>81</v>
      </c>
      <c r="R39" s="19" t="s">
        <v>81</v>
      </c>
      <c r="S39" s="19" t="s">
        <v>81</v>
      </c>
      <c r="T39" s="19" t="s">
        <v>81</v>
      </c>
      <c r="U39" s="24">
        <f t="shared" si="5"/>
        <v>0.07692899454</v>
      </c>
      <c r="V39" s="24">
        <f t="shared" si="6"/>
        <v>0.08334027836</v>
      </c>
      <c r="W39" s="19">
        <v>57.0</v>
      </c>
      <c r="X39" s="19">
        <v>142.0</v>
      </c>
      <c r="Y39" s="19">
        <v>10.0</v>
      </c>
      <c r="Z39" s="19">
        <v>22.3</v>
      </c>
      <c r="AA39" s="19"/>
      <c r="AB39" s="25">
        <f t="shared" si="4"/>
        <v>0.08094</v>
      </c>
      <c r="AC39" s="25"/>
      <c r="AD39" s="25"/>
      <c r="AE39" s="25"/>
      <c r="AF39" s="25"/>
      <c r="AG39" s="25"/>
    </row>
    <row r="40">
      <c r="A40" s="25" t="s">
        <v>120</v>
      </c>
      <c r="B40" s="19"/>
      <c r="C40" s="19"/>
      <c r="D40" s="20"/>
      <c r="E40" s="19"/>
      <c r="F40" s="19"/>
      <c r="G40" s="19"/>
      <c r="H40" s="21"/>
      <c r="I40" s="26"/>
      <c r="J40" s="21"/>
      <c r="K40" s="26"/>
      <c r="L40" s="21"/>
      <c r="M40" s="26"/>
      <c r="N40" s="19"/>
      <c r="O40" s="19"/>
      <c r="P40" s="19"/>
      <c r="Q40" s="19"/>
      <c r="R40" s="19"/>
      <c r="S40" s="19"/>
      <c r="T40" s="19"/>
      <c r="U40" s="24"/>
      <c r="V40" s="24"/>
      <c r="W40" s="19">
        <v>11.5</v>
      </c>
      <c r="X40" s="19">
        <v>102.0</v>
      </c>
      <c r="Y40" s="19">
        <v>30.0</v>
      </c>
      <c r="Z40" s="19">
        <v>4.154</v>
      </c>
      <c r="AA40" s="19"/>
      <c r="AB40" s="25">
        <f t="shared" si="4"/>
        <v>0.03519</v>
      </c>
      <c r="AC40" s="25"/>
      <c r="AD40" s="25"/>
      <c r="AE40" s="25"/>
      <c r="AF40" s="25"/>
      <c r="AG40" s="25"/>
    </row>
    <row r="41">
      <c r="A41" s="19" t="s">
        <v>121</v>
      </c>
      <c r="B41" s="29" t="s">
        <v>122</v>
      </c>
      <c r="C41" s="19" t="s">
        <v>123</v>
      </c>
      <c r="D41" s="20">
        <f t="shared" ref="D41:D51" si="7">LEN(C41)</f>
        <v>60</v>
      </c>
      <c r="E41" s="19" t="s">
        <v>124</v>
      </c>
      <c r="F41" s="19"/>
      <c r="G41" s="19"/>
      <c r="H41" s="21">
        <v>7990.0</v>
      </c>
      <c r="I41" s="26">
        <f t="array" ref="I41">IF(OR(H41=0, H41=""), 0, 1 - ((((XLOOKUP($A41, 'datos de inventario'!$A:$A, 'datos de inventario'!$D:$D, 0) * 'datos de inventario'!$K$2) + (XLOOKUP($A41, 'datos de inventario'!$A:$A, 'datos de inventario'!$F:$F, 0) * 'datos de inventario'!$K$3 * 'datos de inventario'!$K$4)) * 1.19 + (H41 * 0.15) + XLOOKUP(MAX($Z41, (XLOOKUP($A41, 'datos de inventario'!$A:$A, 'datos de inventario'!$F:$F, 0) * 1000000 / 4000)) + 0.1, Tarifas!$A$2:$A$33, IF(H41 &lt;= 9989, Tarifas!$B$2:$B$33, IF(H41 &lt;= 19989, Tarifas!$C$2:$C$33, Tarifas!$D$2:$D$33)), "Peso excedido", 1)) / H41))</f>
        <v>0.4503716521</v>
      </c>
      <c r="J41" s="21">
        <v>6990.0</v>
      </c>
      <c r="K41" s="26">
        <f t="array" ref="K41">IF(OR(J41=0, J41=""), 0, 1 - ((((XLOOKUP($A41, 'datos de inventario'!$A:$A, 'datos de inventario'!$D:$D, 0) * 'datos de inventario'!$K$2) + (XLOOKUP($A41, 'datos de inventario'!$A:$A, 'datos de inventario'!$F:$F, 0) * 'datos de inventario'!$K$3 * 'datos de inventario'!$K$4)) * 1.19 + (J41 * 0.15) + XLOOKUP(MAX($Z41, (XLOOKUP($A41, 'datos de inventario'!$A:$A, 'datos de inventario'!$F:$F, 0) * 1000000 / 4000)) + 0.1, Tarifas!$A$2:$A$33, IF(J41 &lt;= 9989, Tarifas!$B$2:$B$33, IF(J41 &lt;= 19989, Tarifas!$C$2:$C$33, Tarifas!$D$2:$D$33)), "Peso excedido", 1)) / J41))</f>
        <v>0.3932002146</v>
      </c>
      <c r="L41" s="21">
        <v>5990.0</v>
      </c>
      <c r="M41" s="26">
        <f t="array" ref="M41">IF(OR(L41=0, L41=""), 0, 1 - ((((XLOOKUP($A41, 'datos de inventario'!$A:$A, 'datos de inventario'!$D:$D, 0) * 'datos de inventario'!$K$2) + (XLOOKUP($A41, 'datos de inventario'!$A:$A, 'datos de inventario'!$F:$F, 0) * 'datos de inventario'!$K$3 * 'datos de inventario'!$K$4)) * 1.19 + (L41 * 0.15) + XLOOKUP(MAX($Z41, (XLOOKUP($A41, 'datos de inventario'!$A:$A, 'datos de inventario'!$F:$F, 0) * 1000000 / 4000)) + 0.1, Tarifas!$A$2:$A$33, IF(L41 &lt;= 9989, Tarifas!$B$2:$B$33, IF(L41 &lt;= 19989, Tarifas!$C$2:$C$33, Tarifas!$D$2:$D$33)), "Peso excedido", 1)) / L41))</f>
        <v>0.3169398164</v>
      </c>
      <c r="N41" s="30" t="s">
        <v>125</v>
      </c>
      <c r="O41" s="19"/>
      <c r="P41" s="19"/>
      <c r="Q41" s="19"/>
      <c r="R41" s="19"/>
      <c r="S41" s="19"/>
      <c r="T41" s="19"/>
      <c r="U41" s="24"/>
      <c r="V41" s="24"/>
      <c r="W41" s="19"/>
      <c r="X41" s="19"/>
      <c r="Y41" s="19"/>
      <c r="Z41" s="19"/>
      <c r="AA41" s="19"/>
      <c r="AB41" s="25">
        <f t="shared" si="4"/>
        <v>0</v>
      </c>
      <c r="AC41" s="25"/>
      <c r="AD41" s="25"/>
      <c r="AE41" s="25"/>
      <c r="AF41" s="25"/>
      <c r="AG41" s="25"/>
    </row>
    <row r="42">
      <c r="A42" s="19" t="s">
        <v>126</v>
      </c>
      <c r="B42" s="29" t="s">
        <v>127</v>
      </c>
      <c r="C42" s="19" t="s">
        <v>128</v>
      </c>
      <c r="D42" s="20">
        <f t="shared" si="7"/>
        <v>58</v>
      </c>
      <c r="E42" s="19" t="s">
        <v>129</v>
      </c>
      <c r="F42" s="19"/>
      <c r="G42" s="19"/>
      <c r="H42" s="21">
        <v>8990.0</v>
      </c>
      <c r="I42" s="26">
        <f t="array" ref="I42">IF(OR(H42=0, H42=""), 0, 1 - ((((XLOOKUP($A42, 'datos de inventario'!$A:$A, 'datos de inventario'!$D:$D, 0) * 'datos de inventario'!$K$2) + (XLOOKUP($A42, 'datos de inventario'!$A:$A, 'datos de inventario'!$F:$F, 0) * 'datos de inventario'!$K$3 * 'datos de inventario'!$K$4)) * 1.19 + (H42 * 0.15) + XLOOKUP(MAX($Z42, (XLOOKUP($A42, 'datos de inventario'!$A:$A, 'datos de inventario'!$F:$F, 0) * 1000000 / 4000)) + 0.1, Tarifas!$A$2:$A$33, IF(H42 &lt;= 9989, Tarifas!$B$2:$B$33, IF(H42 &lt;= 19989, Tarifas!$C$2:$C$33, Tarifas!$D$2:$D$33)), "Peso excedido", 1)) / H42))</f>
        <v>0.4115639043</v>
      </c>
      <c r="J42" s="21">
        <v>7990.0</v>
      </c>
      <c r="K42" s="26">
        <f t="array" ref="K42">IF(OR(J42=0, J42=""), 0, 1 - ((((XLOOKUP($A42, 'datos de inventario'!$A:$A, 'datos de inventario'!$D:$D, 0) * 'datos de inventario'!$K$2) + (XLOOKUP($A42, 'datos de inventario'!$A:$A, 'datos de inventario'!$F:$F, 0) * 'datos de inventario'!$K$3 * 'datos de inventario'!$K$4)) * 1.19 + (J42 * 0.15) + XLOOKUP(MAX($Z42, (XLOOKUP($A42, 'datos de inventario'!$A:$A, 'datos de inventario'!$F:$F, 0) * 1000000 / 4000)) + 0.1, Tarifas!$A$2:$A$33, IF(J42 &lt;= 9989, Tarifas!$B$2:$B$33, IF(J42 &lt;= 19989, Tarifas!$C$2:$C$33, Tarifas!$D$2:$D$33)), "Peso excedido", 1)) / J42))</f>
        <v>0.356690801</v>
      </c>
      <c r="L42" s="21">
        <v>6990.0</v>
      </c>
      <c r="M42" s="26">
        <f t="array" ref="M42">IF(OR(L42=0, L42=""), 0, 1 - ((((XLOOKUP($A42, 'datos de inventario'!$A:$A, 'datos de inventario'!$D:$D, 0) * 'datos de inventario'!$K$2) + (XLOOKUP($A42, 'datos de inventario'!$A:$A, 'datos de inventario'!$F:$F, 0) * 'datos de inventario'!$K$3 * 'datos de inventario'!$K$4)) * 1.19 + (L42 * 0.15) + XLOOKUP(MAX($Z42, (XLOOKUP($A42, 'datos de inventario'!$A:$A, 'datos de inventario'!$F:$F, 0) * 1000000 / 4000)) + 0.1, Tarifas!$A$2:$A$33, IF(L42 &lt;= 9989, Tarifas!$B$2:$B$33, IF(L42 &lt;= 19989, Tarifas!$C$2:$C$33, Tarifas!$D$2:$D$33)), "Peso excedido", 1)) / L42))</f>
        <v>0.2861172389</v>
      </c>
      <c r="N42" s="30" t="s">
        <v>130</v>
      </c>
      <c r="O42" s="19"/>
      <c r="P42" s="19"/>
      <c r="Q42" s="19"/>
      <c r="R42" s="19"/>
      <c r="S42" s="19"/>
      <c r="T42" s="19"/>
      <c r="U42" s="24"/>
      <c r="V42" s="24"/>
      <c r="W42" s="19"/>
      <c r="X42" s="19"/>
      <c r="Y42" s="19"/>
      <c r="Z42" s="19"/>
      <c r="AA42" s="19"/>
      <c r="AB42" s="25">
        <f t="shared" si="4"/>
        <v>0</v>
      </c>
      <c r="AC42" s="25"/>
      <c r="AD42" s="25"/>
      <c r="AE42" s="25"/>
      <c r="AF42" s="25"/>
      <c r="AG42" s="25"/>
    </row>
    <row r="43">
      <c r="A43" s="19" t="s">
        <v>131</v>
      </c>
      <c r="B43" s="29" t="s">
        <v>132</v>
      </c>
      <c r="C43" s="19" t="s">
        <v>133</v>
      </c>
      <c r="D43" s="20">
        <f t="shared" si="7"/>
        <v>60</v>
      </c>
      <c r="E43" s="19" t="s">
        <v>134</v>
      </c>
      <c r="F43" s="19"/>
      <c r="G43" s="19"/>
      <c r="H43" s="21">
        <v>10990.0</v>
      </c>
      <c r="I43" s="26">
        <f t="array" ref="I43">IF(OR(H43=0, H43=""), 0, 1 - ((((XLOOKUP($A43, 'datos de inventario'!$A:$A, 'datos de inventario'!$D:$D, 0) * 'datos de inventario'!$K$2) + (XLOOKUP($A43, 'datos de inventario'!$A:$A, 'datos de inventario'!$F:$F, 0) * 'datos de inventario'!$K$3 * 'datos de inventario'!$K$4)) * 1.19 + (H43 * 0.15) + XLOOKUP(MAX($Z43, (XLOOKUP($A43, 'datos de inventario'!$A:$A, 'datos de inventario'!$F:$F, 0) * 1000000 / 4000)) + 0.1, Tarifas!$A$2:$A$33, IF(H43 &lt;= 9989, Tarifas!$B$2:$B$33, IF(H43 &lt;= 19989, Tarifas!$C$2:$C$33, Tarifas!$D$2:$D$33)), "Peso excedido", 1)) / H43))</f>
        <v>0.3770008644</v>
      </c>
      <c r="J43" s="21">
        <v>9990.0</v>
      </c>
      <c r="K43" s="26">
        <f t="array" ref="K43">IF(OR(J43=0, J43=""), 0, 1 - ((((XLOOKUP($A43, 'datos de inventario'!$A:$A, 'datos de inventario'!$D:$D, 0) * 'datos de inventario'!$K$2) + (XLOOKUP($A43, 'datos de inventario'!$A:$A, 'datos de inventario'!$F:$F, 0) * 'datos de inventario'!$K$3 * 'datos de inventario'!$K$4)) * 1.19 + (J43 * 0.15) + XLOOKUP(MAX($Z43, (XLOOKUP($A43, 'datos de inventario'!$A:$A, 'datos de inventario'!$F:$F, 0) * 1000000 / 4000)) + 0.1, Tarifas!$A$2:$A$33, IF(J43 &lt;= 9989, Tarifas!$B$2:$B$33, IF(J43 &lt;= 19989, Tarifas!$C$2:$C$33, Tarifas!$D$2:$D$33)), "Peso excedido", 1)) / J43))</f>
        <v>0.3296536036</v>
      </c>
      <c r="L43" s="21">
        <v>8990.0</v>
      </c>
      <c r="M43" s="26">
        <f t="array" ref="M43">IF(OR(L43=0, L43=""), 0, 1 - ((((XLOOKUP($A43, 'datos de inventario'!$A:$A, 'datos de inventario'!$D:$D, 0) * 'datos de inventario'!$K$2) + (XLOOKUP($A43, 'datos de inventario'!$A:$A, 'datos de inventario'!$F:$F, 0) * 'datos de inventario'!$K$3 * 'datos de inventario'!$K$4)) * 1.19 + (L43 * 0.15) + XLOOKUP(MAX($Z43, (XLOOKUP($A43, 'datos de inventario'!$A:$A, 'datos de inventario'!$F:$F, 0) * 1000000 / 4000)) + 0.1, Tarifas!$A$2:$A$33, IF(L43 &lt;= 9989, Tarifas!$B$2:$B$33, IF(L43 &lt;= 19989, Tarifas!$C$2:$C$33, Tarifas!$D$2:$D$33)), "Peso excedido", 1)) / L43))</f>
        <v>0.2940199666</v>
      </c>
      <c r="N43" s="30" t="s">
        <v>130</v>
      </c>
      <c r="O43" s="19"/>
      <c r="P43" s="19"/>
      <c r="Q43" s="19"/>
      <c r="R43" s="19"/>
      <c r="S43" s="19"/>
      <c r="T43" s="19"/>
      <c r="U43" s="24"/>
      <c r="V43" s="24"/>
      <c r="W43" s="19"/>
      <c r="X43" s="19"/>
      <c r="Y43" s="19"/>
      <c r="Z43" s="19"/>
      <c r="AA43" s="19"/>
      <c r="AB43" s="25">
        <f t="shared" si="4"/>
        <v>0</v>
      </c>
      <c r="AC43" s="25"/>
      <c r="AD43" s="25"/>
      <c r="AE43" s="25"/>
      <c r="AF43" s="25"/>
      <c r="AG43" s="25"/>
    </row>
    <row r="44">
      <c r="A44" s="18" t="s">
        <v>135</v>
      </c>
      <c r="B44" s="29" t="s">
        <v>136</v>
      </c>
      <c r="C44" s="19" t="s">
        <v>137</v>
      </c>
      <c r="D44" s="20">
        <f t="shared" si="7"/>
        <v>59</v>
      </c>
      <c r="E44" s="19" t="s">
        <v>138</v>
      </c>
      <c r="F44" s="19"/>
      <c r="G44" s="19"/>
      <c r="H44" s="21">
        <v>18990.0</v>
      </c>
      <c r="I44" s="26">
        <f t="array" ref="I44">IF(OR(H44=0, H44=""), 0, 1 - ((((XLOOKUP($A44, 'datos de inventario'!$A:$A, 'datos de inventario'!$D:$D, 0) * 'datos de inventario'!$K$2) + (XLOOKUP($A44, 'datos de inventario'!$A:$A, 'datos de inventario'!$F:$F, 0) * 'datos de inventario'!$K$3 * 'datos de inventario'!$K$4)) * 1.19 + (H44 * 0.15) + XLOOKUP(MAX($Z44, (XLOOKUP($A44, 'datos de inventario'!$A:$A, 'datos de inventario'!$F:$F, 0) * 1000000 / 4000)) + 0.1, Tarifas!$A$2:$A$33, IF(H44 &lt;= 9989, Tarifas!$B$2:$B$33, IF(H44 &lt;= 19989, Tarifas!$C$2:$C$33, Tarifas!$D$2:$D$33)), "Peso excedido", 1)) / H44))</f>
        <v>0.6483713797</v>
      </c>
      <c r="J44" s="21">
        <v>14990.0</v>
      </c>
      <c r="K44" s="26">
        <f t="array" ref="K44">IF(OR(J44=0, J44=""), 0, 1 - ((((XLOOKUP($A44, 'datos de inventario'!$A:$A, 'datos de inventario'!$D:$D, 0) * 'datos de inventario'!$K$2) + (XLOOKUP($A44, 'datos de inventario'!$A:$A, 'datos de inventario'!$F:$F, 0) * 'datos de inventario'!$K$3 * 'datos de inventario'!$K$4)) * 1.19 + (J44 * 0.15) + XLOOKUP(MAX($Z44, (XLOOKUP($A44, 'datos de inventario'!$A:$A, 'datos de inventario'!$F:$F, 0) * 1000000 / 4000)) + 0.1, Tarifas!$A$2:$A$33, IF(J44 &lt;= 9989, Tarifas!$B$2:$B$33, IF(J44 &lt;= 19989, Tarifas!$C$2:$C$33, Tarifas!$D$2:$D$33)), "Peso excedido", 1)) / J44))</f>
        <v>0.5945678786</v>
      </c>
      <c r="L44" s="21">
        <v>13990.0</v>
      </c>
      <c r="M44" s="26">
        <f t="array" ref="M44">IF(OR(L44=0, L44=""), 0, 1 - ((((XLOOKUP($A44, 'datos de inventario'!$A:$A, 'datos de inventario'!$D:$D, 0) * 'datos de inventario'!$K$2) + (XLOOKUP($A44, 'datos de inventario'!$A:$A, 'datos de inventario'!$F:$F, 0) * 'datos de inventario'!$K$3 * 'datos de inventario'!$K$4)) * 1.19 + (L44 * 0.15) + XLOOKUP(MAX($Z44, (XLOOKUP($A44, 'datos de inventario'!$A:$A, 'datos de inventario'!$F:$F, 0) * 1000000 / 4000)) + 0.1, Tarifas!$A$2:$A$33, IF(L44 &lt;= 9989, Tarifas!$B$2:$B$33, IF(L44 &lt;= 19989, Tarifas!$C$2:$C$33, Tarifas!$D$2:$D$33)), "Peso excedido", 1)) / L44))</f>
        <v>0.5763096855</v>
      </c>
      <c r="N44" s="31" t="s">
        <v>139</v>
      </c>
      <c r="O44" s="19"/>
      <c r="P44" s="19"/>
      <c r="Q44" s="19"/>
      <c r="R44" s="19"/>
      <c r="S44" s="19"/>
      <c r="T44" s="19"/>
      <c r="U44" s="24"/>
      <c r="V44" s="24"/>
      <c r="W44" s="19"/>
      <c r="X44" s="19"/>
      <c r="Y44" s="19"/>
      <c r="Z44" s="19"/>
      <c r="AA44" s="19"/>
      <c r="AB44" s="25">
        <f t="shared" si="4"/>
        <v>0</v>
      </c>
      <c r="AC44" s="25"/>
      <c r="AD44" s="25"/>
      <c r="AE44" s="25"/>
      <c r="AF44" s="25"/>
      <c r="AG44" s="25"/>
    </row>
    <row r="45">
      <c r="A45" s="20" t="s">
        <v>140</v>
      </c>
      <c r="B45" s="20" t="s">
        <v>141</v>
      </c>
      <c r="C45" s="20" t="s">
        <v>142</v>
      </c>
      <c r="D45" s="20">
        <f t="shared" si="7"/>
        <v>59</v>
      </c>
      <c r="E45" s="20" t="s">
        <v>143</v>
      </c>
      <c r="F45" s="20" t="s">
        <v>142</v>
      </c>
      <c r="G45" s="19">
        <f t="shared" ref="G45:G51" si="8">LEN(F45)</f>
        <v>59</v>
      </c>
      <c r="H45" s="21">
        <v>12990.0</v>
      </c>
      <c r="I45" s="26">
        <f t="array" ref="I45">IF(OR(H45=0, H45=""), 0, 1 - ((((XLOOKUP($A45, 'datos de inventario'!$A:$A, 'datos de inventario'!$D:$D, 0) * 'datos de inventario'!$K$2) + (XLOOKUP($A45, 'datos de inventario'!$A:$A, 'datos de inventario'!$F:$F, 0) * 'datos de inventario'!$K$3 * 'datos de inventario'!$K$4)) * 1.19 + (H45 * 0.15) + XLOOKUP(MAX($Z45, (XLOOKUP($A45, 'datos de inventario'!$A:$A, 'datos de inventario'!$F:$F, 0) * 1000000 / 4000)) + 0.1, Tarifas!$A$2:$A$33, IF(H45 &lt;= 9989, Tarifas!$B$2:$B$33, IF(H45 &lt;= 19989, Tarifas!$C$2:$C$33, Tarifas!$D$2:$D$33)), "Peso excedido", 1)) / H45))</f>
        <v>0.5610873172</v>
      </c>
      <c r="J45" s="21">
        <v>9990.0</v>
      </c>
      <c r="K45" s="26">
        <f t="array" ref="K45">IF(OR(J45=0, J45=""), 0, 1 - ((((XLOOKUP($A45, 'datos de inventario'!$A:$A, 'datos de inventario'!$D:$D, 0) * 'datos de inventario'!$K$2) + (XLOOKUP($A45, 'datos de inventario'!$A:$A, 'datos de inventario'!$F:$F, 0) * 'datos de inventario'!$K$3 * 'datos de inventario'!$K$4)) * 1.19 + (J45 * 0.15) + XLOOKUP(MAX($Z45, (XLOOKUP($A45, 'datos de inventario'!$A:$A, 'datos de inventario'!$F:$F, 0) * 1000000 / 4000)) + 0.1, Tarifas!$A$2:$A$33, IF(J45 &lt;= 9989, Tarifas!$B$2:$B$33, IF(J45 &lt;= 19989, Tarifas!$C$2:$C$33, Tarifas!$D$2:$D$33)), "Peso excedido", 1)) / J45))</f>
        <v>0.4743267518</v>
      </c>
      <c r="L45" s="21">
        <v>8990.0</v>
      </c>
      <c r="M45" s="26">
        <f t="array" ref="M45">IF(OR(L45=0, L45=""), 0, 1 - ((((XLOOKUP($A45, 'datos de inventario'!$A:$A, 'datos de inventario'!$D:$D, 0) * 'datos de inventario'!$K$2) + (XLOOKUP($A45, 'datos de inventario'!$A:$A, 'datos de inventario'!$F:$F, 0) * 'datos de inventario'!$K$3 * 'datos de inventario'!$K$4)) * 1.19 + (L45 * 0.15) + XLOOKUP(MAX($Z45, (XLOOKUP($A45, 'datos de inventario'!$A:$A, 'datos de inventario'!$F:$F, 0) * 1000000 / 4000)) + 0.1, Tarifas!$A$2:$A$33, IF(L45 &lt;= 9989, Tarifas!$B$2:$B$33, IF(L45 &lt;= 19989, Tarifas!$C$2:$C$33, Tarifas!$D$2:$D$33)), "Peso excedido", 1)) / L45))</f>
        <v>0.4547857898</v>
      </c>
      <c r="N45" s="32" t="s">
        <v>144</v>
      </c>
      <c r="O45" s="20"/>
      <c r="P45" s="33">
        <v>2.3</v>
      </c>
      <c r="Q45" s="34">
        <f t="shared" ref="Q45:Q51" si="9">(P45/7)*30</f>
        <v>9.857142857</v>
      </c>
      <c r="R45" s="34">
        <v>7.0</v>
      </c>
      <c r="S45" s="35">
        <f t="shared" ref="S45:S51" si="10">(R45/7)*30</f>
        <v>30</v>
      </c>
      <c r="T45" s="36">
        <v>45992.0</v>
      </c>
      <c r="U45" s="24">
        <f t="shared" ref="U45:U51" si="11">1-(J45/H45)</f>
        <v>0.2309468822</v>
      </c>
      <c r="V45" s="24">
        <f t="shared" ref="V45:V51" si="12">1-(L45/J45)</f>
        <v>0.1001001001</v>
      </c>
      <c r="W45" s="25"/>
      <c r="X45" s="25"/>
      <c r="Y45" s="25"/>
      <c r="Z45" s="25"/>
      <c r="AA45" s="25"/>
      <c r="AB45" s="25">
        <f t="shared" si="4"/>
        <v>0</v>
      </c>
      <c r="AC45" s="25"/>
      <c r="AD45" s="25"/>
      <c r="AE45" s="25"/>
      <c r="AF45" s="25"/>
      <c r="AG45" s="25"/>
    </row>
    <row r="46">
      <c r="A46" s="20" t="s">
        <v>145</v>
      </c>
      <c r="B46" s="20" t="s">
        <v>146</v>
      </c>
      <c r="C46" s="20" t="s">
        <v>147</v>
      </c>
      <c r="D46" s="20">
        <f t="shared" si="7"/>
        <v>60</v>
      </c>
      <c r="E46" s="20" t="s">
        <v>148</v>
      </c>
      <c r="F46" s="20" t="s">
        <v>149</v>
      </c>
      <c r="G46" s="19">
        <f t="shared" si="8"/>
        <v>62</v>
      </c>
      <c r="H46" s="21">
        <v>11990.0</v>
      </c>
      <c r="I46" s="26">
        <f t="array" ref="I46">IF(OR(H46=0, H46=""), 0, 1 - ((((XLOOKUP($A46, 'datos de inventario'!$A:$A, 'datos de inventario'!$D:$D, 0) * 'datos de inventario'!$K$2) + (XLOOKUP($A46, 'datos de inventario'!$A:$A, 'datos de inventario'!$F:$F, 0) * 'datos de inventario'!$K$3 * 'datos de inventario'!$K$4)) * 1.19 + (H46 * 0.15) + XLOOKUP(MAX($Z46, (XLOOKUP($A46, 'datos de inventario'!$A:$A, 'datos de inventario'!$F:$F, 0) * 1000000 / 4000)) + 0.1, Tarifas!$A$2:$A$33, IF(H46 &lt;= 9989, Tarifas!$B$2:$B$33, IF(H46 &lt;= 19989, Tarifas!$C$2:$C$33, Tarifas!$D$2:$D$33)), "Peso excedido", 1)) / H46))</f>
        <v>0.4222340909</v>
      </c>
      <c r="J46" s="21">
        <v>9990.0</v>
      </c>
      <c r="K46" s="26">
        <f t="array" ref="K46">IF(OR(J46=0, J46=""), 0, 1 - ((((XLOOKUP($A46, 'datos de inventario'!$A:$A, 'datos de inventario'!$D:$D, 0) * 'datos de inventario'!$K$2) + (XLOOKUP($A46, 'datos de inventario'!$A:$A, 'datos de inventario'!$F:$F, 0) * 'datos de inventario'!$K$3 * 'datos de inventario'!$K$4)) * 1.19 + (J46 * 0.15) + XLOOKUP(MAX($Z46, (XLOOKUP($A46, 'datos de inventario'!$A:$A, 'datos de inventario'!$F:$F, 0) * 1000000 / 4000)) + 0.1, Tarifas!$A$2:$A$33, IF(J46 &lt;= 9989, Tarifas!$B$2:$B$33, IF(J46 &lt;= 19989, Tarifas!$C$2:$C$33, Tarifas!$D$2:$D$33)), "Peso excedido", 1)) / J46))</f>
        <v>0.3365952703</v>
      </c>
      <c r="L46" s="21">
        <v>8990.0</v>
      </c>
      <c r="M46" s="26">
        <f t="array" ref="M46">IF(OR(L46=0, L46=""), 0, 1 - ((((XLOOKUP($A46, 'datos de inventario'!$A:$A, 'datos de inventario'!$D:$D, 0) * 'datos de inventario'!$K$2) + (XLOOKUP($A46, 'datos de inventario'!$A:$A, 'datos de inventario'!$F:$F, 0) * 'datos de inventario'!$K$3 * 'datos de inventario'!$K$4)) * 1.19 + (L46 * 0.15) + XLOOKUP(MAX($Z46, (XLOOKUP($A46, 'datos de inventario'!$A:$A, 'datos de inventario'!$F:$F, 0) * 1000000 / 4000)) + 0.1, Tarifas!$A$2:$A$33, IF(L46 &lt;= 9989, Tarifas!$B$2:$B$33, IF(L46 &lt;= 19989, Tarifas!$C$2:$C$33, Tarifas!$D$2:$D$33)), "Peso excedido", 1)) / L46))</f>
        <v>0.3017337875</v>
      </c>
      <c r="N46" s="32" t="s">
        <v>144</v>
      </c>
      <c r="O46" s="20"/>
      <c r="P46" s="33">
        <v>2.3</v>
      </c>
      <c r="Q46" s="34">
        <f t="shared" si="9"/>
        <v>9.857142857</v>
      </c>
      <c r="R46" s="34">
        <v>7.0</v>
      </c>
      <c r="S46" s="35">
        <f t="shared" si="10"/>
        <v>30</v>
      </c>
      <c r="T46" s="36">
        <v>45992.0</v>
      </c>
      <c r="U46" s="24">
        <f t="shared" si="11"/>
        <v>0.1668056714</v>
      </c>
      <c r="V46" s="24">
        <f t="shared" si="12"/>
        <v>0.1001001001</v>
      </c>
      <c r="W46" s="25"/>
      <c r="X46" s="25"/>
      <c r="Y46" s="25"/>
      <c r="Z46" s="25"/>
      <c r="AA46" s="25"/>
      <c r="AB46" s="25">
        <f t="shared" si="4"/>
        <v>0</v>
      </c>
      <c r="AC46" s="25"/>
      <c r="AD46" s="25"/>
      <c r="AE46" s="25"/>
      <c r="AF46" s="25"/>
      <c r="AG46" s="25"/>
    </row>
    <row r="47">
      <c r="A47" s="20" t="s">
        <v>150</v>
      </c>
      <c r="B47" s="20" t="s">
        <v>151</v>
      </c>
      <c r="C47" s="20" t="s">
        <v>152</v>
      </c>
      <c r="D47" s="20">
        <f t="shared" si="7"/>
        <v>60</v>
      </c>
      <c r="E47" s="20" t="s">
        <v>153</v>
      </c>
      <c r="F47" s="20" t="s">
        <v>154</v>
      </c>
      <c r="G47" s="19">
        <f t="shared" si="8"/>
        <v>62</v>
      </c>
      <c r="H47" s="21">
        <v>9990.0</v>
      </c>
      <c r="I47" s="26">
        <f t="array" ref="I47">IF(OR(H47=0, H47=""), 0, 1 - ((((XLOOKUP($A47, 'datos de inventario'!$A:$A, 'datos de inventario'!$D:$D, 0) * 'datos de inventario'!$K$2) + (XLOOKUP($A47, 'datos de inventario'!$A:$A, 'datos de inventario'!$F:$F, 0) * 'datos de inventario'!$K$3 * 'datos de inventario'!$K$4)) * 1.19 + (H47 * 0.15) + XLOOKUP(MAX($Z47, (XLOOKUP($A47, 'datos de inventario'!$A:$A, 'datos de inventario'!$F:$F, 0) * 1000000 / 4000)) + 0.1, Tarifas!$A$2:$A$33, IF(H47 &lt;= 9989, Tarifas!$B$2:$B$33, IF(H47 &lt;= 19989, Tarifas!$C$2:$C$33, Tarifas!$D$2:$D$33)), "Peso excedido", 1)) / H47))</f>
        <v>0.5334961962</v>
      </c>
      <c r="J47" s="21">
        <v>8990.0</v>
      </c>
      <c r="K47" s="26">
        <f t="array" ref="K47">IF(OR(J47=0, J47=""), 0, 1 - ((((XLOOKUP($A47, 'datos de inventario'!$A:$A, 'datos de inventario'!$D:$D, 0) * 'datos de inventario'!$K$2) + (XLOOKUP($A47, 'datos de inventario'!$A:$A, 'datos de inventario'!$F:$F, 0) * 'datos de inventario'!$K$3 * 'datos de inventario'!$K$4)) * 1.19 + (J47 * 0.15) + XLOOKUP(MAX($Z47, (XLOOKUP($A47, 'datos de inventario'!$A:$A, 'datos de inventario'!$F:$F, 0) * 1000000 / 4000)) + 0.1, Tarifas!$A$2:$A$33, IF(J47 &lt;= 9989, Tarifas!$B$2:$B$33, IF(J47 &lt;= 19989, Tarifas!$C$2:$C$33, Tarifas!$D$2:$D$33)), "Peso excedido", 1)) / J47))</f>
        <v>0.5205369299</v>
      </c>
      <c r="L47" s="21">
        <v>7990.0</v>
      </c>
      <c r="M47" s="26">
        <f t="array" ref="M47">IF(OR(L47=0, L47=""), 0, 1 - ((((XLOOKUP($A47, 'datos de inventario'!$A:$A, 'datos de inventario'!$D:$D, 0) * 'datos de inventario'!$K$2) + (XLOOKUP($A47, 'datos de inventario'!$A:$A, 'datos de inventario'!$F:$F, 0) * 'datos de inventario'!$K$3 * 'datos de inventario'!$K$4)) * 1.19 + (L47 * 0.15) + XLOOKUP(MAX($Z47, (XLOOKUP($A47, 'datos de inventario'!$A:$A, 'datos de inventario'!$F:$F, 0) * 1000000 / 4000)) + 0.1, Tarifas!$A$2:$A$33, IF(L47 &lt;= 9989, Tarifas!$B$2:$B$33, IF(L47 &lt;= 19989, Tarifas!$C$2:$C$33, Tarifas!$D$2:$D$33)), "Peso excedido", 1)) / L47))</f>
        <v>0.4793025031</v>
      </c>
      <c r="N47" s="32" t="s">
        <v>144</v>
      </c>
      <c r="O47" s="20"/>
      <c r="P47" s="33">
        <v>2.3</v>
      </c>
      <c r="Q47" s="34">
        <f t="shared" si="9"/>
        <v>9.857142857</v>
      </c>
      <c r="R47" s="34">
        <v>7.0</v>
      </c>
      <c r="S47" s="35">
        <f t="shared" si="10"/>
        <v>30</v>
      </c>
      <c r="T47" s="36">
        <v>45992.0</v>
      </c>
      <c r="U47" s="24">
        <f t="shared" si="11"/>
        <v>0.1001001001</v>
      </c>
      <c r="V47" s="24">
        <f t="shared" si="12"/>
        <v>0.1112347052</v>
      </c>
      <c r="W47" s="25"/>
      <c r="X47" s="25"/>
      <c r="Y47" s="25"/>
      <c r="Z47" s="25"/>
      <c r="AA47" s="25"/>
      <c r="AB47" s="25">
        <f t="shared" si="4"/>
        <v>0</v>
      </c>
      <c r="AC47" s="25"/>
      <c r="AD47" s="25"/>
      <c r="AE47" s="25"/>
      <c r="AF47" s="25"/>
      <c r="AG47" s="25"/>
    </row>
    <row r="48">
      <c r="A48" s="20" t="s">
        <v>113</v>
      </c>
      <c r="B48" s="20" t="s">
        <v>155</v>
      </c>
      <c r="C48" s="20" t="s">
        <v>156</v>
      </c>
      <c r="D48" s="20">
        <f t="shared" si="7"/>
        <v>57</v>
      </c>
      <c r="E48" s="20" t="s">
        <v>157</v>
      </c>
      <c r="F48" s="20" t="s">
        <v>158</v>
      </c>
      <c r="G48" s="19">
        <f t="shared" si="8"/>
        <v>66</v>
      </c>
      <c r="H48" s="21">
        <v>89990.0</v>
      </c>
      <c r="I48" s="26">
        <f t="array" ref="I48">IF(OR(H48=0, H48=""), 0, 1 - ((((XLOOKUP($A48, 'datos de inventario'!$A:$A, 'datos de inventario'!$D:$D, 0) * 'datos de inventario'!$K$2) + (XLOOKUP($A48, 'datos de inventario'!$A:$A, 'datos de inventario'!$F:$F, 0) * 'datos de inventario'!$K$3 * 'datos de inventario'!$K$4)) * 1.19 + (H48 * 0.15) + XLOOKUP(MAX($Z48, (XLOOKUP($A48, 'datos de inventario'!$A:$A, 'datos de inventario'!$F:$F, 0) * 1000000 / 4000)) + 0.1, Tarifas!$A$2:$A$33, IF(H48 &lt;= 9989, Tarifas!$B$2:$B$33, IF(H48 &lt;= 19989, Tarifas!$C$2:$C$33, Tarifas!$D$2:$D$33)), "Peso excedido", 1)) / H48))</f>
        <v>0.4546343983</v>
      </c>
      <c r="J48" s="21">
        <v>79990.0</v>
      </c>
      <c r="K48" s="26">
        <f t="array" ref="K48">IF(OR(J48=0, J48=""), 0, 1 - ((((XLOOKUP($A48, 'datos de inventario'!$A:$A, 'datos de inventario'!$D:$D, 0) * 'datos de inventario'!$K$2) + (XLOOKUP($A48, 'datos de inventario'!$A:$A, 'datos de inventario'!$F:$F, 0) * 'datos de inventario'!$K$3 * 'datos de inventario'!$K$4)) * 1.19 + (J48 * 0.15) + XLOOKUP(MAX($Z48, (XLOOKUP($A48, 'datos de inventario'!$A:$A, 'datos de inventario'!$F:$F, 0) * 1000000 / 4000)) + 0.1, Tarifas!$A$2:$A$33, IF(J48 &lt;= 9989, Tarifas!$B$2:$B$33, IF(J48 &lt;= 19989, Tarifas!$C$2:$C$33, Tarifas!$D$2:$D$33)), "Peso excedido", 1)) / J48))</f>
        <v>0.4052075197</v>
      </c>
      <c r="L48" s="21">
        <v>69990.0</v>
      </c>
      <c r="M48" s="26">
        <f t="array" ref="M48">IF(OR(L48=0, L48=""), 0, 1 - ((((XLOOKUP($A48, 'datos de inventario'!$A:$A, 'datos de inventario'!$D:$D, 0) * 'datos de inventario'!$K$2) + (XLOOKUP($A48, 'datos de inventario'!$A:$A, 'datos de inventario'!$F:$F, 0) * 'datos de inventario'!$K$3 * 'datos de inventario'!$K$4)) * 1.19 + (L48 * 0.15) + XLOOKUP(MAX($Z48, (XLOOKUP($A48, 'datos de inventario'!$A:$A, 'datos de inventario'!$F:$F, 0) * 1000000 / 4000)) + 0.1, Tarifas!$A$2:$A$33, IF(L48 &lt;= 9989, Tarifas!$B$2:$B$33, IF(L48 &lt;= 19989, Tarifas!$C$2:$C$33, Tarifas!$D$2:$D$33)), "Peso excedido", 1)) / L48))</f>
        <v>0.3416566581</v>
      </c>
      <c r="N48" s="32" t="s">
        <v>159</v>
      </c>
      <c r="O48" s="20"/>
      <c r="P48" s="33">
        <v>0.5</v>
      </c>
      <c r="Q48" s="34">
        <f t="shared" si="9"/>
        <v>2.142857143</v>
      </c>
      <c r="R48" s="37">
        <v>1.9</v>
      </c>
      <c r="S48" s="35">
        <f t="shared" si="10"/>
        <v>8.142857143</v>
      </c>
      <c r="T48" s="36">
        <v>45992.0</v>
      </c>
      <c r="U48" s="24">
        <f t="shared" si="11"/>
        <v>0.1111234582</v>
      </c>
      <c r="V48" s="24">
        <f t="shared" si="12"/>
        <v>0.125015627</v>
      </c>
      <c r="W48" s="25"/>
      <c r="X48" s="25"/>
      <c r="Y48" s="25"/>
      <c r="Z48" s="25"/>
      <c r="AA48" s="25"/>
      <c r="AB48" s="25">
        <f t="shared" si="4"/>
        <v>0</v>
      </c>
      <c r="AC48" s="25"/>
      <c r="AD48" s="25"/>
      <c r="AE48" s="25"/>
      <c r="AF48" s="25"/>
      <c r="AG48" s="25"/>
    </row>
    <row r="49">
      <c r="A49" s="20" t="s">
        <v>109</v>
      </c>
      <c r="B49" s="20" t="s">
        <v>160</v>
      </c>
      <c r="C49" s="20" t="s">
        <v>161</v>
      </c>
      <c r="D49" s="20">
        <f t="shared" si="7"/>
        <v>57</v>
      </c>
      <c r="E49" s="20" t="s">
        <v>162</v>
      </c>
      <c r="F49" s="20" t="s">
        <v>162</v>
      </c>
      <c r="G49" s="19">
        <f t="shared" si="8"/>
        <v>69</v>
      </c>
      <c r="H49" s="21">
        <v>23990.0</v>
      </c>
      <c r="I49" s="26">
        <f t="array" ref="I49">IF(OR(H49=0, H49=""), 0, 1 - ((((XLOOKUP($A49, 'datos de inventario'!$A:$A, 'datos de inventario'!$D:$D, 0) * 'datos de inventario'!$K$2) + (XLOOKUP($A49, 'datos de inventario'!$A:$A, 'datos de inventario'!$F:$F, 0) * 'datos de inventario'!$K$3 * 'datos de inventario'!$K$4)) * 1.19 + (H49 * 0.15) + XLOOKUP(MAX($Z49, (XLOOKUP($A49, 'datos de inventario'!$A:$A, 'datos de inventario'!$F:$F, 0) * 1000000 / 4000)) + 0.1, Tarifas!$A$2:$A$33, IF(H49 &lt;= 9989, Tarifas!$B$2:$B$33, IF(H49 &lt;= 19989, Tarifas!$C$2:$C$33, Tarifas!$D$2:$D$33)), "Peso excedido", 1)) / H49))</f>
        <v>0.520018862</v>
      </c>
      <c r="J49" s="21">
        <v>21990.0</v>
      </c>
      <c r="K49" s="26">
        <f t="array" ref="K49">IF(OR(J49=0, J49=""), 0, 1 - ((((XLOOKUP($A49, 'datos de inventario'!$A:$A, 'datos de inventario'!$D:$D, 0) * 'datos de inventario'!$K$2) + (XLOOKUP($A49, 'datos de inventario'!$A:$A, 'datos de inventario'!$F:$F, 0) * 'datos de inventario'!$K$3 * 'datos de inventario'!$K$4)) * 1.19 + (J49 * 0.15) + XLOOKUP(MAX($Z49, (XLOOKUP($A49, 'datos de inventario'!$A:$A, 'datos de inventario'!$F:$F, 0) * 1000000 / 4000)) + 0.1, Tarifas!$A$2:$A$33, IF(J49 &lt;= 9989, Tarifas!$B$2:$B$33, IF(J49 &lt;= 19989, Tarifas!$C$2:$C$33, Tarifas!$D$2:$D$33)), "Peso excedido", 1)) / J49))</f>
        <v>0.490006935</v>
      </c>
      <c r="L49" s="21">
        <v>19980.0</v>
      </c>
      <c r="M49" s="26">
        <f t="array" ref="M49">IF(OR(L49=0, L49=""), 0, 1 - ((((XLOOKUP($A49, 'datos de inventario'!$A:$A, 'datos de inventario'!$D:$D, 0) * 'datos de inventario'!$K$2) + (XLOOKUP($A49, 'datos de inventario'!$A:$A, 'datos de inventario'!$F:$F, 0) * 'datos de inventario'!$K$3 * 'datos de inventario'!$K$4)) * 1.19 + (L49 * 0.15) + XLOOKUP(MAX($Z49, (XLOOKUP($A49, 'datos de inventario'!$A:$A, 'datos de inventario'!$F:$F, 0) * 1000000 / 4000)) + 0.1, Tarifas!$A$2:$A$33, IF(L49 &lt;= 9989, Tarifas!$B$2:$B$33, IF(L49 &lt;= 19989, Tarifas!$C$2:$C$33, Tarifas!$D$2:$D$33)), "Peso excedido", 1)) / L49))</f>
        <v>0.560398023</v>
      </c>
      <c r="N49" s="32" t="s">
        <v>163</v>
      </c>
      <c r="O49" s="20"/>
      <c r="P49" s="33">
        <v>1.9</v>
      </c>
      <c r="Q49" s="34">
        <f t="shared" si="9"/>
        <v>8.142857143</v>
      </c>
      <c r="R49" s="37">
        <v>4.7</v>
      </c>
      <c r="S49" s="35">
        <f t="shared" si="10"/>
        <v>20.14285714</v>
      </c>
      <c r="T49" s="36">
        <v>45992.0</v>
      </c>
      <c r="U49" s="24">
        <f t="shared" si="11"/>
        <v>0.08336807003</v>
      </c>
      <c r="V49" s="24">
        <f t="shared" si="12"/>
        <v>0.09140518417</v>
      </c>
      <c r="W49" s="25"/>
      <c r="X49" s="25"/>
      <c r="Y49" s="25"/>
      <c r="Z49" s="25"/>
      <c r="AA49" s="25"/>
      <c r="AB49" s="25">
        <f t="shared" si="4"/>
        <v>0</v>
      </c>
      <c r="AC49" s="25"/>
      <c r="AD49" s="25"/>
      <c r="AE49" s="25"/>
      <c r="AF49" s="25"/>
      <c r="AG49" s="25"/>
    </row>
    <row r="50">
      <c r="A50" s="20" t="s">
        <v>164</v>
      </c>
      <c r="B50" s="20" t="s">
        <v>165</v>
      </c>
      <c r="C50" s="20" t="s">
        <v>166</v>
      </c>
      <c r="D50" s="20">
        <f t="shared" si="7"/>
        <v>57</v>
      </c>
      <c r="E50" s="20" t="s">
        <v>167</v>
      </c>
      <c r="F50" s="20" t="s">
        <v>168</v>
      </c>
      <c r="G50" s="19">
        <f t="shared" si="8"/>
        <v>65</v>
      </c>
      <c r="H50" s="21">
        <v>19990.0</v>
      </c>
      <c r="I50" s="26">
        <f t="array" ref="I50">IF(OR(H50=0, H50=""), 0, 1 - ((((XLOOKUP($A50, 'datos de inventario'!$A:$A, 'datos de inventario'!$D:$D, 0) * 'datos de inventario'!$K$2) + (XLOOKUP($A50, 'datos de inventario'!$A:$A, 'datos de inventario'!$F:$F, 0) * 'datos de inventario'!$K$3 * 'datos de inventario'!$K$4)) * 1.19 + (H50 * 0.15) + XLOOKUP(MAX($Z50, (XLOOKUP($A50, 'datos de inventario'!$A:$A, 'datos de inventario'!$F:$F, 0) * 1000000 / 4000)) + 0.1, Tarifas!$A$2:$A$33, IF(H50 &lt;= 9989, Tarifas!$B$2:$B$33, IF(H50 &lt;= 19989, Tarifas!$C$2:$C$33, Tarifas!$D$2:$D$33)), "Peso excedido", 1)) / H50))</f>
        <v>0.3443233567</v>
      </c>
      <c r="J50" s="21">
        <v>17990.0</v>
      </c>
      <c r="K50" s="26">
        <f t="array" ref="K50">IF(OR(J50=0, J50=""), 0, 1 - ((((XLOOKUP($A50, 'datos de inventario'!$A:$A, 'datos de inventario'!$D:$D, 0) * 'datos de inventario'!$K$2) + (XLOOKUP($A50, 'datos de inventario'!$A:$A, 'datos de inventario'!$F:$F, 0) * 'datos de inventario'!$K$3 * 'datos de inventario'!$K$4)) * 1.19 + (J50 * 0.15) + XLOOKUP(MAX($Z50, (XLOOKUP($A50, 'datos de inventario'!$A:$A, 'datos de inventario'!$F:$F, 0) * 1000000 / 4000)) + 0.1, Tarifas!$A$2:$A$33, IF(J50 &lt;= 9989, Tarifas!$B$2:$B$33, IF(J50 &lt;= 19989, Tarifas!$C$2:$C$33, Tarifas!$D$2:$D$33)), "Peso excedido", 1)) / J50))</f>
        <v>0.4465271762</v>
      </c>
      <c r="L50" s="21">
        <v>15990.0</v>
      </c>
      <c r="M50" s="26">
        <f t="array" ref="M50">IF(OR(L50=0, L50=""), 0, 1 - ((((XLOOKUP($A50, 'datos de inventario'!$A:$A, 'datos de inventario'!$D:$D, 0) * 'datos de inventario'!$K$2) + (XLOOKUP($A50, 'datos de inventario'!$A:$A, 'datos de inventario'!$F:$F, 0) * 'datos de inventario'!$K$3 * 'datos de inventario'!$K$4)) * 1.19 + (L50 * 0.15) + XLOOKUP(MAX($Z50, (XLOOKUP($A50, 'datos de inventario'!$A:$A, 'datos de inventario'!$F:$F, 0) * 1000000 / 4000)) + 0.1, Tarifas!$A$2:$A$33, IF(L50 &lt;= 9989, Tarifas!$B$2:$B$33, IF(L50 &lt;= 19989, Tarifas!$C$2:$C$33, Tarifas!$D$2:$D$33)), "Peso excedido", 1)) / L50))</f>
        <v>0.3960615322</v>
      </c>
      <c r="N50" s="32" t="s">
        <v>169</v>
      </c>
      <c r="O50" s="20"/>
      <c r="P50" s="33">
        <v>11.6</v>
      </c>
      <c r="Q50" s="34">
        <f t="shared" si="9"/>
        <v>49.71428571</v>
      </c>
      <c r="R50" s="34">
        <v>35.0</v>
      </c>
      <c r="S50" s="35">
        <f t="shared" si="10"/>
        <v>150</v>
      </c>
      <c r="T50" s="36">
        <v>45992.0</v>
      </c>
      <c r="U50" s="24">
        <f t="shared" si="11"/>
        <v>0.100050025</v>
      </c>
      <c r="V50" s="24">
        <f t="shared" si="12"/>
        <v>0.1111728738</v>
      </c>
      <c r="W50" s="25"/>
      <c r="X50" s="25"/>
      <c r="Y50" s="25"/>
      <c r="Z50" s="25"/>
      <c r="AA50" s="25"/>
      <c r="AB50" s="25">
        <f t="shared" si="4"/>
        <v>0</v>
      </c>
      <c r="AC50" s="25"/>
      <c r="AD50" s="25"/>
      <c r="AE50" s="25"/>
      <c r="AF50" s="25"/>
      <c r="AG50" s="25"/>
    </row>
    <row r="51">
      <c r="A51" s="20" t="s">
        <v>170</v>
      </c>
      <c r="B51" s="20" t="s">
        <v>171</v>
      </c>
      <c r="C51" s="20" t="s">
        <v>172</v>
      </c>
      <c r="D51" s="20">
        <f t="shared" si="7"/>
        <v>57</v>
      </c>
      <c r="E51" s="20" t="s">
        <v>173</v>
      </c>
      <c r="F51" s="20" t="s">
        <v>174</v>
      </c>
      <c r="G51" s="19">
        <f t="shared" si="8"/>
        <v>67</v>
      </c>
      <c r="H51" s="21">
        <v>18990.0</v>
      </c>
      <c r="I51" s="26">
        <f t="array" ref="I51">IF(OR(H51=0, H51=""), 0, 1 - ((((XLOOKUP($A51, 'datos de inventario'!$A:$A, 'datos de inventario'!$D:$D, 0) * 'datos de inventario'!$K$2) + (XLOOKUP($A51, 'datos de inventario'!$A:$A, 'datos de inventario'!$F:$F, 0) * 'datos de inventario'!$K$3 * 'datos de inventario'!$K$4)) * 1.19 + (H51 * 0.15) + XLOOKUP(MAX($Z51, (XLOOKUP($A51, 'datos de inventario'!$A:$A, 'datos de inventario'!$F:$F, 0) * 1000000 / 4000)) + 0.1, Tarifas!$A$2:$A$33, IF(H51 &lt;= 9989, Tarifas!$B$2:$B$33, IF(H51 &lt;= 19989, Tarifas!$C$2:$C$33, Tarifas!$D$2:$D$33)), "Peso excedido", 1)) / H51))</f>
        <v>0.4633800448</v>
      </c>
      <c r="J51" s="21">
        <v>16990.0</v>
      </c>
      <c r="K51" s="26">
        <f t="array" ref="K51">IF(OR(J51=0, J51=""), 0, 1 - ((((XLOOKUP($A51, 'datos de inventario'!$A:$A, 'datos de inventario'!$D:$D, 0) * 'datos de inventario'!$K$2) + (XLOOKUP($A51, 'datos de inventario'!$A:$A, 'datos de inventario'!$F:$F, 0) * 'datos de inventario'!$K$3 * 'datos de inventario'!$K$4)) * 1.19 + (J51 * 0.15) + XLOOKUP(MAX($Z51, (XLOOKUP($A51, 'datos de inventario'!$A:$A, 'datos de inventario'!$F:$F, 0) * 1000000 / 4000)) + 0.1, Tarifas!$A$2:$A$33, IF(J51 &lt;= 9989, Tarifas!$B$2:$B$33, IF(J51 &lt;= 19989, Tarifas!$C$2:$C$33, Tarifas!$D$2:$D$33)), "Peso excedido", 1)) / J51))</f>
        <v>0.4178685727</v>
      </c>
      <c r="L51" s="21">
        <v>14990.0</v>
      </c>
      <c r="M51" s="26">
        <f t="array" ref="M51">IF(OR(L51=0, L51=""), 0, 1 - ((((XLOOKUP($A51, 'datos de inventario'!$A:$A, 'datos de inventario'!$D:$D, 0) * 'datos de inventario'!$K$2) + (XLOOKUP($A51, 'datos de inventario'!$A:$A, 'datos de inventario'!$F:$F, 0) * 'datos de inventario'!$K$3 * 'datos de inventario'!$K$4)) * 1.19 + (L51 * 0.15) + XLOOKUP(MAX($Z51, (XLOOKUP($A51, 'datos de inventario'!$A:$A, 'datos de inventario'!$F:$F, 0) * 1000000 / 4000)) + 0.1, Tarifas!$A$2:$A$33, IF(L51 &lt;= 9989, Tarifas!$B$2:$B$33, IF(L51 &lt;= 19989, Tarifas!$C$2:$C$33, Tarifas!$D$2:$D$33)), "Peso excedido", 1)) / L51))</f>
        <v>0.3602126117</v>
      </c>
      <c r="N51" s="32" t="s">
        <v>175</v>
      </c>
      <c r="O51" s="20"/>
      <c r="P51" s="33">
        <v>15.3</v>
      </c>
      <c r="Q51" s="34">
        <f t="shared" si="9"/>
        <v>65.57142857</v>
      </c>
      <c r="R51" s="37">
        <v>46.7</v>
      </c>
      <c r="S51" s="35">
        <f t="shared" si="10"/>
        <v>200.1428571</v>
      </c>
      <c r="T51" s="36">
        <v>45992.0</v>
      </c>
      <c r="U51" s="24">
        <f t="shared" si="11"/>
        <v>0.1053185887</v>
      </c>
      <c r="V51" s="24">
        <f t="shared" si="12"/>
        <v>0.1177163037</v>
      </c>
      <c r="W51" s="25"/>
      <c r="X51" s="25"/>
      <c r="Y51" s="25"/>
      <c r="Z51" s="25"/>
      <c r="AA51" s="25"/>
      <c r="AB51" s="25">
        <f t="shared" si="4"/>
        <v>0</v>
      </c>
      <c r="AC51" s="25"/>
      <c r="AD51" s="25"/>
      <c r="AE51" s="25"/>
      <c r="AF51" s="25"/>
      <c r="AG51" s="25"/>
    </row>
    <row r="52">
      <c r="A52" s="18" t="s">
        <v>176</v>
      </c>
      <c r="B52" s="20"/>
      <c r="C52" s="20"/>
      <c r="D52" s="20"/>
      <c r="E52" s="20"/>
      <c r="F52" s="20"/>
      <c r="G52" s="19"/>
      <c r="H52" s="21">
        <v>2990.0</v>
      </c>
      <c r="I52" s="26">
        <f t="array" ref="I52">IF(OR(H52=0, H52=""), 0, 1 - ((((XLOOKUP($A52, 'datos de inventario'!$A:$A, 'datos de inventario'!$D:$D, 0) * 'datos de inventario'!$K$2) + (XLOOKUP($A52, 'datos de inventario'!$A:$A, 'datos de inventario'!$F:$F, 0) * 'datos de inventario'!$K$3 * 'datos de inventario'!$K$4)) * 1.19 + (H52 * 0.15) + XLOOKUP(MAX($Z52, (XLOOKUP($A52, 'datos de inventario'!$A:$A, 'datos de inventario'!$F:$F, 0) * 1000000 / 4000)) + 0.1, Tarifas!$A$2:$A$33, IF(H52 &lt;= 9989, Tarifas!$B$2:$B$33, IF(H52 &lt;= 19989, Tarifas!$C$2:$C$33, Tarifas!$D$2:$D$33)), "Peso excedido", 1)) / H52))</f>
        <v>0.5824414716</v>
      </c>
      <c r="J52" s="21">
        <v>2490.0</v>
      </c>
      <c r="K52" s="26">
        <f t="array" ref="K52">IF(OR(J52=0, J52=""), 0, 1 - ((((XLOOKUP($A52, 'datos de inventario'!$A:$A, 'datos de inventario'!$D:$D, 0) * 'datos de inventario'!$K$2) + (XLOOKUP($A52, 'datos de inventario'!$A:$A, 'datos de inventario'!$F:$F, 0) * 'datos de inventario'!$K$3 * 'datos de inventario'!$K$4)) * 1.19 + (J52 * 0.15) + XLOOKUP(MAX($Z52, (XLOOKUP($A52, 'datos de inventario'!$A:$A, 'datos de inventario'!$F:$F, 0) * 1000000 / 4000)) + 0.1, Tarifas!$A$2:$A$33, IF(J52 &lt;= 9989, Tarifas!$B$2:$B$33, IF(J52 &lt;= 19989, Tarifas!$C$2:$C$33, Tarifas!$D$2:$D$33)), "Peso excedido", 1)) / J52))</f>
        <v>0.5287148594</v>
      </c>
      <c r="L52" s="21">
        <v>1990.0</v>
      </c>
      <c r="M52" s="26">
        <f t="array" ref="M52">IF(OR(L52=0, L52=""), 0, 1 - ((((XLOOKUP($A52, 'datos de inventario'!$A:$A, 'datos de inventario'!$D:$D, 0) * 'datos de inventario'!$K$2) + (XLOOKUP($A52, 'datos de inventario'!$A:$A, 'datos de inventario'!$F:$F, 0) * 'datos de inventario'!$K$3 * 'datos de inventario'!$K$4)) * 1.19 + (L52 * 0.15) + XLOOKUP(MAX($Z52, (XLOOKUP($A52, 'datos de inventario'!$A:$A, 'datos de inventario'!$F:$F, 0) * 1000000 / 4000)) + 0.1, Tarifas!$A$2:$A$33, IF(L52 &lt;= 9989, Tarifas!$B$2:$B$33, IF(L52 &lt;= 19989, Tarifas!$C$2:$C$33, Tarifas!$D$2:$D$33)), "Peso excedido", 1)) / L52))</f>
        <v>0.4479899497</v>
      </c>
      <c r="N52" s="32"/>
      <c r="O52" s="20"/>
      <c r="P52" s="33"/>
      <c r="Q52" s="34"/>
      <c r="R52" s="37"/>
      <c r="S52" s="35"/>
      <c r="T52" s="36"/>
      <c r="U52" s="24"/>
      <c r="V52" s="24"/>
      <c r="W52" s="25"/>
      <c r="X52" s="25"/>
      <c r="Y52" s="25"/>
      <c r="Z52" s="25"/>
      <c r="AA52" s="25"/>
      <c r="AB52" s="25">
        <f t="shared" si="4"/>
        <v>0</v>
      </c>
      <c r="AC52" s="25"/>
      <c r="AD52" s="25"/>
      <c r="AE52" s="25"/>
      <c r="AF52" s="25"/>
      <c r="AG52" s="25"/>
    </row>
    <row r="53">
      <c r="A53" s="18" t="s">
        <v>177</v>
      </c>
      <c r="B53" s="20"/>
      <c r="C53" s="20"/>
      <c r="D53" s="20"/>
      <c r="E53" s="20"/>
      <c r="F53" s="20"/>
      <c r="G53" s="19"/>
      <c r="H53" s="21">
        <v>2490.0</v>
      </c>
      <c r="I53" s="26">
        <f t="array" ref="I53">IF(OR(H53=0, H53=""), 0, 1 - ((((XLOOKUP($A53, 'datos de inventario'!$A:$A, 'datos de inventario'!$D:$D, 0) * 'datos de inventario'!$K$2) + (XLOOKUP($A53, 'datos de inventario'!$A:$A, 'datos de inventario'!$F:$F, 0) * 'datos de inventario'!$K$3 * 'datos de inventario'!$K$4)) * 1.19 + (H53 * 0.15) + XLOOKUP(MAX($Z53, (XLOOKUP($A53, 'datos de inventario'!$A:$A, 'datos de inventario'!$F:$F, 0) * 1000000 / 4000)) + 0.1, Tarifas!$A$2:$A$33, IF(H53 &lt;= 9989, Tarifas!$B$2:$B$33, IF(H53 &lt;= 19989, Tarifas!$C$2:$C$33, Tarifas!$D$2:$D$33)), "Peso excedido", 1)) / H53))</f>
        <v>0.5287148594</v>
      </c>
      <c r="J53" s="21">
        <v>1990.0</v>
      </c>
      <c r="K53" s="26">
        <f t="array" ref="K53">IF(OR(J53=0, J53=""), 0, 1 - ((((XLOOKUP($A53, 'datos de inventario'!$A:$A, 'datos de inventario'!$D:$D, 0) * 'datos de inventario'!$K$2) + (XLOOKUP($A53, 'datos de inventario'!$A:$A, 'datos de inventario'!$F:$F, 0) * 'datos de inventario'!$K$3 * 'datos de inventario'!$K$4)) * 1.19 + (J53 * 0.15) + XLOOKUP(MAX($Z53, (XLOOKUP($A53, 'datos de inventario'!$A:$A, 'datos de inventario'!$F:$F, 0) * 1000000 / 4000)) + 0.1, Tarifas!$A$2:$A$33, IF(J53 &lt;= 9989, Tarifas!$B$2:$B$33, IF(J53 &lt;= 19989, Tarifas!$C$2:$C$33, Tarifas!$D$2:$D$33)), "Peso excedido", 1)) / J53))</f>
        <v>0.4479899497</v>
      </c>
      <c r="L53" s="21">
        <v>1490.0</v>
      </c>
      <c r="M53" s="26">
        <f t="array" ref="M53">IF(OR(L53=0, L53=""), 0, 1 - ((((XLOOKUP($A53, 'datos de inventario'!$A:$A, 'datos de inventario'!$D:$D, 0) * 'datos de inventario'!$K$2) + (XLOOKUP($A53, 'datos de inventario'!$A:$A, 'datos de inventario'!$F:$F, 0) * 'datos de inventario'!$K$3 * 'datos de inventario'!$K$4)) * 1.19 + (L53 * 0.15) + XLOOKUP(MAX($Z53, (XLOOKUP($A53, 'datos de inventario'!$A:$A, 'datos de inventario'!$F:$F, 0) * 1000000 / 4000)) + 0.1, Tarifas!$A$2:$A$33, IF(L53 &lt;= 9989, Tarifas!$B$2:$B$33, IF(L53 &lt;= 19989, Tarifas!$C$2:$C$33, Tarifas!$D$2:$D$33)), "Peso excedido", 1)) / L53))</f>
        <v>0.3130872483</v>
      </c>
      <c r="N53" s="32"/>
      <c r="O53" s="20"/>
      <c r="P53" s="33"/>
      <c r="Q53" s="34"/>
      <c r="R53" s="37"/>
      <c r="S53" s="35"/>
      <c r="T53" s="36"/>
      <c r="U53" s="24"/>
      <c r="V53" s="24"/>
      <c r="W53" s="25"/>
      <c r="X53" s="25"/>
      <c r="Y53" s="25"/>
      <c r="Z53" s="25"/>
      <c r="AA53" s="25"/>
      <c r="AB53" s="25">
        <f t="shared" si="4"/>
        <v>0</v>
      </c>
      <c r="AC53" s="25"/>
      <c r="AD53" s="25"/>
      <c r="AE53" s="25"/>
      <c r="AF53" s="25"/>
      <c r="AG53" s="25"/>
    </row>
    <row r="54">
      <c r="A54" s="20" t="s">
        <v>178</v>
      </c>
      <c r="B54" s="20" t="s">
        <v>179</v>
      </c>
      <c r="C54" s="18" t="s">
        <v>180</v>
      </c>
      <c r="D54" s="20">
        <f t="shared" ref="D54:D95" si="13">LEN(C54)</f>
        <v>55</v>
      </c>
      <c r="E54" s="18" t="s">
        <v>180</v>
      </c>
      <c r="F54" s="18" t="s">
        <v>180</v>
      </c>
      <c r="G54" s="19">
        <f t="shared" ref="G54:G91" si="14">LEN(F54)</f>
        <v>55</v>
      </c>
      <c r="H54" s="21">
        <v>8990.0</v>
      </c>
      <c r="I54" s="26">
        <f t="array" ref="I54">IF(OR(H54=0, H54=""), 0, 1 - ((((XLOOKUP($A54, 'datos de inventario'!$A:$A, 'datos de inventario'!$D:$D, 0) * 'datos de inventario'!$K$2) + (XLOOKUP($A54, 'datos de inventario'!$A:$A, 'datos de inventario'!$F:$F, 0) * 'datos de inventario'!$K$3 * 'datos de inventario'!$K$4)) * 1.19 + (H54 * 0.15) + XLOOKUP(MAX($Z54, (XLOOKUP($A54, 'datos de inventario'!$A:$A, 'datos de inventario'!$F:$F, 0) * 1000000 / 4000)) + 0.1, Tarifas!$A$2:$A$33, IF(H54 &lt;= 9989, Tarifas!$B$2:$B$33, IF(H54 &lt;= 19989, Tarifas!$C$2:$C$33, Tarifas!$D$2:$D$33)), "Peso excedido", 1)) / H54))</f>
        <v>0.5064457731</v>
      </c>
      <c r="J54" s="21">
        <v>7990.0</v>
      </c>
      <c r="K54" s="26">
        <f t="array" ref="K54">IF(OR(J54=0, J54=""), 0, 1 - ((((XLOOKUP($A54, 'datos de inventario'!$A:$A, 'datos de inventario'!$D:$D, 0) * 'datos de inventario'!$K$2) + (XLOOKUP($A54, 'datos de inventario'!$A:$A, 'datos de inventario'!$F:$F, 0) * 'datos de inventario'!$K$3 * 'datos de inventario'!$K$4)) * 1.19 + (J54 * 0.15) + XLOOKUP(MAX($Z54, (XLOOKUP($A54, 'datos de inventario'!$A:$A, 'datos de inventario'!$F:$F, 0) * 1000000 / 4000)) + 0.1, Tarifas!$A$2:$A$33, IF(J54 &lt;= 9989, Tarifas!$B$2:$B$33, IF(J54 &lt;= 19989, Tarifas!$C$2:$C$33, Tarifas!$D$2:$D$33)), "Peso excedido", 1)) / J54))</f>
        <v>0.4634477472</v>
      </c>
      <c r="L54" s="21">
        <v>6990.0</v>
      </c>
      <c r="M54" s="26">
        <f t="array" ref="M54">IF(OR(L54=0, L54=""), 0, 1 - ((((XLOOKUP($A54, 'datos de inventario'!$A:$A, 'datos de inventario'!$D:$D, 0) * 'datos de inventario'!$K$2) + (XLOOKUP($A54, 'datos de inventario'!$A:$A, 'datos de inventario'!$F:$F, 0) * 'datos de inventario'!$K$3 * 'datos de inventario'!$K$4)) * 1.19 + (L54 * 0.15) + XLOOKUP(MAX($Z54, (XLOOKUP($A54, 'datos de inventario'!$A:$A, 'datos de inventario'!$F:$F, 0) * 1000000 / 4000)) + 0.1, Tarifas!$A$2:$A$33, IF(L54 &lt;= 9989, Tarifas!$B$2:$B$33, IF(L54 &lt;= 19989, Tarifas!$C$2:$C$33, Tarifas!$D$2:$D$33)), "Peso excedido", 1)) / L54))</f>
        <v>0.4081469957</v>
      </c>
      <c r="N54" s="32" t="s">
        <v>181</v>
      </c>
      <c r="O54" s="20"/>
      <c r="P54" s="33">
        <v>9.3</v>
      </c>
      <c r="Q54" s="34">
        <f t="shared" ref="Q54:Q66" si="15">(P54/7)*30</f>
        <v>39.85714286</v>
      </c>
      <c r="R54" s="37">
        <v>28.0</v>
      </c>
      <c r="S54" s="35">
        <f t="shared" ref="S54:S66" si="16">(R54/7)*30</f>
        <v>120</v>
      </c>
      <c r="T54" s="36">
        <v>45992.0</v>
      </c>
      <c r="U54" s="24">
        <f t="shared" ref="U54:U225" si="17">1-(J54/H54)</f>
        <v>0.1112347052</v>
      </c>
      <c r="V54" s="24">
        <f t="shared" ref="V54:V225" si="18">1-(L54/J54)</f>
        <v>0.1251564456</v>
      </c>
      <c r="W54" s="25"/>
      <c r="X54" s="25"/>
      <c r="Y54" s="25"/>
      <c r="Z54" s="25"/>
      <c r="AA54" s="25"/>
      <c r="AB54" s="25">
        <f t="shared" si="4"/>
        <v>0</v>
      </c>
      <c r="AC54" s="25"/>
      <c r="AD54" s="25"/>
      <c r="AE54" s="25"/>
      <c r="AF54" s="25"/>
      <c r="AG54" s="25"/>
    </row>
    <row r="55">
      <c r="A55" s="20" t="s">
        <v>182</v>
      </c>
      <c r="B55" s="20" t="s">
        <v>183</v>
      </c>
      <c r="C55" s="18" t="s">
        <v>184</v>
      </c>
      <c r="D55" s="20">
        <f t="shared" si="13"/>
        <v>59</v>
      </c>
      <c r="E55" s="18" t="s">
        <v>185</v>
      </c>
      <c r="F55" s="18" t="s">
        <v>185</v>
      </c>
      <c r="G55" s="19">
        <f t="shared" si="14"/>
        <v>62</v>
      </c>
      <c r="H55" s="21">
        <v>6990.0</v>
      </c>
      <c r="I55" s="26">
        <f t="array" ref="I55">IF(OR(H55=0, H55=""), 0, 1 - ((((XLOOKUP($A55, 'datos de inventario'!$A:$A, 'datos de inventario'!$D:$D, 0) * 'datos de inventario'!$K$2) + (XLOOKUP($A55, 'datos de inventario'!$A:$A, 'datos de inventario'!$F:$F, 0) * 'datos de inventario'!$K$3 * 'datos de inventario'!$K$4)) * 1.19 + (H55 * 0.15) + XLOOKUP(MAX($Z55, (XLOOKUP($A55, 'datos de inventario'!$A:$A, 'datos de inventario'!$F:$F, 0) * 1000000 / 4000)) + 0.1, Tarifas!$A$2:$A$33, IF(H55 &lt;= 9989, Tarifas!$B$2:$B$33, IF(H55 &lt;= 19989, Tarifas!$C$2:$C$33, Tarifas!$D$2:$D$33)), "Peso excedido", 1)) / H55))</f>
        <v>0.5141409871</v>
      </c>
      <c r="J55" s="21">
        <v>5990.0</v>
      </c>
      <c r="K55" s="26">
        <f t="array" ref="K55">IF(OR(J55=0, J55=""), 0, 1 - ((((XLOOKUP($A55, 'datos de inventario'!$A:$A, 'datos de inventario'!$D:$D, 0) * 'datos de inventario'!$K$2) + (XLOOKUP($A55, 'datos de inventario'!$A:$A, 'datos de inventario'!$F:$F, 0) * 'datos de inventario'!$K$3 * 'datos de inventario'!$K$4)) * 1.19 + (J55 * 0.15) + XLOOKUP(MAX($Z55, (XLOOKUP($A55, 'datos de inventario'!$A:$A, 'datos de inventario'!$F:$F, 0) * 1000000 / 4000)) + 0.1, Tarifas!$A$2:$A$33, IF(J55 &lt;= 9989, Tarifas!$B$2:$B$33, IF(J55 &lt;= 19989, Tarifas!$C$2:$C$33, Tarifas!$D$2:$D$33)), "Peso excedido", 1)) / J55))</f>
        <v>0.4580710351</v>
      </c>
      <c r="L55" s="21">
        <v>4990.0</v>
      </c>
      <c r="M55" s="26">
        <f t="array" ref="M55">IF(OR(L55=0, L55=""), 0, 1 - ((((XLOOKUP($A55, 'datos de inventario'!$A:$A, 'datos de inventario'!$D:$D, 0) * 'datos de inventario'!$K$2) + (XLOOKUP($A55, 'datos de inventario'!$A:$A, 'datos de inventario'!$F:$F, 0) * 'datos de inventario'!$K$3 * 'datos de inventario'!$K$4)) * 1.19 + (L55 * 0.15) + XLOOKUP(MAX($Z55, (XLOOKUP($A55, 'datos de inventario'!$A:$A, 'datos de inventario'!$F:$F, 0) * 1000000 / 4000)) + 0.1, Tarifas!$A$2:$A$33, IF(L55 &lt;= 9989, Tarifas!$B$2:$B$33, IF(L55 &lt;= 19989, Tarifas!$C$2:$C$33, Tarifas!$D$2:$D$33)), "Peso excedido", 1)) / L55))</f>
        <v>0.3795281563</v>
      </c>
      <c r="N55" s="32" t="s">
        <v>181</v>
      </c>
      <c r="O55" s="20"/>
      <c r="P55" s="33">
        <v>5.3</v>
      </c>
      <c r="Q55" s="34">
        <f t="shared" si="15"/>
        <v>22.71428571</v>
      </c>
      <c r="R55" s="37">
        <v>16.0</v>
      </c>
      <c r="S55" s="35">
        <f t="shared" si="16"/>
        <v>68.57142857</v>
      </c>
      <c r="T55" s="36">
        <v>45992.0</v>
      </c>
      <c r="U55" s="24">
        <f t="shared" si="17"/>
        <v>0.1430615165</v>
      </c>
      <c r="V55" s="24">
        <f t="shared" si="18"/>
        <v>0.1669449082</v>
      </c>
      <c r="W55" s="25"/>
      <c r="X55" s="25"/>
      <c r="Y55" s="25"/>
      <c r="Z55" s="25"/>
      <c r="AA55" s="25"/>
      <c r="AB55" s="25">
        <f t="shared" si="4"/>
        <v>0</v>
      </c>
      <c r="AC55" s="25"/>
      <c r="AD55" s="25"/>
      <c r="AE55" s="25"/>
      <c r="AF55" s="25"/>
      <c r="AG55" s="25"/>
    </row>
    <row r="56">
      <c r="A56" s="20" t="s">
        <v>186</v>
      </c>
      <c r="B56" s="20" t="s">
        <v>187</v>
      </c>
      <c r="C56" s="18" t="s">
        <v>188</v>
      </c>
      <c r="D56" s="20">
        <f t="shared" si="13"/>
        <v>57</v>
      </c>
      <c r="E56" s="18" t="s">
        <v>189</v>
      </c>
      <c r="F56" s="18" t="s">
        <v>190</v>
      </c>
      <c r="G56" s="19">
        <f t="shared" si="14"/>
        <v>68</v>
      </c>
      <c r="H56" s="21">
        <v>8990.0</v>
      </c>
      <c r="I56" s="26">
        <f t="array" ref="I56">IF(OR(H56=0, H56=""), 0, 1 - ((((XLOOKUP($A56, 'datos de inventario'!$A:$A, 'datos de inventario'!$D:$D, 0) * 'datos de inventario'!$K$2) + (XLOOKUP($A56, 'datos de inventario'!$A:$A, 'datos de inventario'!$F:$F, 0) * 'datos de inventario'!$K$3 * 'datos de inventario'!$K$4)) * 1.19 + (H56 * 0.15) + XLOOKUP(MAX($Z56, (XLOOKUP($A56, 'datos de inventario'!$A:$A, 'datos de inventario'!$F:$F, 0) * 1000000 / 4000)) + 0.1, Tarifas!$A$2:$A$33, IF(H56 &lt;= 9989, Tarifas!$B$2:$B$33, IF(H56 &lt;= 19989, Tarifas!$C$2:$C$33, Tarifas!$D$2:$D$33)), "Peso excedido", 1)) / H56))</f>
        <v>0.5062112625</v>
      </c>
      <c r="J56" s="21">
        <v>7990.0</v>
      </c>
      <c r="K56" s="26">
        <f t="array" ref="K56">IF(OR(J56=0, J56=""), 0, 1 - ((((XLOOKUP($A56, 'datos de inventario'!$A:$A, 'datos de inventario'!$D:$D, 0) * 'datos de inventario'!$K$2) + (XLOOKUP($A56, 'datos de inventario'!$A:$A, 'datos de inventario'!$F:$F, 0) * 'datos de inventario'!$K$3 * 'datos de inventario'!$K$4)) * 1.19 + (J56 * 0.15) + XLOOKUP(MAX($Z56, (XLOOKUP($A56, 'datos de inventario'!$A:$A, 'datos de inventario'!$F:$F, 0) * 1000000 / 4000)) + 0.1, Tarifas!$A$2:$A$33, IF(J56 &lt;= 9989, Tarifas!$B$2:$B$33, IF(J56 &lt;= 19989, Tarifas!$C$2:$C$33, Tarifas!$D$2:$D$33)), "Peso excedido", 1)) / J56))</f>
        <v>0.4631838861</v>
      </c>
      <c r="L56" s="21">
        <v>6990.0</v>
      </c>
      <c r="M56" s="26">
        <f t="array" ref="M56">IF(OR(L56=0, L56=""), 0, 1 - ((((XLOOKUP($A56, 'datos de inventario'!$A:$A, 'datos de inventario'!$D:$D, 0) * 'datos de inventario'!$K$2) + (XLOOKUP($A56, 'datos de inventario'!$A:$A, 'datos de inventario'!$F:$F, 0) * 'datos de inventario'!$K$3 * 'datos de inventario'!$K$4)) * 1.19 + (L56 * 0.15) + XLOOKUP(MAX($Z56, (XLOOKUP($A56, 'datos de inventario'!$A:$A, 'datos de inventario'!$F:$F, 0) * 1000000 / 4000)) + 0.1, Tarifas!$A$2:$A$33, IF(L56 &lt;= 9989, Tarifas!$B$2:$B$33, IF(L56 &lt;= 19989, Tarifas!$C$2:$C$33, Tarifas!$D$2:$D$33)), "Peso excedido", 1)) / L56))</f>
        <v>0.4078453863</v>
      </c>
      <c r="N56" s="32" t="s">
        <v>191</v>
      </c>
      <c r="O56" s="20"/>
      <c r="P56" s="33">
        <v>9.3</v>
      </c>
      <c r="Q56" s="34">
        <f t="shared" si="15"/>
        <v>39.85714286</v>
      </c>
      <c r="R56" s="37">
        <v>28.0</v>
      </c>
      <c r="S56" s="35">
        <f t="shared" si="16"/>
        <v>120</v>
      </c>
      <c r="T56" s="36">
        <v>45992.0</v>
      </c>
      <c r="U56" s="24">
        <f t="shared" si="17"/>
        <v>0.1112347052</v>
      </c>
      <c r="V56" s="24">
        <f t="shared" si="18"/>
        <v>0.1251564456</v>
      </c>
      <c r="W56" s="25"/>
      <c r="X56" s="25"/>
      <c r="Y56" s="25"/>
      <c r="Z56" s="25"/>
      <c r="AA56" s="25"/>
      <c r="AB56" s="25">
        <f t="shared" si="4"/>
        <v>0</v>
      </c>
      <c r="AC56" s="25"/>
      <c r="AD56" s="25"/>
      <c r="AE56" s="25"/>
      <c r="AF56" s="25"/>
      <c r="AG56" s="25"/>
    </row>
    <row r="57">
      <c r="A57" s="20" t="s">
        <v>192</v>
      </c>
      <c r="B57" s="20" t="s">
        <v>193</v>
      </c>
      <c r="C57" s="18" t="s">
        <v>194</v>
      </c>
      <c r="D57" s="20">
        <f t="shared" si="13"/>
        <v>57</v>
      </c>
      <c r="E57" s="18" t="s">
        <v>195</v>
      </c>
      <c r="F57" s="18" t="s">
        <v>196</v>
      </c>
      <c r="G57" s="19">
        <f t="shared" si="14"/>
        <v>70</v>
      </c>
      <c r="H57" s="21">
        <v>8990.0</v>
      </c>
      <c r="I57" s="26">
        <f t="array" ref="I57">IF(OR(H57=0, H57=""), 0, 1 - ((((XLOOKUP($A57, 'datos de inventario'!$A:$A, 'datos de inventario'!$D:$D, 0) * 'datos de inventario'!$K$2) + (XLOOKUP($A57, 'datos de inventario'!$A:$A, 'datos de inventario'!$F:$F, 0) * 'datos de inventario'!$K$3 * 'datos de inventario'!$K$4)) * 1.19 + (H57 * 0.15) + XLOOKUP(MAX($Z57, (XLOOKUP($A57, 'datos de inventario'!$A:$A, 'datos de inventario'!$F:$F, 0) * 1000000 / 4000)) + 0.1, Tarifas!$A$2:$A$33, IF(H57 &lt;= 9989, Tarifas!$B$2:$B$33, IF(H57 &lt;= 19989, Tarifas!$C$2:$C$33, Tarifas!$D$2:$D$33)), "Peso excedido", 1)) / H57))</f>
        <v>0.5282507508</v>
      </c>
      <c r="J57" s="21">
        <v>7990.0</v>
      </c>
      <c r="K57" s="26">
        <f t="array" ref="K57">IF(OR(J57=0, J57=""), 0, 1 - ((((XLOOKUP($A57, 'datos de inventario'!$A:$A, 'datos de inventario'!$D:$D, 0) * 'datos de inventario'!$K$2) + (XLOOKUP($A57, 'datos de inventario'!$A:$A, 'datos de inventario'!$F:$F, 0) * 'datos de inventario'!$K$3 * 'datos de inventario'!$K$4)) * 1.19 + (J57 * 0.15) + XLOOKUP(MAX($Z57, (XLOOKUP($A57, 'datos de inventario'!$A:$A, 'datos de inventario'!$F:$F, 0) * 1000000 / 4000)) + 0.1, Tarifas!$A$2:$A$33, IF(J57 &lt;= 9989, Tarifas!$B$2:$B$33, IF(J57 &lt;= 19989, Tarifas!$C$2:$C$33, Tarifas!$D$2:$D$33)), "Peso excedido", 1)) / J57))</f>
        <v>0.4879817584</v>
      </c>
      <c r="L57" s="21">
        <v>6990.0</v>
      </c>
      <c r="M57" s="26">
        <f t="array" ref="M57">IF(OR(L57=0, L57=""), 0, 1 - ((((XLOOKUP($A57, 'datos de inventario'!$A:$A, 'datos de inventario'!$D:$D, 0) * 'datos de inventario'!$K$2) + (XLOOKUP($A57, 'datos de inventario'!$A:$A, 'datos de inventario'!$F:$F, 0) * 'datos de inventario'!$K$3 * 'datos de inventario'!$K$4)) * 1.19 + (L57 * 0.15) + XLOOKUP(MAX($Z57, (XLOOKUP($A57, 'datos de inventario'!$A:$A, 'datos de inventario'!$F:$F, 0) * 1000000 / 4000)) + 0.1, Tarifas!$A$2:$A$33, IF(L57 &lt;= 9989, Tarifas!$B$2:$B$33, IF(L57 &lt;= 19989, Tarifas!$C$2:$C$33, Tarifas!$D$2:$D$33)), "Peso excedido", 1)) / L57))</f>
        <v>0.4361908798</v>
      </c>
      <c r="N57" s="32" t="s">
        <v>191</v>
      </c>
      <c r="O57" s="20"/>
      <c r="P57" s="33">
        <v>9.4</v>
      </c>
      <c r="Q57" s="34">
        <f t="shared" si="15"/>
        <v>40.28571429</v>
      </c>
      <c r="R57" s="37">
        <v>28.0</v>
      </c>
      <c r="S57" s="35">
        <f t="shared" si="16"/>
        <v>120</v>
      </c>
      <c r="T57" s="36">
        <v>45992.0</v>
      </c>
      <c r="U57" s="24">
        <f t="shared" si="17"/>
        <v>0.1112347052</v>
      </c>
      <c r="V57" s="24">
        <f t="shared" si="18"/>
        <v>0.1251564456</v>
      </c>
      <c r="W57" s="25"/>
      <c r="X57" s="25"/>
      <c r="Y57" s="25"/>
      <c r="Z57" s="25"/>
      <c r="AA57" s="25"/>
      <c r="AB57" s="25">
        <f t="shared" si="4"/>
        <v>0</v>
      </c>
      <c r="AC57" s="25"/>
      <c r="AD57" s="25"/>
      <c r="AE57" s="25"/>
      <c r="AF57" s="25"/>
      <c r="AG57" s="25"/>
    </row>
    <row r="58">
      <c r="A58" s="20" t="s">
        <v>197</v>
      </c>
      <c r="B58" s="20" t="s">
        <v>198</v>
      </c>
      <c r="C58" s="18" t="s">
        <v>199</v>
      </c>
      <c r="D58" s="20">
        <f t="shared" si="13"/>
        <v>59</v>
      </c>
      <c r="E58" s="18" t="s">
        <v>200</v>
      </c>
      <c r="F58" s="18" t="s">
        <v>201</v>
      </c>
      <c r="G58" s="19">
        <f t="shared" si="14"/>
        <v>65</v>
      </c>
      <c r="H58" s="21">
        <v>8990.0</v>
      </c>
      <c r="I58" s="26">
        <f t="array" ref="I58">IF(OR(H58=0, H58=""), 0, 1 - ((((XLOOKUP($A58, 'datos de inventario'!$A:$A, 'datos de inventario'!$D:$D, 0) * 'datos de inventario'!$K$2) + (XLOOKUP($A58, 'datos de inventario'!$A:$A, 'datos de inventario'!$F:$F, 0) * 'datos de inventario'!$K$3 * 'datos de inventario'!$K$4)) * 1.19 + (H58 * 0.15) + XLOOKUP(MAX($Z58, (XLOOKUP($A58, 'datos de inventario'!$A:$A, 'datos de inventario'!$F:$F, 0) * 1000000 / 4000)) + 0.1, Tarifas!$A$2:$A$33, IF(H58 &lt;= 9989, Tarifas!$B$2:$B$33, IF(H58 &lt;= 19989, Tarifas!$C$2:$C$33, Tarifas!$D$2:$D$33)), "Peso excedido", 1)) / H58))</f>
        <v>0.405196941</v>
      </c>
      <c r="J58" s="21">
        <v>7990.0</v>
      </c>
      <c r="K58" s="26">
        <f t="array" ref="K58">IF(OR(J58=0, J58=""), 0, 1 - ((((XLOOKUP($A58, 'datos de inventario'!$A:$A, 'datos de inventario'!$D:$D, 0) * 'datos de inventario'!$K$2) + (XLOOKUP($A58, 'datos de inventario'!$A:$A, 'datos de inventario'!$F:$F, 0) * 'datos de inventario'!$K$3 * 'datos de inventario'!$K$4)) * 1.19 + (J58 * 0.15) + XLOOKUP(MAX($Z58, (XLOOKUP($A58, 'datos de inventario'!$A:$A, 'datos de inventario'!$F:$F, 0) * 1000000 / 4000)) + 0.1, Tarifas!$A$2:$A$33, IF(J58 &lt;= 9989, Tarifas!$B$2:$B$33, IF(J58 &lt;= 19989, Tarifas!$C$2:$C$33, Tarifas!$D$2:$D$33)), "Peso excedido", 1)) / J58))</f>
        <v>0.3495269712</v>
      </c>
      <c r="L58" s="21">
        <v>6990.0</v>
      </c>
      <c r="M58" s="26">
        <f t="array" ref="M58">IF(OR(L58=0, L58=""), 0, 1 - ((((XLOOKUP($A58, 'datos de inventario'!$A:$A, 'datos de inventario'!$D:$D, 0) * 'datos de inventario'!$K$2) + (XLOOKUP($A58, 'datos de inventario'!$A:$A, 'datos de inventario'!$F:$F, 0) * 'datos de inventario'!$K$3 * 'datos de inventario'!$K$4)) * 1.19 + (L58 * 0.15) + XLOOKUP(MAX($Z58, (XLOOKUP($A58, 'datos de inventario'!$A:$A, 'datos de inventario'!$F:$F, 0) * 1000000 / 4000)) + 0.1, Tarifas!$A$2:$A$33, IF(L58 &lt;= 9989, Tarifas!$B$2:$B$33, IF(L58 &lt;= 19989, Tarifas!$C$2:$C$33, Tarifas!$D$2:$D$33)), "Peso excedido", 1)) / L58))</f>
        <v>0.2779285408</v>
      </c>
      <c r="N58" s="32" t="s">
        <v>191</v>
      </c>
      <c r="O58" s="20"/>
      <c r="P58" s="33">
        <v>9.5</v>
      </c>
      <c r="Q58" s="34">
        <f t="shared" si="15"/>
        <v>40.71428571</v>
      </c>
      <c r="R58" s="37">
        <v>28.0</v>
      </c>
      <c r="S58" s="35">
        <f t="shared" si="16"/>
        <v>120</v>
      </c>
      <c r="T58" s="36">
        <v>45992.0</v>
      </c>
      <c r="U58" s="24">
        <f t="shared" si="17"/>
        <v>0.1112347052</v>
      </c>
      <c r="V58" s="24">
        <f t="shared" si="18"/>
        <v>0.1251564456</v>
      </c>
      <c r="W58" s="25"/>
      <c r="X58" s="25"/>
      <c r="Y58" s="25"/>
      <c r="Z58" s="25"/>
      <c r="AA58" s="25"/>
      <c r="AB58" s="25">
        <f t="shared" si="4"/>
        <v>0</v>
      </c>
      <c r="AC58" s="25"/>
      <c r="AD58" s="25"/>
      <c r="AE58" s="25"/>
      <c r="AF58" s="25"/>
      <c r="AG58" s="25"/>
    </row>
    <row r="59">
      <c r="A59" s="20" t="s">
        <v>202</v>
      </c>
      <c r="B59" s="20" t="s">
        <v>203</v>
      </c>
      <c r="C59" s="18" t="s">
        <v>204</v>
      </c>
      <c r="D59" s="20">
        <f t="shared" si="13"/>
        <v>59</v>
      </c>
      <c r="E59" s="18" t="s">
        <v>205</v>
      </c>
      <c r="F59" s="18" t="s">
        <v>206</v>
      </c>
      <c r="G59" s="19">
        <f t="shared" si="14"/>
        <v>65</v>
      </c>
      <c r="H59" s="21">
        <v>9990.0</v>
      </c>
      <c r="I59" s="26">
        <f t="array" ref="I59">IF(OR(H59=0, H59=""), 0, 1 - ((((XLOOKUP($A59, 'datos de inventario'!$A:$A, 'datos de inventario'!$D:$D, 0) * 'datos de inventario'!$K$2) + (XLOOKUP($A59, 'datos de inventario'!$A:$A, 'datos de inventario'!$F:$F, 0) * 'datos de inventario'!$K$3 * 'datos de inventario'!$K$4)) * 1.19 + (H59 * 0.15) + XLOOKUP(MAX($Z59, (XLOOKUP($A59, 'datos de inventario'!$A:$A, 'datos de inventario'!$F:$F, 0) * 1000000 / 4000)) + 0.1, Tarifas!$A$2:$A$33, IF(H59 &lt;= 9989, Tarifas!$B$2:$B$33, IF(H59 &lt;= 19989, Tarifas!$C$2:$C$33, Tarifas!$D$2:$D$33)), "Peso excedido", 1)) / H59))</f>
        <v>0.3747006757</v>
      </c>
      <c r="J59" s="21">
        <v>8990.0</v>
      </c>
      <c r="K59" s="26">
        <f t="array" ref="K59">IF(OR(J59=0, J59=""), 0, 1 - ((((XLOOKUP($A59, 'datos de inventario'!$A:$A, 'datos de inventario'!$D:$D, 0) * 'datos de inventario'!$K$2) + (XLOOKUP($A59, 'datos de inventario'!$A:$A, 'datos de inventario'!$F:$F, 0) * 'datos de inventario'!$K$3 * 'datos de inventario'!$K$4)) * 1.19 + (J59 * 0.15) + XLOOKUP(MAX($Z59, (XLOOKUP($A59, 'datos de inventario'!$A:$A, 'datos de inventario'!$F:$F, 0) * 1000000 / 4000)) + 0.1, Tarifas!$A$2:$A$33, IF(J59 &lt;= 9989, Tarifas!$B$2:$B$33, IF(J59 &lt;= 19989, Tarifas!$C$2:$C$33, Tarifas!$D$2:$D$33)), "Peso excedido", 1)) / J59))</f>
        <v>0.3451901835</v>
      </c>
      <c r="L59" s="21">
        <v>7990.0</v>
      </c>
      <c r="M59" s="26">
        <f t="array" ref="M59">IF(OR(L59=0, L59=""), 0, 1 - ((((XLOOKUP($A59, 'datos de inventario'!$A:$A, 'datos de inventario'!$D:$D, 0) * 'datos de inventario'!$K$2) + (XLOOKUP($A59, 'datos de inventario'!$A:$A, 'datos de inventario'!$F:$F, 0) * 'datos de inventario'!$K$3 * 'datos de inventario'!$K$4)) * 1.19 + (L59 * 0.15) + XLOOKUP(MAX($Z59, (XLOOKUP($A59, 'datos de inventario'!$A:$A, 'datos de inventario'!$F:$F, 0) * 1000000 / 4000)) + 0.1, Tarifas!$A$2:$A$33, IF(L59 &lt;= 9989, Tarifas!$B$2:$B$33, IF(L59 &lt;= 19989, Tarifas!$C$2:$C$33, Tarifas!$D$2:$D$33)), "Peso excedido", 1)) / L59))</f>
        <v>0.2820099812</v>
      </c>
      <c r="N59" s="32" t="s">
        <v>191</v>
      </c>
      <c r="O59" s="20"/>
      <c r="P59" s="33">
        <v>9.6</v>
      </c>
      <c r="Q59" s="34">
        <f t="shared" si="15"/>
        <v>41.14285714</v>
      </c>
      <c r="R59" s="37">
        <v>28.0</v>
      </c>
      <c r="S59" s="35">
        <f t="shared" si="16"/>
        <v>120</v>
      </c>
      <c r="T59" s="36">
        <v>45992.0</v>
      </c>
      <c r="U59" s="24">
        <f t="shared" si="17"/>
        <v>0.1001001001</v>
      </c>
      <c r="V59" s="24">
        <f t="shared" si="18"/>
        <v>0.1112347052</v>
      </c>
      <c r="W59" s="25"/>
      <c r="X59" s="25"/>
      <c r="Y59" s="25"/>
      <c r="Z59" s="25"/>
      <c r="AA59" s="25"/>
      <c r="AB59" s="25">
        <f t="shared" si="4"/>
        <v>0</v>
      </c>
      <c r="AC59" s="25"/>
      <c r="AD59" s="25"/>
      <c r="AE59" s="25"/>
      <c r="AF59" s="25"/>
      <c r="AG59" s="25"/>
    </row>
    <row r="60">
      <c r="A60" s="20" t="s">
        <v>207</v>
      </c>
      <c r="B60" s="20" t="s">
        <v>208</v>
      </c>
      <c r="C60" s="18" t="s">
        <v>209</v>
      </c>
      <c r="D60" s="20">
        <f t="shared" si="13"/>
        <v>55</v>
      </c>
      <c r="E60" s="18" t="s">
        <v>210</v>
      </c>
      <c r="F60" s="18" t="s">
        <v>211</v>
      </c>
      <c r="G60" s="19">
        <f t="shared" si="14"/>
        <v>65</v>
      </c>
      <c r="H60" s="21">
        <v>4990.0</v>
      </c>
      <c r="I60" s="26">
        <f t="array" ref="I60">IF(OR(H60=0, H60=""), 0, 1 - ((((XLOOKUP($A60, 'datos de inventario'!$A:$A, 'datos de inventario'!$D:$D, 0) * 'datos de inventario'!$K$2) + (XLOOKUP($A60, 'datos de inventario'!$A:$A, 'datos de inventario'!$F:$F, 0) * 'datos de inventario'!$K$3 * 'datos de inventario'!$K$4)) * 1.19 + (H60 * 0.15) + XLOOKUP(MAX($Z60, (XLOOKUP($A60, 'datos de inventario'!$A:$A, 'datos de inventario'!$F:$F, 0) * 1000000 / 4000)) + 0.1, Tarifas!$A$2:$A$33, IF(H60 &lt;= 9989, Tarifas!$B$2:$B$33, IF(H60 &lt;= 19989, Tarifas!$C$2:$C$33, Tarifas!$D$2:$D$33)), "Peso excedido", 1)) / H60))</f>
        <v>0.5149711423</v>
      </c>
      <c r="J60" s="21">
        <v>3990.0</v>
      </c>
      <c r="K60" s="26">
        <f t="array" ref="K60">IF(OR(J60=0, J60=""), 0, 1 - ((((XLOOKUP($A60, 'datos de inventario'!$A:$A, 'datos de inventario'!$D:$D, 0) * 'datos de inventario'!$K$2) + (XLOOKUP($A60, 'datos de inventario'!$A:$A, 'datos de inventario'!$F:$F, 0) * 'datos de inventario'!$K$3 * 'datos de inventario'!$K$4)) * 1.19 + (J60 * 0.15) + XLOOKUP(MAX($Z60, (XLOOKUP($A60, 'datos de inventario'!$A:$A, 'datos de inventario'!$F:$F, 0) * 1000000 / 4000)) + 0.1, Tarifas!$A$2:$A$33, IF(J60 &lt;= 9989, Tarifas!$B$2:$B$33, IF(J60 &lt;= 19989, Tarifas!$C$2:$C$33, Tarifas!$D$2:$D$33)), "Peso excedido", 1)) / J60))</f>
        <v>0.43100401</v>
      </c>
      <c r="L60" s="21">
        <v>2990.0</v>
      </c>
      <c r="M60" s="26">
        <f t="array" ref="M60">IF(OR(L60=0, L60=""), 0, 1 - ((((XLOOKUP($A60, 'datos de inventario'!$A:$A, 'datos de inventario'!$D:$D, 0) * 'datos de inventario'!$K$2) + (XLOOKUP($A60, 'datos de inventario'!$A:$A, 'datos de inventario'!$F:$F, 0) * 'datos de inventario'!$K$3 * 'datos de inventario'!$K$4)) * 1.19 + (L60 * 0.15) + XLOOKUP(MAX($Z60, (XLOOKUP($A60, 'datos de inventario'!$A:$A, 'datos de inventario'!$F:$F, 0) * 1000000 / 4000)) + 0.1, Tarifas!$A$2:$A$33, IF(L60 &lt;= 9989, Tarifas!$B$2:$B$33, IF(L60 &lt;= 19989, Tarifas!$C$2:$C$33, Tarifas!$D$2:$D$33)), "Peso excedido", 1)) / L60))</f>
        <v>0.2908715719</v>
      </c>
      <c r="N60" s="32" t="s">
        <v>191</v>
      </c>
      <c r="O60" s="20"/>
      <c r="P60" s="33">
        <v>7.7</v>
      </c>
      <c r="Q60" s="34">
        <f t="shared" si="15"/>
        <v>33</v>
      </c>
      <c r="R60" s="37">
        <v>23.0</v>
      </c>
      <c r="S60" s="35">
        <f t="shared" si="16"/>
        <v>98.57142857</v>
      </c>
      <c r="T60" s="36">
        <v>45992.0</v>
      </c>
      <c r="U60" s="24">
        <f t="shared" si="17"/>
        <v>0.2004008016</v>
      </c>
      <c r="V60" s="24">
        <f t="shared" si="18"/>
        <v>0.2506265664</v>
      </c>
      <c r="W60" s="25"/>
      <c r="X60" s="25"/>
      <c r="Y60" s="25"/>
      <c r="Z60" s="25"/>
      <c r="AA60" s="25"/>
      <c r="AB60" s="25">
        <f t="shared" si="4"/>
        <v>0</v>
      </c>
      <c r="AC60" s="25"/>
      <c r="AD60" s="25"/>
      <c r="AE60" s="25"/>
      <c r="AF60" s="25"/>
      <c r="AG60" s="25"/>
    </row>
    <row r="61">
      <c r="A61" s="20" t="s">
        <v>212</v>
      </c>
      <c r="B61" s="20" t="s">
        <v>213</v>
      </c>
      <c r="C61" s="18" t="s">
        <v>214</v>
      </c>
      <c r="D61" s="20">
        <f t="shared" si="13"/>
        <v>60</v>
      </c>
      <c r="E61" s="18" t="s">
        <v>215</v>
      </c>
      <c r="F61" s="18" t="s">
        <v>215</v>
      </c>
      <c r="G61" s="19">
        <f t="shared" si="14"/>
        <v>63</v>
      </c>
      <c r="H61" s="21">
        <v>9990.0</v>
      </c>
      <c r="I61" s="26">
        <f t="array" ref="I61">IF(OR(H61=0, H61=""), 0, 1 - ((((XLOOKUP($A61, 'datos de inventario'!$A:$A, 'datos de inventario'!$D:$D, 0) * 'datos de inventario'!$K$2) + (XLOOKUP($A61, 'datos de inventario'!$A:$A, 'datos de inventario'!$F:$F, 0) * 'datos de inventario'!$K$3 * 'datos de inventario'!$K$4)) * 1.19 + (H61 * 0.15) + XLOOKUP(MAX($Z61, (XLOOKUP($A61, 'datos de inventario'!$A:$A, 'datos de inventario'!$F:$F, 0) * 1000000 / 4000)) + 0.1, Tarifas!$A$2:$A$33, IF(H61 &lt;= 9989, Tarifas!$B$2:$B$33, IF(H61 &lt;= 19989, Tarifas!$C$2:$C$33, Tarifas!$D$2:$D$33)), "Peso excedido", 1)) / H61))</f>
        <v>0.4065628629</v>
      </c>
      <c r="J61" s="21">
        <v>8990.0</v>
      </c>
      <c r="K61" s="26">
        <f t="array" ref="K61">IF(OR(J61=0, J61=""), 0, 1 - ((((XLOOKUP($A61, 'datos de inventario'!$A:$A, 'datos de inventario'!$D:$D, 0) * 'datos de inventario'!$K$2) + (XLOOKUP($A61, 'datos de inventario'!$A:$A, 'datos de inventario'!$F:$F, 0) * 'datos de inventario'!$K$3 * 'datos de inventario'!$K$4)) * 1.19 + (J61 * 0.15) + XLOOKUP(MAX($Z61, (XLOOKUP($A61, 'datos de inventario'!$A:$A, 'datos de inventario'!$F:$F, 0) * 1000000 / 4000)) + 0.1, Tarifas!$A$2:$A$33, IF(J61 &lt;= 9989, Tarifas!$B$2:$B$33, IF(J61 &lt;= 19989, Tarifas!$C$2:$C$33, Tarifas!$D$2:$D$33)), "Peso excedido", 1)) / J61))</f>
        <v>0.3794842047</v>
      </c>
      <c r="L61" s="21">
        <v>7990.0</v>
      </c>
      <c r="M61" s="26">
        <f t="array" ref="M61">IF(OR(L61=0, L61=""), 0, 1 - ((((XLOOKUP($A61, 'datos de inventario'!$A:$A, 'datos de inventario'!$D:$D, 0) * 'datos de inventario'!$K$2) + (XLOOKUP($A61, 'datos de inventario'!$A:$A, 'datos de inventario'!$F:$F, 0) * 'datos de inventario'!$K$3 * 'datos de inventario'!$K$4)) * 1.19 + (L61 * 0.15) + XLOOKUP(MAX($Z61, (XLOOKUP($A61, 'datos de inventario'!$A:$A, 'datos de inventario'!$F:$F, 0) * 1000000 / 4000)) + 0.1, Tarifas!$A$2:$A$33, IF(L61 &lt;= 9989, Tarifas!$B$2:$B$33, IF(L61 &lt;= 19989, Tarifas!$C$2:$C$33, Tarifas!$D$2:$D$33)), "Peso excedido", 1)) / L61))</f>
        <v>0.3205961202</v>
      </c>
      <c r="N61" s="32" t="s">
        <v>216</v>
      </c>
      <c r="O61" s="20"/>
      <c r="P61" s="33">
        <v>10.0</v>
      </c>
      <c r="Q61" s="34">
        <f t="shared" si="15"/>
        <v>42.85714286</v>
      </c>
      <c r="R61" s="37">
        <v>30.0</v>
      </c>
      <c r="S61" s="35">
        <f t="shared" si="16"/>
        <v>128.5714286</v>
      </c>
      <c r="T61" s="36">
        <v>45992.0</v>
      </c>
      <c r="U61" s="24">
        <f t="shared" si="17"/>
        <v>0.1001001001</v>
      </c>
      <c r="V61" s="24">
        <f t="shared" si="18"/>
        <v>0.1112347052</v>
      </c>
      <c r="W61" s="25"/>
      <c r="X61" s="25"/>
      <c r="Y61" s="25"/>
      <c r="Z61" s="25"/>
      <c r="AA61" s="25"/>
      <c r="AB61" s="25">
        <f t="shared" si="4"/>
        <v>0</v>
      </c>
      <c r="AC61" s="25"/>
      <c r="AD61" s="25"/>
      <c r="AE61" s="25"/>
      <c r="AF61" s="25"/>
      <c r="AG61" s="25"/>
    </row>
    <row r="62">
      <c r="A62" s="20" t="s">
        <v>217</v>
      </c>
      <c r="B62" s="20" t="s">
        <v>218</v>
      </c>
      <c r="C62" s="18" t="s">
        <v>219</v>
      </c>
      <c r="D62" s="20">
        <f t="shared" si="13"/>
        <v>56</v>
      </c>
      <c r="E62" s="18" t="s">
        <v>220</v>
      </c>
      <c r="F62" s="18" t="s">
        <v>221</v>
      </c>
      <c r="G62" s="19">
        <f t="shared" si="14"/>
        <v>69</v>
      </c>
      <c r="H62" s="21">
        <v>6990.0</v>
      </c>
      <c r="I62" s="26">
        <f t="array" ref="I62">IF(OR(H62=0, H62=""), 0, 1 - ((((XLOOKUP($A62, 'datos de inventario'!$A:$A, 'datos de inventario'!$D:$D, 0) * 'datos de inventario'!$K$2) + (XLOOKUP($A62, 'datos de inventario'!$A:$A, 'datos de inventario'!$F:$F, 0) * 'datos de inventario'!$K$3 * 'datos de inventario'!$K$4)) * 1.19 + (H62 * 0.15) + XLOOKUP(MAX($Z62, (XLOOKUP($A62, 'datos de inventario'!$A:$A, 'datos de inventario'!$F:$F, 0) * 1000000 / 4000)) + 0.1, Tarifas!$A$2:$A$33, IF(H62 &lt;= 9989, Tarifas!$B$2:$B$33, IF(H62 &lt;= 19989, Tarifas!$C$2:$C$33, Tarifas!$D$2:$D$33)), "Peso excedido", 1)) / H62))</f>
        <v>0.4722393062</v>
      </c>
      <c r="J62" s="21">
        <v>5990.0</v>
      </c>
      <c r="K62" s="26">
        <f t="array" ref="K62">IF(OR(J62=0, J62=""), 0, 1 - ((((XLOOKUP($A62, 'datos de inventario'!$A:$A, 'datos de inventario'!$D:$D, 0) * 'datos de inventario'!$K$2) + (XLOOKUP($A62, 'datos de inventario'!$A:$A, 'datos de inventario'!$F:$F, 0) * 'datos de inventario'!$K$3 * 'datos de inventario'!$K$4)) * 1.19 + (J62 * 0.15) + XLOOKUP(MAX($Z62, (XLOOKUP($A62, 'datos de inventario'!$A:$A, 'datos de inventario'!$F:$F, 0) * 1000000 / 4000)) + 0.1, Tarifas!$A$2:$A$33, IF(J62 &lt;= 9989, Tarifas!$B$2:$B$33, IF(J62 &lt;= 19989, Tarifas!$C$2:$C$33, Tarifas!$D$2:$D$33)), "Peso excedido", 1)) / J62))</f>
        <v>0.4091740818</v>
      </c>
      <c r="L62" s="21">
        <v>4990.0</v>
      </c>
      <c r="M62" s="26">
        <f t="array" ref="M62">IF(OR(L62=0, L62=""), 0, 1 - ((((XLOOKUP($A62, 'datos de inventario'!$A:$A, 'datos de inventario'!$D:$D, 0) * 'datos de inventario'!$K$2) + (XLOOKUP($A62, 'datos de inventario'!$A:$A, 'datos de inventario'!$F:$F, 0) * 'datos de inventario'!$K$3 * 'datos de inventario'!$K$4)) * 1.19 + (L62 * 0.15) + XLOOKUP(MAX($Z62, (XLOOKUP($A62, 'datos de inventario'!$A:$A, 'datos de inventario'!$F:$F, 0) * 1000000 / 4000)) + 0.1, Tarifas!$A$2:$A$33, IF(L62 &lt;= 9989, Tarifas!$B$2:$B$33, IF(L62 &lt;= 19989, Tarifas!$C$2:$C$33, Tarifas!$D$2:$D$33)), "Peso excedido", 1)) / L62))</f>
        <v>0.3208322144</v>
      </c>
      <c r="N62" s="38" t="s">
        <v>222</v>
      </c>
      <c r="O62" s="20"/>
      <c r="P62" s="33">
        <v>9.6</v>
      </c>
      <c r="Q62" s="34">
        <f t="shared" si="15"/>
        <v>41.14285714</v>
      </c>
      <c r="R62" s="37">
        <v>28.0</v>
      </c>
      <c r="S62" s="35">
        <f t="shared" si="16"/>
        <v>120</v>
      </c>
      <c r="T62" s="36">
        <v>45992.0</v>
      </c>
      <c r="U62" s="24">
        <f t="shared" si="17"/>
        <v>0.1430615165</v>
      </c>
      <c r="V62" s="24">
        <f t="shared" si="18"/>
        <v>0.1669449082</v>
      </c>
      <c r="W62" s="25"/>
      <c r="X62" s="25"/>
      <c r="Y62" s="25"/>
      <c r="Z62" s="25"/>
      <c r="AA62" s="25"/>
      <c r="AB62" s="25">
        <f t="shared" si="4"/>
        <v>0</v>
      </c>
      <c r="AC62" s="25"/>
      <c r="AD62" s="25"/>
      <c r="AE62" s="25"/>
      <c r="AF62" s="25"/>
      <c r="AG62" s="25"/>
    </row>
    <row r="63">
      <c r="A63" s="39" t="s">
        <v>223</v>
      </c>
      <c r="B63" s="18" t="s">
        <v>224</v>
      </c>
      <c r="C63" s="18" t="s">
        <v>225</v>
      </c>
      <c r="D63" s="20">
        <f t="shared" si="13"/>
        <v>60</v>
      </c>
      <c r="E63" s="18" t="s">
        <v>226</v>
      </c>
      <c r="F63" s="18" t="s">
        <v>227</v>
      </c>
      <c r="G63" s="19">
        <f t="shared" si="14"/>
        <v>70</v>
      </c>
      <c r="H63" s="21">
        <v>14990.0</v>
      </c>
      <c r="I63" s="26">
        <f t="array" ref="I63">IF(OR(H63=0, H63=""), 0, 1 - ((((XLOOKUP($A63, 'datos de inventario'!$A:$A, 'datos de inventario'!$D:$D, 0) * 'datos de inventario'!$K$2) + (XLOOKUP($A63, 'datos de inventario'!$A:$A, 'datos de inventario'!$F:$F, 0) * 'datos de inventario'!$K$3 * 'datos de inventario'!$K$4)) * 1.19 + (H63 * 0.15) + XLOOKUP(MAX($Z63, (XLOOKUP($A63, 'datos de inventario'!$A:$A, 'datos de inventario'!$F:$F, 0) * 1000000 / 4000)) + 0.1, Tarifas!$A$2:$A$33, IF(H63 &lt;= 9989, Tarifas!$B$2:$B$33, IF(H63 &lt;= 19989, Tarifas!$C$2:$C$33, Tarifas!$D$2:$D$33)), "Peso excedido", 1)) / H63))</f>
        <v>0.4106561041</v>
      </c>
      <c r="J63" s="21">
        <v>13990.0</v>
      </c>
      <c r="K63" s="26">
        <f t="array" ref="K63">IF(OR(J63=0, J63=""), 0, 1 - ((((XLOOKUP($A63, 'datos de inventario'!$A:$A, 'datos de inventario'!$D:$D, 0) * 'datos de inventario'!$K$2) + (XLOOKUP($A63, 'datos de inventario'!$A:$A, 'datos de inventario'!$F:$F, 0) * 'datos de inventario'!$K$3 * 'datos de inventario'!$K$4)) * 1.19 + (J63 * 0.15) + XLOOKUP(MAX($Z63, (XLOOKUP($A63, 'datos de inventario'!$A:$A, 'datos de inventario'!$F:$F, 0) * 1000000 / 4000)) + 0.1, Tarifas!$A$2:$A$33, IF(J63 &lt;= 9989, Tarifas!$B$2:$B$33, IF(J63 &lt;= 19989, Tarifas!$C$2:$C$33, Tarifas!$D$2:$D$33)), "Peso excedido", 1)) / J63))</f>
        <v>0.3792519657</v>
      </c>
      <c r="L63" s="40">
        <v>12990.0</v>
      </c>
      <c r="M63" s="26">
        <f t="array" ref="M63">IF(OR(L63=0, L63=""), 0, 1 - ((((XLOOKUP($A63, 'datos de inventario'!$A:$A, 'datos de inventario'!$D:$D, 0) * 'datos de inventario'!$K$2) + (XLOOKUP($A63, 'datos de inventario'!$A:$A, 'datos de inventario'!$F:$F, 0) * 'datos de inventario'!$K$3 * 'datos de inventario'!$K$4)) * 1.19 + (L63 * 0.15) + XLOOKUP(MAX($Z63, (XLOOKUP($A63, 'datos de inventario'!$A:$A, 'datos de inventario'!$F:$F, 0) * 1000000 / 4000)) + 0.1, Tarifas!$A$2:$A$33, IF(L63 &lt;= 9989, Tarifas!$B$2:$B$33, IF(L63 &lt;= 19989, Tarifas!$C$2:$C$33, Tarifas!$D$2:$D$33)), "Peso excedido", 1)) / L63))</f>
        <v>0.3430127021</v>
      </c>
      <c r="N63" s="32" t="s">
        <v>228</v>
      </c>
      <c r="O63" s="20"/>
      <c r="P63" s="33">
        <v>6.5</v>
      </c>
      <c r="Q63" s="34">
        <f t="shared" si="15"/>
        <v>27.85714286</v>
      </c>
      <c r="R63" s="37">
        <v>18.0</v>
      </c>
      <c r="S63" s="35">
        <f t="shared" si="16"/>
        <v>77.14285714</v>
      </c>
      <c r="T63" s="36">
        <v>46023.0</v>
      </c>
      <c r="U63" s="24">
        <f t="shared" si="17"/>
        <v>0.06671114076</v>
      </c>
      <c r="V63" s="24">
        <f t="shared" si="18"/>
        <v>0.07147962831</v>
      </c>
      <c r="W63" s="25"/>
      <c r="X63" s="25"/>
      <c r="Y63" s="25"/>
      <c r="Z63" s="25"/>
      <c r="AA63" s="25"/>
      <c r="AB63" s="25">
        <f t="shared" si="4"/>
        <v>0</v>
      </c>
      <c r="AC63" s="25"/>
      <c r="AD63" s="25"/>
      <c r="AE63" s="25"/>
      <c r="AF63" s="25"/>
      <c r="AG63" s="25"/>
    </row>
    <row r="64">
      <c r="A64" s="20" t="s">
        <v>229</v>
      </c>
      <c r="B64" s="20" t="s">
        <v>230</v>
      </c>
      <c r="C64" s="18" t="s">
        <v>231</v>
      </c>
      <c r="D64" s="20">
        <f t="shared" si="13"/>
        <v>54</v>
      </c>
      <c r="E64" s="18" t="s">
        <v>232</v>
      </c>
      <c r="F64" s="18" t="s">
        <v>232</v>
      </c>
      <c r="G64" s="19">
        <f t="shared" si="14"/>
        <v>61</v>
      </c>
      <c r="H64" s="21">
        <v>11990.0</v>
      </c>
      <c r="I64" s="26">
        <f t="array" ref="I64">IF(OR(H64=0, H64=""), 0, 1 - ((((XLOOKUP($A64, 'datos de inventario'!$A:$A, 'datos de inventario'!$D:$D, 0) * 'datos de inventario'!$K$2) + (XLOOKUP($A64, 'datos de inventario'!$A:$A, 'datos de inventario'!$F:$F, 0) * 'datos de inventario'!$K$3 * 'datos de inventario'!$K$4)) * 1.19 + (H64 * 0.15) + XLOOKUP(MAX($Z64, (XLOOKUP($A64, 'datos de inventario'!$A:$A, 'datos de inventario'!$F:$F, 0) * 1000000 / 4000)) + 0.1, Tarifas!$A$2:$A$33, IF(H64 &lt;= 9989, Tarifas!$B$2:$B$33, IF(H64 &lt;= 19989, Tarifas!$C$2:$C$33, Tarifas!$D$2:$D$33)), "Peso excedido", 1)) / H64))</f>
        <v>0.4988607173</v>
      </c>
      <c r="J64" s="21">
        <v>9990.0</v>
      </c>
      <c r="K64" s="26">
        <f t="array" ref="K64">IF(OR(J64=0, J64=""), 0, 1 - ((((XLOOKUP($A64, 'datos de inventario'!$A:$A, 'datos de inventario'!$D:$D, 0) * 'datos de inventario'!$K$2) + (XLOOKUP($A64, 'datos de inventario'!$A:$A, 'datos de inventario'!$F:$F, 0) * 'datos de inventario'!$K$3 * 'datos de inventario'!$K$4)) * 1.19 + (J64 * 0.15) + XLOOKUP(MAX($Z64, (XLOOKUP($A64, 'datos de inventario'!$A:$A, 'datos de inventario'!$F:$F, 0) * 1000000 / 4000)) + 0.1, Tarifas!$A$2:$A$33, IF(J64 &lt;= 9989, Tarifas!$B$2:$B$33, IF(J64 &lt;= 19989, Tarifas!$C$2:$C$33, Tarifas!$D$2:$D$33)), "Peso excedido", 1)) / J64))</f>
        <v>0.4285625626</v>
      </c>
      <c r="L64" s="21">
        <v>8990.0</v>
      </c>
      <c r="M64" s="26">
        <f t="array" ref="M64">IF(OR(L64=0, L64=""), 0, 1 - ((((XLOOKUP($A64, 'datos de inventario'!$A:$A, 'datos de inventario'!$D:$D, 0) * 'datos de inventario'!$K$2) + (XLOOKUP($A64, 'datos de inventario'!$A:$A, 'datos de inventario'!$F:$F, 0) * 'datos de inventario'!$K$3 * 'datos de inventario'!$K$4)) * 1.19 + (L64 * 0.15) + XLOOKUP(MAX($Z64, (XLOOKUP($A64, 'datos de inventario'!$A:$A, 'datos de inventario'!$F:$F, 0) * 1000000 / 4000)) + 0.1, Tarifas!$A$2:$A$33, IF(L64 &lt;= 9989, Tarifas!$B$2:$B$33, IF(L64 &lt;= 19989, Tarifas!$C$2:$C$33, Tarifas!$D$2:$D$33)), "Peso excedido", 1)) / L64))</f>
        <v>0.4050433815</v>
      </c>
      <c r="N64" s="32" t="s">
        <v>233</v>
      </c>
      <c r="O64" s="20"/>
      <c r="P64" s="33">
        <v>6.5</v>
      </c>
      <c r="Q64" s="34">
        <f t="shared" si="15"/>
        <v>27.85714286</v>
      </c>
      <c r="R64" s="37">
        <v>18.0</v>
      </c>
      <c r="S64" s="35">
        <f t="shared" si="16"/>
        <v>77.14285714</v>
      </c>
      <c r="T64" s="36">
        <v>46023.0</v>
      </c>
      <c r="U64" s="24">
        <f t="shared" si="17"/>
        <v>0.1668056714</v>
      </c>
      <c r="V64" s="24">
        <f t="shared" si="18"/>
        <v>0.1001001001</v>
      </c>
      <c r="W64" s="25"/>
      <c r="X64" s="25"/>
      <c r="Y64" s="25"/>
      <c r="Z64" s="25"/>
      <c r="AA64" s="25"/>
      <c r="AB64" s="25">
        <f t="shared" si="4"/>
        <v>0</v>
      </c>
      <c r="AC64" s="25"/>
      <c r="AD64" s="25"/>
      <c r="AE64" s="25"/>
      <c r="AF64" s="25"/>
      <c r="AG64" s="25"/>
    </row>
    <row r="65">
      <c r="A65" s="20" t="s">
        <v>234</v>
      </c>
      <c r="B65" s="18" t="s">
        <v>235</v>
      </c>
      <c r="C65" s="18" t="s">
        <v>236</v>
      </c>
      <c r="D65" s="20">
        <f t="shared" si="13"/>
        <v>58</v>
      </c>
      <c r="E65" s="18" t="s">
        <v>237</v>
      </c>
      <c r="F65" s="18" t="s">
        <v>238</v>
      </c>
      <c r="G65" s="19">
        <f t="shared" si="14"/>
        <v>67</v>
      </c>
      <c r="H65" s="21">
        <v>62990.0</v>
      </c>
      <c r="I65" s="26">
        <f t="array" ref="I65">IF(OR(H65=0, H65=""), 0, 1 - ((((XLOOKUP($A65, 'datos de inventario'!$A:$A, 'datos de inventario'!$D:$D, 0) * 'datos de inventario'!$K$2) + (XLOOKUP($A65, 'datos de inventario'!$A:$A, 'datos de inventario'!$F:$F, 0) * 'datos de inventario'!$K$3 * 'datos de inventario'!$K$4)) * 1.19 + (H65 * 0.15) + XLOOKUP(MAX($Z65, (XLOOKUP($A65, 'datos de inventario'!$A:$A, 'datos de inventario'!$F:$F, 0) * 1000000 / 4000)) + 0.1, Tarifas!$A$2:$A$33, IF(H65 &lt;= 9989, Tarifas!$B$2:$B$33, IF(H65 &lt;= 19989, Tarifas!$C$2:$C$33, Tarifas!$D$2:$D$33)), "Peso excedido", 1)) / H65))</f>
        <v>0.3659252262</v>
      </c>
      <c r="J65" s="21">
        <v>59990.0</v>
      </c>
      <c r="K65" s="26">
        <f t="array" ref="K65">IF(OR(J65=0, J65=""), 0, 1 - ((((XLOOKUP($A65, 'datos de inventario'!$A:$A, 'datos de inventario'!$D:$D, 0) * 'datos de inventario'!$K$2) + (XLOOKUP($A65, 'datos de inventario'!$A:$A, 'datos de inventario'!$F:$F, 0) * 'datos de inventario'!$K$3 * 'datos de inventario'!$K$4)) * 1.19 + (J65 * 0.15) + XLOOKUP(MAX($Z65, (XLOOKUP($A65, 'datos de inventario'!$A:$A, 'datos de inventario'!$F:$F, 0) * 1000000 / 4000)) + 0.1, Tarifas!$A$2:$A$33, IF(J65 &lt;= 9989, Tarifas!$B$2:$B$33, IF(J65 &lt;= 19989, Tarifas!$C$2:$C$33, Tarifas!$D$2:$D$33)), "Peso excedido", 1)) / J65))</f>
        <v>0.3417174529</v>
      </c>
      <c r="L65" s="21">
        <v>57990.0</v>
      </c>
      <c r="M65" s="26">
        <f t="array" ref="M65">IF(OR(L65=0, L65=""), 0, 1 - ((((XLOOKUP($A65, 'datos de inventario'!$A:$A, 'datos de inventario'!$D:$D, 0) * 'datos de inventario'!$K$2) + (XLOOKUP($A65, 'datos de inventario'!$A:$A, 'datos de inventario'!$F:$F, 0) * 'datos de inventario'!$K$3 * 'datos de inventario'!$K$4)) * 1.19 + (L65 * 0.15) + XLOOKUP(MAX($Z65, (XLOOKUP($A65, 'datos de inventario'!$A:$A, 'datos de inventario'!$F:$F, 0) * 1000000 / 4000)) + 0.1, Tarifas!$A$2:$A$33, IF(L65 &lt;= 9989, Tarifas!$B$2:$B$33, IF(L65 &lt;= 19989, Tarifas!$C$2:$C$33, Tarifas!$D$2:$D$33)), "Peso excedido", 1)) / L65))</f>
        <v>0.3241874461</v>
      </c>
      <c r="N65" s="32" t="s">
        <v>239</v>
      </c>
      <c r="O65" s="20"/>
      <c r="P65" s="33">
        <v>2.0</v>
      </c>
      <c r="Q65" s="34">
        <f t="shared" si="15"/>
        <v>8.571428571</v>
      </c>
      <c r="R65" s="37">
        <v>5.0</v>
      </c>
      <c r="S65" s="35">
        <f t="shared" si="16"/>
        <v>21.42857143</v>
      </c>
      <c r="T65" s="36">
        <v>46023.0</v>
      </c>
      <c r="U65" s="24">
        <f t="shared" si="17"/>
        <v>0.0476266074</v>
      </c>
      <c r="V65" s="24">
        <f t="shared" si="18"/>
        <v>0.03333888981</v>
      </c>
      <c r="W65" s="25"/>
      <c r="X65" s="25"/>
      <c r="Y65" s="25"/>
      <c r="Z65" s="25"/>
      <c r="AA65" s="25"/>
      <c r="AB65" s="25">
        <f t="shared" si="4"/>
        <v>0</v>
      </c>
      <c r="AC65" s="25"/>
      <c r="AD65" s="25"/>
      <c r="AE65" s="25"/>
      <c r="AF65" s="25"/>
      <c r="AG65" s="25"/>
    </row>
    <row r="66">
      <c r="A66" s="20" t="s">
        <v>240</v>
      </c>
      <c r="B66" s="18" t="s">
        <v>241</v>
      </c>
      <c r="C66" s="18" t="s">
        <v>242</v>
      </c>
      <c r="D66" s="20">
        <f t="shared" si="13"/>
        <v>58</v>
      </c>
      <c r="E66" s="18" t="s">
        <v>243</v>
      </c>
      <c r="F66" s="18" t="s">
        <v>244</v>
      </c>
      <c r="G66" s="19">
        <f t="shared" si="14"/>
        <v>70</v>
      </c>
      <c r="H66" s="21">
        <v>11990.0</v>
      </c>
      <c r="I66" s="26">
        <f t="array" ref="I66">IF(OR(H66=0, H66=""), 0, 1 - ((((XLOOKUP($A66, 'datos de inventario'!$A:$A, 'datos de inventario'!$D:$D, 0) * 'datos de inventario'!$K$2) + (XLOOKUP($A66, 'datos de inventario'!$A:$A, 'datos de inventario'!$F:$F, 0) * 'datos de inventario'!$K$3 * 'datos de inventario'!$K$4)) * 1.19 + (H66 * 0.15) + XLOOKUP(MAX($Z66, (XLOOKUP($A66, 'datos de inventario'!$A:$A, 'datos de inventario'!$F:$F, 0) * 1000000 / 4000)) + 0.1, Tarifas!$A$2:$A$33, IF(H66 &lt;= 9989, Tarifas!$B$2:$B$33, IF(H66 &lt;= 19989, Tarifas!$C$2:$C$33, Tarifas!$D$2:$D$33)), "Peso excedido", 1)) / H66))</f>
        <v>0.525484362</v>
      </c>
      <c r="J66" s="21">
        <v>9990.0</v>
      </c>
      <c r="K66" s="26">
        <f t="array" ref="K66">IF(OR(J66=0, J66=""), 0, 1 - ((((XLOOKUP($A66, 'datos de inventario'!$A:$A, 'datos de inventario'!$D:$D, 0) * 'datos de inventario'!$K$2) + (XLOOKUP($A66, 'datos de inventario'!$A:$A, 'datos de inventario'!$F:$F, 0) * 'datos de inventario'!$K$3 * 'datos de inventario'!$K$4)) * 1.19 + (J66 * 0.15) + XLOOKUP(MAX($Z66, (XLOOKUP($A66, 'datos de inventario'!$A:$A, 'datos de inventario'!$F:$F, 0) * 1000000 / 4000)) + 0.1, Tarifas!$A$2:$A$33, IF(J66 &lt;= 9989, Tarifas!$B$2:$B$33, IF(J66 &lt;= 19989, Tarifas!$C$2:$C$33, Tarifas!$D$2:$D$33)), "Peso excedido", 1)) / J66))</f>
        <v>0.4605162663</v>
      </c>
      <c r="L66" s="21">
        <v>8990.0</v>
      </c>
      <c r="M66" s="26">
        <f t="array" ref="M66">IF(OR(L66=0, L66=""), 0, 1 - ((((XLOOKUP($A66, 'datos de inventario'!$A:$A, 'datos de inventario'!$D:$D, 0) * 'datos de inventario'!$K$2) + (XLOOKUP($A66, 'datos de inventario'!$A:$A, 'datos de inventario'!$F:$F, 0) * 'datos de inventario'!$K$3 * 'datos de inventario'!$K$4)) * 1.19 + (L66 * 0.15) + XLOOKUP(MAX($Z66, (XLOOKUP($A66, 'datos de inventario'!$A:$A, 'datos de inventario'!$F:$F, 0) * 1000000 / 4000)) + 0.1, Tarifas!$A$2:$A$33, IF(L66 &lt;= 9989, Tarifas!$B$2:$B$33, IF(L66 &lt;= 19989, Tarifas!$C$2:$C$33, Tarifas!$D$2:$D$33)), "Peso excedido", 1)) / L66))</f>
        <v>0.4405514461</v>
      </c>
      <c r="N66" s="32" t="s">
        <v>245</v>
      </c>
      <c r="O66" s="20"/>
      <c r="P66" s="33">
        <v>4.0</v>
      </c>
      <c r="Q66" s="34">
        <f t="shared" si="15"/>
        <v>17.14285714</v>
      </c>
      <c r="R66" s="37">
        <v>11.6</v>
      </c>
      <c r="S66" s="35">
        <f t="shared" si="16"/>
        <v>49.71428571</v>
      </c>
      <c r="T66" s="36">
        <v>46023.0</v>
      </c>
      <c r="U66" s="24">
        <f t="shared" si="17"/>
        <v>0.1668056714</v>
      </c>
      <c r="V66" s="24">
        <f t="shared" si="18"/>
        <v>0.1001001001</v>
      </c>
      <c r="W66" s="25"/>
      <c r="X66" s="25"/>
      <c r="Y66" s="25"/>
      <c r="Z66" s="25"/>
      <c r="AA66" s="25"/>
      <c r="AB66" s="25">
        <f t="shared" si="4"/>
        <v>0</v>
      </c>
      <c r="AC66" s="25"/>
      <c r="AD66" s="25"/>
      <c r="AE66" s="25"/>
      <c r="AF66" s="25"/>
      <c r="AG66" s="25"/>
    </row>
    <row r="67">
      <c r="A67" s="18" t="s">
        <v>246</v>
      </c>
      <c r="B67" s="18" t="s">
        <v>247</v>
      </c>
      <c r="C67" s="18" t="s">
        <v>248</v>
      </c>
      <c r="D67" s="20">
        <f t="shared" si="13"/>
        <v>58</v>
      </c>
      <c r="E67" s="18" t="s">
        <v>249</v>
      </c>
      <c r="F67" s="18" t="s">
        <v>250</v>
      </c>
      <c r="G67" s="19">
        <f t="shared" si="14"/>
        <v>69</v>
      </c>
      <c r="H67" s="21">
        <v>15990.0</v>
      </c>
      <c r="I67" s="26">
        <f t="array" ref="I67">IF(OR(H67=0, H67=""), 0, 1 - ((((XLOOKUP($A67, 'datos de inventario'!$A:$A, 'datos de inventario'!$D:$D, 0) * 'datos de inventario'!$K$2) + (XLOOKUP($A67, 'datos de inventario'!$A:$A, 'datos de inventario'!$F:$F, 0) * 'datos de inventario'!$K$3 * 'datos de inventario'!$K$4)) * 1.19 + (H67 * 0.15) + XLOOKUP(MAX($Z67, (XLOOKUP($A67, 'datos de inventario'!$A:$A, 'datos de inventario'!$F:$F, 0) * 1000000 / 4000)) + 0.1, Tarifas!$A$2:$A$33, IF(H67 &lt;= 9989, Tarifas!$B$2:$B$33, IF(H67 &lt;= 19989, Tarifas!$C$2:$C$33, Tarifas!$D$2:$D$33)), "Peso excedido", 1)) / H67))</f>
        <v>0.5184229206</v>
      </c>
      <c r="J67" s="21">
        <v>14990.0</v>
      </c>
      <c r="K67" s="26">
        <f t="array" ref="K67">IF(OR(J67=0, J67=""), 0, 1 - ((((XLOOKUP($A67, 'datos de inventario'!$A:$A, 'datos de inventario'!$D:$D, 0) * 'datos de inventario'!$K$2) + (XLOOKUP($A67, 'datos de inventario'!$A:$A, 'datos de inventario'!$F:$F, 0) * 'datos de inventario'!$K$3 * 'datos de inventario'!$K$4)) * 1.19 + (J67 * 0.15) + XLOOKUP(MAX($Z67, (XLOOKUP($A67, 'datos de inventario'!$A:$A, 'datos de inventario'!$F:$F, 0) * 1000000 / 4000)) + 0.1, Tarifas!$A$2:$A$33, IF(J67 &lt;= 9989, Tarifas!$B$2:$B$33, IF(J67 &lt;= 19989, Tarifas!$C$2:$C$33, Tarifas!$D$2:$D$33)), "Peso excedido", 1)) / J67))</f>
        <v>0.4963030354</v>
      </c>
      <c r="L67" s="21">
        <v>12990.0</v>
      </c>
      <c r="M67" s="26">
        <f t="array" ref="M67">IF(OR(L67=0, L67=""), 0, 1 - ((((XLOOKUP($A67, 'datos de inventario'!$A:$A, 'datos de inventario'!$D:$D, 0) * 'datos de inventario'!$K$2) + (XLOOKUP($A67, 'datos de inventario'!$A:$A, 'datos de inventario'!$F:$F, 0) * 'datos de inventario'!$K$3 * 'datos de inventario'!$K$4)) * 1.19 + (L67 * 0.15) + XLOOKUP(MAX($Z67, (XLOOKUP($A67, 'datos de inventario'!$A:$A, 'datos de inventario'!$F:$F, 0) * 1000000 / 4000)) + 0.1, Tarifas!$A$2:$A$33, IF(L67 &lt;= 9989, Tarifas!$B$2:$B$33, IF(L67 &lt;= 19989, Tarifas!$C$2:$C$33, Tarifas!$D$2:$D$33)), "Peso excedido", 1)) / L67))</f>
        <v>0.4418462279</v>
      </c>
      <c r="N67" s="32" t="s">
        <v>251</v>
      </c>
      <c r="O67" s="20"/>
      <c r="P67" s="33">
        <v>8.3</v>
      </c>
      <c r="Q67" s="34">
        <f t="shared" ref="Q67:Q74" si="19">P67*4.3</f>
        <v>35.69</v>
      </c>
      <c r="R67" s="37">
        <v>25.0</v>
      </c>
      <c r="S67" s="41">
        <f t="shared" ref="S67:S74" si="20">R67*4.3</f>
        <v>107.5</v>
      </c>
      <c r="T67" s="36">
        <v>46023.0</v>
      </c>
      <c r="U67" s="24">
        <f t="shared" si="17"/>
        <v>0.06253908693</v>
      </c>
      <c r="V67" s="24">
        <f t="shared" si="18"/>
        <v>0.1334222815</v>
      </c>
      <c r="W67" s="25"/>
      <c r="X67" s="25"/>
      <c r="Y67" s="25"/>
      <c r="Z67" s="25"/>
      <c r="AA67" s="25"/>
      <c r="AB67" s="25">
        <f t="shared" si="4"/>
        <v>0</v>
      </c>
      <c r="AC67" s="25"/>
      <c r="AD67" s="25"/>
      <c r="AE67" s="25"/>
      <c r="AF67" s="25"/>
      <c r="AG67" s="25"/>
    </row>
    <row r="68">
      <c r="A68" s="20" t="s">
        <v>252</v>
      </c>
      <c r="B68" s="18" t="s">
        <v>253</v>
      </c>
      <c r="C68" s="18" t="s">
        <v>254</v>
      </c>
      <c r="D68" s="20">
        <f t="shared" si="13"/>
        <v>60</v>
      </c>
      <c r="E68" s="18" t="s">
        <v>255</v>
      </c>
      <c r="F68" s="18" t="s">
        <v>254</v>
      </c>
      <c r="G68" s="19">
        <f t="shared" si="14"/>
        <v>60</v>
      </c>
      <c r="H68" s="21">
        <v>11990.0</v>
      </c>
      <c r="I68" s="26">
        <f t="array" ref="I68">IF(OR(H68=0, H68=""), 0, 1 - ((((XLOOKUP($A68, 'datos de inventario'!$A:$A, 'datos de inventario'!$D:$D, 0) * 'datos de inventario'!$K$2) + (XLOOKUP($A68, 'datos de inventario'!$A:$A, 'datos de inventario'!$F:$F, 0) * 'datos de inventario'!$K$3 * 'datos de inventario'!$K$4)) * 1.19 + (H68 * 0.15) + XLOOKUP(MAX($Z68, (XLOOKUP($A68, 'datos de inventario'!$A:$A, 'datos de inventario'!$F:$F, 0) * 1000000 / 4000)) + 0.1, Tarifas!$A$2:$A$33, IF(H68 &lt;= 9989, Tarifas!$B$2:$B$33, IF(H68 &lt;= 19989, Tarifas!$C$2:$C$33, Tarifas!$D$2:$D$33)), "Peso excedido", 1)) / H68))</f>
        <v>0.3813494579</v>
      </c>
      <c r="J68" s="21">
        <v>10990.0</v>
      </c>
      <c r="K68" s="26">
        <f t="array" ref="K68">IF(OR(J68=0, J68=""), 0, 1 - ((((XLOOKUP($A68, 'datos de inventario'!$A:$A, 'datos de inventario'!$D:$D, 0) * 'datos de inventario'!$K$2) + (XLOOKUP($A68, 'datos de inventario'!$A:$A, 'datos de inventario'!$F:$F, 0) * 'datos de inventario'!$K$3 * 'datos de inventario'!$K$4)) * 1.19 + (J68 * 0.15) + XLOOKUP(MAX($Z68, (XLOOKUP($A68, 'datos de inventario'!$A:$A, 'datos de inventario'!$F:$F, 0) * 1000000 / 4000)) + 0.1, Tarifas!$A$2:$A$33, IF(J68 &lt;= 9989, Tarifas!$B$2:$B$33, IF(J68 &lt;= 19989, Tarifas!$C$2:$C$33, Tarifas!$D$2:$D$33)), "Peso excedido", 1)) / J68))</f>
        <v>0.3387060965</v>
      </c>
      <c r="L68" s="21">
        <v>9980.0</v>
      </c>
      <c r="M68" s="26">
        <f t="array" ref="M68">IF(OR(L68=0, L68=""), 0, 1 - ((((XLOOKUP($A68, 'datos de inventario'!$A:$A, 'datos de inventario'!$D:$D, 0) * 'datos de inventario'!$K$2) + (XLOOKUP($A68, 'datos de inventario'!$A:$A, 'datos de inventario'!$F:$F, 0) * 'datos de inventario'!$K$3 * 'datos de inventario'!$K$4)) * 1.19 + (L68 * 0.15) + XLOOKUP(MAX($Z68, (XLOOKUP($A68, 'datos de inventario'!$A:$A, 'datos de inventario'!$F:$F, 0) * 1000000 / 4000)) + 0.1, Tarifas!$A$2:$A$33, IF(L68 &lt;= 9989, Tarifas!$B$2:$B$33, IF(L68 &lt;= 19989, Tarifas!$C$2:$C$33, Tarifas!$D$2:$D$33)), "Peso excedido", 1)) / L68))</f>
        <v>0.308004008</v>
      </c>
      <c r="N68" s="32" t="s">
        <v>256</v>
      </c>
      <c r="O68" s="20"/>
      <c r="P68" s="33">
        <v>16.0</v>
      </c>
      <c r="Q68" s="34">
        <f t="shared" si="19"/>
        <v>68.8</v>
      </c>
      <c r="R68" s="37">
        <v>50.0</v>
      </c>
      <c r="S68" s="41">
        <f t="shared" si="20"/>
        <v>215</v>
      </c>
      <c r="T68" s="36">
        <v>46023.0</v>
      </c>
      <c r="U68" s="24">
        <f t="shared" si="17"/>
        <v>0.0834028357</v>
      </c>
      <c r="V68" s="24">
        <f t="shared" si="18"/>
        <v>0.09190172884</v>
      </c>
      <c r="W68" s="25"/>
      <c r="X68" s="25"/>
      <c r="Y68" s="25"/>
      <c r="Z68" s="25"/>
      <c r="AA68" s="25"/>
      <c r="AB68" s="25">
        <f t="shared" si="4"/>
        <v>0</v>
      </c>
      <c r="AC68" s="25"/>
      <c r="AD68" s="25"/>
      <c r="AE68" s="25"/>
      <c r="AF68" s="25"/>
      <c r="AG68" s="25"/>
    </row>
    <row r="69">
      <c r="A69" s="20" t="s">
        <v>257</v>
      </c>
      <c r="B69" s="18" t="s">
        <v>258</v>
      </c>
      <c r="C69" s="18" t="s">
        <v>259</v>
      </c>
      <c r="D69" s="20">
        <f t="shared" si="13"/>
        <v>60</v>
      </c>
      <c r="E69" s="18" t="s">
        <v>260</v>
      </c>
      <c r="F69" s="18" t="s">
        <v>261</v>
      </c>
      <c r="G69" s="19">
        <f t="shared" si="14"/>
        <v>68</v>
      </c>
      <c r="H69" s="21">
        <v>34990.0</v>
      </c>
      <c r="I69" s="26">
        <f t="array" ref="I69">IF(OR(H69=0, H69=""), 0, 1 - ((((XLOOKUP($A69, 'datos de inventario'!$A:$A, 'datos de inventario'!$D:$D, 0) * 'datos de inventario'!$K$2) + (XLOOKUP($A69, 'datos de inventario'!$A:$A, 'datos de inventario'!$F:$F, 0) * 'datos de inventario'!$K$3 * 'datos de inventario'!$K$4)) * 1.19 + (H69 * 0.15) + XLOOKUP(MAX($Z69, (XLOOKUP($A69, 'datos de inventario'!$A:$A, 'datos de inventario'!$F:$F, 0) * 1000000 / 4000)) + 0.1, Tarifas!$A$2:$A$33, IF(H69 &lt;= 9989, Tarifas!$B$2:$B$33, IF(H69 &lt;= 19989, Tarifas!$C$2:$C$33, Tarifas!$D$2:$D$33)), "Peso excedido", 1)) / H69))</f>
        <v>0.4126725493</v>
      </c>
      <c r="J69" s="21">
        <v>31990.0</v>
      </c>
      <c r="K69" s="26">
        <f t="array" ref="K69">IF(OR(J69=0, J69=""), 0, 1 - ((((XLOOKUP($A69, 'datos de inventario'!$A:$A, 'datos de inventario'!$D:$D, 0) * 'datos de inventario'!$K$2) + (XLOOKUP($A69, 'datos de inventario'!$A:$A, 'datos de inventario'!$F:$F, 0) * 'datos de inventario'!$K$3 * 'datos de inventario'!$K$4)) * 1.19 + (J69 * 0.15) + XLOOKUP(MAX($Z69, (XLOOKUP($A69, 'datos de inventario'!$A:$A, 'datos de inventario'!$F:$F, 0) * 1000000 / 4000)) + 0.1, Tarifas!$A$2:$A$33, IF(J69 &lt;= 9989, Tarifas!$B$2:$B$33, IF(J69 &lt;= 19989, Tarifas!$C$2:$C$33, Tarifas!$D$2:$D$33)), "Peso excedido", 1)) / J69))</f>
        <v>0.3716602845</v>
      </c>
      <c r="L69" s="21">
        <v>28990.0</v>
      </c>
      <c r="M69" s="26">
        <f t="array" ref="M69">IF(OR(L69=0, L69=""), 0, 1 - ((((XLOOKUP($A69, 'datos de inventario'!$A:$A, 'datos de inventario'!$D:$D, 0) * 'datos de inventario'!$K$2) + (XLOOKUP($A69, 'datos de inventario'!$A:$A, 'datos de inventario'!$F:$F, 0) * 'datos de inventario'!$K$3 * 'datos de inventario'!$K$4)) * 1.19 + (L69 * 0.15) + XLOOKUP(MAX($Z69, (XLOOKUP($A69, 'datos de inventario'!$A:$A, 'datos de inventario'!$F:$F, 0) * 1000000 / 4000)) + 0.1, Tarifas!$A$2:$A$33, IF(L69 &lt;= 9989, Tarifas!$B$2:$B$33, IF(L69 &lt;= 19989, Tarifas!$C$2:$C$33, Tarifas!$D$2:$D$33)), "Peso excedido", 1)) / L69))</f>
        <v>0.3221597965</v>
      </c>
      <c r="N69" s="32" t="s">
        <v>262</v>
      </c>
      <c r="O69" s="20"/>
      <c r="P69" s="33">
        <v>8.3</v>
      </c>
      <c r="Q69" s="34">
        <f t="shared" si="19"/>
        <v>35.69</v>
      </c>
      <c r="R69" s="37">
        <v>25.0</v>
      </c>
      <c r="S69" s="41">
        <f t="shared" si="20"/>
        <v>107.5</v>
      </c>
      <c r="T69" s="36">
        <v>46023.0</v>
      </c>
      <c r="U69" s="24">
        <f t="shared" si="17"/>
        <v>0.08573878251</v>
      </c>
      <c r="V69" s="24">
        <f t="shared" si="18"/>
        <v>0.09377930603</v>
      </c>
      <c r="W69" s="25"/>
      <c r="X69" s="25"/>
      <c r="Y69" s="25"/>
      <c r="Z69" s="25"/>
      <c r="AA69" s="25"/>
      <c r="AB69" s="25">
        <f t="shared" si="4"/>
        <v>0</v>
      </c>
      <c r="AC69" s="25"/>
      <c r="AD69" s="25"/>
      <c r="AE69" s="25"/>
      <c r="AF69" s="25"/>
      <c r="AG69" s="25"/>
    </row>
    <row r="70">
      <c r="A70" s="20" t="s">
        <v>263</v>
      </c>
      <c r="B70" s="18" t="s">
        <v>264</v>
      </c>
      <c r="C70" s="18" t="s">
        <v>265</v>
      </c>
      <c r="D70" s="20">
        <f t="shared" si="13"/>
        <v>60</v>
      </c>
      <c r="E70" s="18" t="s">
        <v>266</v>
      </c>
      <c r="F70" s="18" t="s">
        <v>267</v>
      </c>
      <c r="G70" s="19">
        <f t="shared" si="14"/>
        <v>65</v>
      </c>
      <c r="H70" s="21">
        <v>19980.0</v>
      </c>
      <c r="I70" s="26">
        <f t="array" ref="I70">IF(OR(H70=0, H70=""), 0, 1 - ((((XLOOKUP($A70, 'datos de inventario'!$A:$A, 'datos de inventario'!$D:$D, 0) * 'datos de inventario'!$K$2) + (XLOOKUP($A70, 'datos de inventario'!$A:$A, 'datos de inventario'!$F:$F, 0) * 'datos de inventario'!$K$3 * 'datos de inventario'!$K$4)) * 1.19 + (H70 * 0.15) + XLOOKUP(MAX($Z70, (XLOOKUP($A70, 'datos de inventario'!$A:$A, 'datos de inventario'!$F:$F, 0) * 1000000 / 4000)) + 0.1, Tarifas!$A$2:$A$33, IF(H70 &lt;= 9989, Tarifas!$B$2:$B$33, IF(H70 &lt;= 19989, Tarifas!$C$2:$C$33, Tarifas!$D$2:$D$33)), "Peso excedido", 1)) / H70))</f>
        <v>0.3813648524</v>
      </c>
      <c r="J70" s="21">
        <v>18990.0</v>
      </c>
      <c r="K70" s="26">
        <f t="array" ref="K70">IF(OR(J70=0, J70=""), 0, 1 - ((((XLOOKUP($A70, 'datos de inventario'!$A:$A, 'datos de inventario'!$D:$D, 0) * 'datos de inventario'!$K$2) + (XLOOKUP($A70, 'datos de inventario'!$A:$A, 'datos de inventario'!$F:$F, 0) * 'datos de inventario'!$K$3 * 'datos de inventario'!$K$4)) * 1.19 + (J70 * 0.15) + XLOOKUP(MAX($Z70, (XLOOKUP($A70, 'datos de inventario'!$A:$A, 'datos de inventario'!$F:$F, 0) * 1000000 / 4000)) + 0.1, Tarifas!$A$2:$A$33, IF(J70 &lt;= 9989, Tarifas!$B$2:$B$33, IF(J70 &lt;= 19989, Tarifas!$C$2:$C$33, Tarifas!$D$2:$D$33)), "Peso excedido", 1)) / J70))</f>
        <v>0.3569336361</v>
      </c>
      <c r="L70" s="21">
        <v>17990.0</v>
      </c>
      <c r="M70" s="26">
        <f t="array" ref="M70">IF(OR(L70=0, L70=""), 0, 1 - ((((XLOOKUP($A70, 'datos de inventario'!$A:$A, 'datos de inventario'!$D:$D, 0) * 'datos de inventario'!$K$2) + (XLOOKUP($A70, 'datos de inventario'!$A:$A, 'datos de inventario'!$F:$F, 0) * 'datos de inventario'!$K$3 * 'datos de inventario'!$K$4)) * 1.19 + (L70 * 0.15) + XLOOKUP(MAX($Z70, (XLOOKUP($A70, 'datos de inventario'!$A:$A, 'datos de inventario'!$F:$F, 0) * 1000000 / 4000)) + 0.1, Tarifas!$A$2:$A$33, IF(L70 &lt;= 9989, Tarifas!$B$2:$B$33, IF(L70 &lt;= 19989, Tarifas!$C$2:$C$33, Tarifas!$D$2:$D$33)), "Peso excedido", 1)) / L70))</f>
        <v>0.3295258338</v>
      </c>
      <c r="N70" s="32" t="s">
        <v>262</v>
      </c>
      <c r="O70" s="20"/>
      <c r="P70" s="33">
        <v>8.3</v>
      </c>
      <c r="Q70" s="34">
        <f t="shared" si="19"/>
        <v>35.69</v>
      </c>
      <c r="R70" s="37">
        <v>25.0</v>
      </c>
      <c r="S70" s="41">
        <f t="shared" si="20"/>
        <v>107.5</v>
      </c>
      <c r="T70" s="36">
        <v>46054.0</v>
      </c>
      <c r="U70" s="24">
        <f t="shared" si="17"/>
        <v>0.04954954955</v>
      </c>
      <c r="V70" s="24">
        <f t="shared" si="18"/>
        <v>0.05265929437</v>
      </c>
      <c r="W70" s="25"/>
      <c r="X70" s="25"/>
      <c r="Y70" s="25"/>
      <c r="Z70" s="25"/>
      <c r="AA70" s="25"/>
      <c r="AB70" s="25">
        <f t="shared" si="4"/>
        <v>0</v>
      </c>
      <c r="AC70" s="25"/>
      <c r="AD70" s="25"/>
      <c r="AE70" s="25"/>
      <c r="AF70" s="25"/>
      <c r="AG70" s="25"/>
    </row>
    <row r="71">
      <c r="A71" s="20" t="s">
        <v>268</v>
      </c>
      <c r="B71" s="18" t="s">
        <v>269</v>
      </c>
      <c r="C71" s="18" t="s">
        <v>270</v>
      </c>
      <c r="D71" s="20">
        <f t="shared" si="13"/>
        <v>60</v>
      </c>
      <c r="E71" s="18" t="s">
        <v>271</v>
      </c>
      <c r="F71" s="18" t="s">
        <v>272</v>
      </c>
      <c r="G71" s="19">
        <f t="shared" si="14"/>
        <v>67</v>
      </c>
      <c r="H71" s="21">
        <v>144990.0</v>
      </c>
      <c r="I71" s="26">
        <f t="array" ref="I71">IF(OR(H71=0, H71=""), 0, 1 - ((((XLOOKUP($A71, 'datos de inventario'!$A:$A, 'datos de inventario'!$D:$D, 0) * 'datos de inventario'!$K$2) + (XLOOKUP($A71, 'datos de inventario'!$A:$A, 'datos de inventario'!$F:$F, 0) * 'datos de inventario'!$K$3 * 'datos de inventario'!$K$4)) * 1.19 + (H71 * 0.15) + XLOOKUP(MAX($Z71, (XLOOKUP($A71, 'datos de inventario'!$A:$A, 'datos de inventario'!$F:$F, 0) * 1000000 / 4000)) + 0.1, Tarifas!$A$2:$A$33, IF(H71 &lt;= 9989, Tarifas!$B$2:$B$33, IF(H71 &lt;= 19989, Tarifas!$C$2:$C$33, Tarifas!$D$2:$D$33)), "Peso excedido", 1)) / H71))</f>
        <v>0.4640960239</v>
      </c>
      <c r="J71" s="21">
        <v>139990.0</v>
      </c>
      <c r="K71" s="26">
        <f t="array" ref="K71">IF(OR(J71=0, J71=""), 0, 1 - ((((XLOOKUP($A71, 'datos de inventario'!$A:$A, 'datos de inventario'!$D:$D, 0) * 'datos de inventario'!$K$2) + (XLOOKUP($A71, 'datos de inventario'!$A:$A, 'datos de inventario'!$F:$F, 0) * 'datos de inventario'!$K$3 * 'datos de inventario'!$K$4)) * 1.19 + (J71 * 0.15) + XLOOKUP(MAX($Z71, (XLOOKUP($A71, 'datos de inventario'!$A:$A, 'datos de inventario'!$F:$F, 0) * 1000000 / 4000)) + 0.1, Tarifas!$A$2:$A$33, IF(J71 &lt;= 9989, Tarifas!$B$2:$B$33, IF(J71 &lt;= 19989, Tarifas!$C$2:$C$33, Tarifas!$D$2:$D$33)), "Peso excedido", 1)) / J71))</f>
        <v>0.4503127545</v>
      </c>
      <c r="L71" s="21">
        <v>129990.0</v>
      </c>
      <c r="M71" s="26">
        <f t="array" ref="M71">IF(OR(L71=0, L71=""), 0, 1 - ((((XLOOKUP($A71, 'datos de inventario'!$A:$A, 'datos de inventario'!$D:$D, 0) * 'datos de inventario'!$K$2) + (XLOOKUP($A71, 'datos de inventario'!$A:$A, 'datos de inventario'!$F:$F, 0) * 'datos de inventario'!$K$3 * 'datos de inventario'!$K$4)) * 1.19 + (L71 * 0.15) + XLOOKUP(MAX($Z71, (XLOOKUP($A71, 'datos de inventario'!$A:$A, 'datos de inventario'!$F:$F, 0) * 1000000 / 4000)) + 0.1, Tarifas!$A$2:$A$33, IF(L71 &lt;= 9989, Tarifas!$B$2:$B$33, IF(L71 &lt;= 19989, Tarifas!$C$2:$C$33, Tarifas!$D$2:$D$33)), "Peso excedido", 1)) / L71))</f>
        <v>0.4195652166</v>
      </c>
      <c r="N71" s="38" t="s">
        <v>273</v>
      </c>
      <c r="O71" s="20"/>
      <c r="P71" s="37">
        <v>0.6</v>
      </c>
      <c r="Q71" s="34">
        <f t="shared" si="19"/>
        <v>2.58</v>
      </c>
      <c r="R71" s="37">
        <v>2.0</v>
      </c>
      <c r="S71" s="41">
        <f t="shared" si="20"/>
        <v>8.6</v>
      </c>
      <c r="T71" s="36">
        <v>46054.0</v>
      </c>
      <c r="U71" s="24">
        <f t="shared" si="17"/>
        <v>0.03448513691</v>
      </c>
      <c r="V71" s="24">
        <f t="shared" si="18"/>
        <v>0.07143367383</v>
      </c>
      <c r="W71" s="25"/>
      <c r="X71" s="25"/>
      <c r="Y71" s="25"/>
      <c r="Z71" s="25"/>
      <c r="AA71" s="25"/>
      <c r="AB71" s="25">
        <f t="shared" si="4"/>
        <v>0</v>
      </c>
      <c r="AC71" s="25"/>
      <c r="AD71" s="25"/>
      <c r="AE71" s="25"/>
      <c r="AF71" s="25"/>
      <c r="AG71" s="25"/>
    </row>
    <row r="72">
      <c r="A72" s="20" t="s">
        <v>274</v>
      </c>
      <c r="B72" s="18" t="s">
        <v>275</v>
      </c>
      <c r="C72" s="18" t="s">
        <v>276</v>
      </c>
      <c r="D72" s="20">
        <f t="shared" si="13"/>
        <v>60</v>
      </c>
      <c r="E72" s="18" t="s">
        <v>277</v>
      </c>
      <c r="F72" s="18" t="s">
        <v>278</v>
      </c>
      <c r="G72" s="19">
        <f t="shared" si="14"/>
        <v>66</v>
      </c>
      <c r="H72" s="21">
        <v>149990.0</v>
      </c>
      <c r="I72" s="26">
        <f t="array" ref="I72">IF(OR(H72=0, H72=""), 0, 1 - ((((XLOOKUP($A72, 'datos de inventario'!$A:$A, 'datos de inventario'!$D:$D, 0) * 'datos de inventario'!$K$2) + (XLOOKUP($A72, 'datos de inventario'!$A:$A, 'datos de inventario'!$F:$F, 0) * 'datos de inventario'!$K$3 * 'datos de inventario'!$K$4)) * 1.19 + (H72 * 0.15) + XLOOKUP(MAX($Z72, (XLOOKUP($A72, 'datos de inventario'!$A:$A, 'datos de inventario'!$F:$F, 0) * 1000000 / 4000)) + 0.1, Tarifas!$A$2:$A$33, IF(H72 &lt;= 9989, Tarifas!$B$2:$B$33, IF(H72 &lt;= 19989, Tarifas!$C$2:$C$33, Tarifas!$D$2:$D$33)), "Peso excedido", 1)) / H72))</f>
        <v>0.4459611607</v>
      </c>
      <c r="J72" s="21">
        <v>139990.0</v>
      </c>
      <c r="K72" s="26">
        <f t="array" ref="K72">IF(OR(J72=0, J72=""), 0, 1 - ((((XLOOKUP($A72, 'datos de inventario'!$A:$A, 'datos de inventario'!$D:$D, 0) * 'datos de inventario'!$K$2) + (XLOOKUP($A72, 'datos de inventario'!$A:$A, 'datos de inventario'!$F:$F, 0) * 'datos de inventario'!$K$3 * 'datos de inventario'!$K$4)) * 1.19 + (J72 * 0.15) + XLOOKUP(MAX($Z72, (XLOOKUP($A72, 'datos de inventario'!$A:$A, 'datos de inventario'!$F:$F, 0) * 1000000 / 4000)) + 0.1, Tarifas!$A$2:$A$33, IF(J72 &lt;= 9989, Tarifas!$B$2:$B$33, IF(J72 &lt;= 19989, Tarifas!$C$2:$C$33, Tarifas!$D$2:$D$33)), "Peso excedido", 1)) / J72))</f>
        <v>0.4170991821</v>
      </c>
      <c r="L72" s="21">
        <v>129990.0</v>
      </c>
      <c r="M72" s="26">
        <f t="array" ref="M72">IF(OR(L72=0, L72=""), 0, 1 - ((((XLOOKUP($A72, 'datos de inventario'!$A:$A, 'datos de inventario'!$D:$D, 0) * 'datos de inventario'!$K$2) + (XLOOKUP($A72, 'datos de inventario'!$A:$A, 'datos de inventario'!$F:$F, 0) * 'datos de inventario'!$K$3 * 'datos de inventario'!$K$4)) * 1.19 + (L72 * 0.15) + XLOOKUP(MAX($Z72, (XLOOKUP($A72, 'datos de inventario'!$A:$A, 'datos de inventario'!$F:$F, 0) * 1000000 / 4000)) + 0.1, Tarifas!$A$2:$A$33, IF(L72 &lt;= 9989, Tarifas!$B$2:$B$33, IF(L72 &lt;= 19989, Tarifas!$C$2:$C$33, Tarifas!$D$2:$D$33)), "Peso excedido", 1)) / L72))</f>
        <v>0.3837965574</v>
      </c>
      <c r="N72" s="38" t="s">
        <v>279</v>
      </c>
      <c r="O72" s="20"/>
      <c r="P72" s="37">
        <v>1.5</v>
      </c>
      <c r="Q72" s="34">
        <f t="shared" si="19"/>
        <v>6.45</v>
      </c>
      <c r="R72" s="37">
        <v>6.0</v>
      </c>
      <c r="S72" s="41">
        <f t="shared" si="20"/>
        <v>25.8</v>
      </c>
      <c r="T72" s="36">
        <v>46054.0</v>
      </c>
      <c r="U72" s="24">
        <f t="shared" si="17"/>
        <v>0.06667111141</v>
      </c>
      <c r="V72" s="24">
        <f t="shared" si="18"/>
        <v>0.07143367383</v>
      </c>
      <c r="W72" s="25"/>
      <c r="X72" s="25"/>
      <c r="Y72" s="25"/>
      <c r="Z72" s="25"/>
      <c r="AA72" s="25"/>
      <c r="AB72" s="25">
        <f t="shared" si="4"/>
        <v>0</v>
      </c>
      <c r="AC72" s="25"/>
      <c r="AD72" s="25"/>
      <c r="AE72" s="25"/>
      <c r="AF72" s="25"/>
      <c r="AG72" s="25"/>
    </row>
    <row r="73">
      <c r="A73" s="20" t="s">
        <v>280</v>
      </c>
      <c r="B73" s="18" t="s">
        <v>281</v>
      </c>
      <c r="C73" s="2" t="s">
        <v>282</v>
      </c>
      <c r="D73" s="20">
        <f t="shared" si="13"/>
        <v>58</v>
      </c>
      <c r="E73" s="2" t="s">
        <v>283</v>
      </c>
      <c r="F73" s="2" t="s">
        <v>284</v>
      </c>
      <c r="G73" s="19">
        <f t="shared" si="14"/>
        <v>68</v>
      </c>
      <c r="H73" s="21">
        <v>39990.0</v>
      </c>
      <c r="I73" s="26">
        <f t="array" ref="I73">IF(OR(H73=0, H73=""), 0, 1 - ((((XLOOKUP($A73, 'datos de inventario'!$A:$A, 'datos de inventario'!$D:$D, 0) * 'datos de inventario'!$K$2) + (XLOOKUP($A73, 'datos de inventario'!$A:$A, 'datos de inventario'!$F:$F, 0) * 'datos de inventario'!$K$3 * 'datos de inventario'!$K$4)) * 1.19 + (H73 * 0.15) + XLOOKUP(MAX($Z73, (XLOOKUP($A73, 'datos de inventario'!$A:$A, 'datos de inventario'!$F:$F, 0) * 1000000 / 4000)) + 0.1, Tarifas!$A$2:$A$33, IF(H73 &lt;= 9989, Tarifas!$B$2:$B$33, IF(H73 &lt;= 19989, Tarifas!$C$2:$C$33, Tarifas!$D$2:$D$33)), "Peso excedido", 1)) / H73))</f>
        <v>0.374124156</v>
      </c>
      <c r="J73" s="21">
        <v>37990.0</v>
      </c>
      <c r="K73" s="26">
        <f t="array" ref="K73">IF(OR(J73=0, J73=""), 0, 1 - ((((XLOOKUP($A73, 'datos de inventario'!$A:$A, 'datos de inventario'!$D:$D, 0) * 'datos de inventario'!$K$2) + (XLOOKUP($A73, 'datos de inventario'!$A:$A, 'datos de inventario'!$F:$F, 0) * 'datos de inventario'!$K$3 * 'datos de inventario'!$K$4)) * 1.19 + (J73 * 0.15) + XLOOKUP(MAX($Z73, (XLOOKUP($A73, 'datos de inventario'!$A:$A, 'datos de inventario'!$F:$F, 0) * 1000000 / 4000)) + 0.1, Tarifas!$A$2:$A$33, IF(J73 &lt;= 9989, Tarifas!$B$2:$B$33, IF(J73 &lt;= 19989, Tarifas!$C$2:$C$33, Tarifas!$D$2:$D$33)), "Peso excedido", 1)) / J73))</f>
        <v>0.3490714662</v>
      </c>
      <c r="L73" s="21">
        <v>35990.0</v>
      </c>
      <c r="M73" s="26">
        <f t="array" ref="M73">IF(OR(L73=0, L73=""), 0, 1 - ((((XLOOKUP($A73, 'datos de inventario'!$A:$A, 'datos de inventario'!$D:$D, 0) * 'datos de inventario'!$K$2) + (XLOOKUP($A73, 'datos de inventario'!$A:$A, 'datos de inventario'!$F:$F, 0) * 'datos de inventario'!$K$3 * 'datos de inventario'!$K$4)) * 1.19 + (L73 * 0.15) + XLOOKUP(MAX($Z73, (XLOOKUP($A73, 'datos de inventario'!$A:$A, 'datos de inventario'!$F:$F, 0) * 1000000 / 4000)) + 0.1, Tarifas!$A$2:$A$33, IF(L73 &lt;= 9989, Tarifas!$B$2:$B$33, IF(L73 &lt;= 19989, Tarifas!$C$2:$C$33, Tarifas!$D$2:$D$33)), "Peso excedido", 1)) / L73))</f>
        <v>0.3212343707</v>
      </c>
      <c r="N73" s="38" t="s">
        <v>285</v>
      </c>
      <c r="O73" s="20"/>
      <c r="P73" s="37">
        <v>1.25</v>
      </c>
      <c r="Q73" s="34">
        <f t="shared" si="19"/>
        <v>5.375</v>
      </c>
      <c r="R73" s="37">
        <v>5.0</v>
      </c>
      <c r="S73" s="41">
        <f t="shared" si="20"/>
        <v>21.5</v>
      </c>
      <c r="T73" s="36">
        <v>46054.0</v>
      </c>
      <c r="U73" s="24">
        <f t="shared" si="17"/>
        <v>0.05001250313</v>
      </c>
      <c r="V73" s="24">
        <f t="shared" si="18"/>
        <v>0.05264543301</v>
      </c>
      <c r="W73" s="25"/>
      <c r="X73" s="25"/>
      <c r="Y73" s="25"/>
      <c r="Z73" s="25"/>
      <c r="AA73" s="25"/>
      <c r="AB73" s="25">
        <f t="shared" si="4"/>
        <v>0</v>
      </c>
      <c r="AC73" s="25"/>
      <c r="AD73" s="25"/>
      <c r="AE73" s="25"/>
      <c r="AF73" s="25"/>
      <c r="AG73" s="25"/>
    </row>
    <row r="74">
      <c r="A74" s="20" t="s">
        <v>286</v>
      </c>
      <c r="B74" s="18" t="s">
        <v>287</v>
      </c>
      <c r="C74" s="18" t="s">
        <v>288</v>
      </c>
      <c r="D74" s="20">
        <f t="shared" si="13"/>
        <v>59</v>
      </c>
      <c r="E74" s="18" t="s">
        <v>289</v>
      </c>
      <c r="F74" s="18" t="s">
        <v>290</v>
      </c>
      <c r="G74" s="19">
        <f t="shared" si="14"/>
        <v>67</v>
      </c>
      <c r="H74" s="21">
        <v>18990.0</v>
      </c>
      <c r="I74" s="26">
        <f t="array" ref="I74">IF(OR(H74=0, H74=""), 0, 1 - ((((XLOOKUP($A74, 'datos de inventario'!$A:$A, 'datos de inventario'!$D:$D, 0) * 'datos de inventario'!$K$2) + (XLOOKUP($A74, 'datos de inventario'!$A:$A, 'datos de inventario'!$F:$F, 0) * 'datos de inventario'!$K$3 * 'datos de inventario'!$K$4)) * 1.19 + (H74 * 0.15) + XLOOKUP(MAX($Z74, (XLOOKUP($A74, 'datos de inventario'!$A:$A, 'datos de inventario'!$F:$F, 0) * 1000000 / 4000)) + 0.1, Tarifas!$A$2:$A$33, IF(H74 &lt;= 9989, Tarifas!$B$2:$B$33, IF(H74 &lt;= 19989, Tarifas!$C$2:$C$33, Tarifas!$D$2:$D$33)), "Peso excedido", 1)) / H74))</f>
        <v>0.5762239863</v>
      </c>
      <c r="J74" s="21">
        <v>14990.0</v>
      </c>
      <c r="K74" s="26">
        <f t="array" ref="K74">IF(OR(J74=0, J74=""), 0, 1 - ((((XLOOKUP($A74, 'datos de inventario'!$A:$A, 'datos de inventario'!$D:$D, 0) * 'datos de inventario'!$K$2) + (XLOOKUP($A74, 'datos de inventario'!$A:$A, 'datos de inventario'!$F:$F, 0) * 'datos de inventario'!$K$3 * 'datos de inventario'!$K$4)) * 1.19 + (J74 * 0.15) + XLOOKUP(MAX($Z74, (XLOOKUP($A74, 'datos de inventario'!$A:$A, 'datos de inventario'!$F:$F, 0) * 1000000 / 4000)) + 0.1, Tarifas!$A$2:$A$33, IF(J74 &lt;= 9989, Tarifas!$B$2:$B$33, IF(J74 &lt;= 19989, Tarifas!$C$2:$C$33, Tarifas!$D$2:$D$33)), "Peso excedido", 1)) / J74))</f>
        <v>0.5031683456</v>
      </c>
      <c r="L74" s="21">
        <v>12990.0</v>
      </c>
      <c r="M74" s="26">
        <f t="array" ref="M74">IF(OR(L74=0, L74=""), 0, 1 - ((((XLOOKUP($A74, 'datos de inventario'!$A:$A, 'datos de inventario'!$D:$D, 0) * 'datos de inventario'!$K$2) + (XLOOKUP($A74, 'datos de inventario'!$A:$A, 'datos de inventario'!$F:$F, 0) * 'datos de inventario'!$K$3 * 'datos de inventario'!$K$4)) * 1.19 + (L74 * 0.15) + XLOOKUP(MAX($Z74, (XLOOKUP($A74, 'datos de inventario'!$A:$A, 'datos de inventario'!$F:$F, 0) * 1000000 / 4000)) + 0.1, Tarifas!$A$2:$A$33, IF(L74 &lt;= 9989, Tarifas!$B$2:$B$33, IF(L74 &lt;= 19989, Tarifas!$C$2:$C$33, Tarifas!$D$2:$D$33)), "Peso excedido", 1)) / L74))</f>
        <v>0.4497685527</v>
      </c>
      <c r="N74" s="38" t="s">
        <v>285</v>
      </c>
      <c r="O74" s="20"/>
      <c r="P74" s="37">
        <v>1.25</v>
      </c>
      <c r="Q74" s="34">
        <f t="shared" si="19"/>
        <v>5.375</v>
      </c>
      <c r="R74" s="37">
        <v>5.0</v>
      </c>
      <c r="S74" s="41">
        <f t="shared" si="20"/>
        <v>21.5</v>
      </c>
      <c r="T74" s="36">
        <v>46054.0</v>
      </c>
      <c r="U74" s="24">
        <f t="shared" si="17"/>
        <v>0.2106371775</v>
      </c>
      <c r="V74" s="24">
        <f t="shared" si="18"/>
        <v>0.1334222815</v>
      </c>
      <c r="W74" s="25"/>
      <c r="X74" s="25"/>
      <c r="Y74" s="25"/>
      <c r="Z74" s="25"/>
      <c r="AA74" s="25"/>
      <c r="AB74" s="25">
        <f t="shared" si="4"/>
        <v>0</v>
      </c>
      <c r="AC74" s="25"/>
      <c r="AD74" s="25"/>
      <c r="AE74" s="25"/>
      <c r="AF74" s="25"/>
      <c r="AG74" s="25"/>
    </row>
    <row r="75">
      <c r="A75" s="42" t="s">
        <v>291</v>
      </c>
      <c r="B75" s="18" t="s">
        <v>292</v>
      </c>
      <c r="C75" s="18" t="s">
        <v>293</v>
      </c>
      <c r="D75" s="20">
        <f t="shared" si="13"/>
        <v>59</v>
      </c>
      <c r="E75" s="18" t="s">
        <v>294</v>
      </c>
      <c r="F75" s="18" t="s">
        <v>294</v>
      </c>
      <c r="G75" s="19">
        <f t="shared" si="14"/>
        <v>70</v>
      </c>
      <c r="H75" s="21">
        <v>14990.0</v>
      </c>
      <c r="I75" s="26">
        <f t="array" ref="I75">IF(OR(H75=0, H75=""), 0, 1 - ((((XLOOKUP($A75, 'datos de inventario'!$A:$A, 'datos de inventario'!$D:$D, 0) * 'datos de inventario'!$K$2) + (XLOOKUP($A75, 'datos de inventario'!$A:$A, 'datos de inventario'!$F:$F, 0) * 'datos de inventario'!$K$3 * 'datos de inventario'!$K$4)) * 1.19 + (H75 * 0.15) + XLOOKUP(MAX($Z75, (XLOOKUP($A75, 'datos de inventario'!$A:$A, 'datos de inventario'!$F:$F, 0) * 1000000 / 4000)) + 0.1, Tarifas!$A$2:$A$33, IF(H75 &lt;= 9989, Tarifas!$B$2:$B$33, IF(H75 &lt;= 19989, Tarifas!$C$2:$C$33, Tarifas!$D$2:$D$33)), "Peso excedido", 1)) / H75))</f>
        <v>0.4606025017</v>
      </c>
      <c r="J75" s="21">
        <v>11990.0</v>
      </c>
      <c r="K75" s="26">
        <f t="array" ref="K75">IF(OR(J75=0, J75=""), 0, 1 - ((((XLOOKUP($A75, 'datos de inventario'!$A:$A, 'datos de inventario'!$D:$D, 0) * 'datos de inventario'!$K$2) + (XLOOKUP($A75, 'datos de inventario'!$A:$A, 'datos de inventario'!$F:$F, 0) * 'datos de inventario'!$K$3 * 'datos de inventario'!$K$4)) * 1.19 + (J75 * 0.15) + XLOOKUP(MAX($Z75, (XLOOKUP($A75, 'datos de inventario'!$A:$A, 'datos de inventario'!$F:$F, 0) * 1000000 / 4000)) + 0.1, Tarifas!$A$2:$A$33, IF(J75 &lt;= 9989, Tarifas!$B$2:$B$33, IF(J75 &lt;= 19989, Tarifas!$C$2:$C$33, Tarifas!$D$2:$D$33)), "Peso excedido", 1)) / J75))</f>
        <v>0.3631719349</v>
      </c>
      <c r="L75" s="21">
        <v>9980.0</v>
      </c>
      <c r="M75" s="26">
        <f t="array" ref="M75">IF(OR(L75=0, L75=""), 0, 1 - ((((XLOOKUP($A75, 'datos de inventario'!$A:$A, 'datos de inventario'!$D:$D, 0) * 'datos de inventario'!$K$2) + (XLOOKUP($A75, 'datos de inventario'!$A:$A, 'datos de inventario'!$F:$F, 0) * 'datos de inventario'!$K$3 * 'datos de inventario'!$K$4)) * 1.19 + (L75 * 0.15) + XLOOKUP(MAX($Z75, (XLOOKUP($A75, 'datos de inventario'!$A:$A, 'datos de inventario'!$F:$F, 0) * 1000000 / 4000)) + 0.1, Tarifas!$A$2:$A$33, IF(L75 &lt;= 9989, Tarifas!$B$2:$B$33, IF(L75 &lt;= 19989, Tarifas!$C$2:$C$33, Tarifas!$D$2:$D$33)), "Peso excedido", 1)) / L75))</f>
        <v>0.286165481</v>
      </c>
      <c r="N75" s="38" t="s">
        <v>295</v>
      </c>
      <c r="O75" s="20"/>
      <c r="P75" s="37">
        <f t="shared" ref="P75:P79" si="21">Q75/30*7</f>
        <v>1.4</v>
      </c>
      <c r="Q75" s="37">
        <v>6.0</v>
      </c>
      <c r="R75" s="37">
        <f t="shared" ref="R75:R79" si="22">S75/30*7</f>
        <v>4.2</v>
      </c>
      <c r="S75" s="33">
        <v>18.0</v>
      </c>
      <c r="T75" s="36">
        <v>46054.0</v>
      </c>
      <c r="U75" s="24">
        <f t="shared" si="17"/>
        <v>0.2001334223</v>
      </c>
      <c r="V75" s="24">
        <f t="shared" si="18"/>
        <v>0.1676396997</v>
      </c>
      <c r="W75" s="25"/>
      <c r="X75" s="25"/>
      <c r="Y75" s="25"/>
      <c r="Z75" s="25"/>
      <c r="AA75" s="25"/>
      <c r="AB75" s="25">
        <f t="shared" si="4"/>
        <v>0</v>
      </c>
      <c r="AC75" s="25"/>
      <c r="AD75" s="25"/>
      <c r="AE75" s="25"/>
      <c r="AF75" s="25"/>
      <c r="AG75" s="25"/>
    </row>
    <row r="76">
      <c r="A76" s="20" t="s">
        <v>296</v>
      </c>
      <c r="B76" s="18" t="s">
        <v>297</v>
      </c>
      <c r="C76" s="18" t="s">
        <v>298</v>
      </c>
      <c r="D76" s="20">
        <f t="shared" si="13"/>
        <v>59</v>
      </c>
      <c r="E76" s="18" t="s">
        <v>299</v>
      </c>
      <c r="F76" s="18" t="s">
        <v>300</v>
      </c>
      <c r="G76" s="19">
        <f t="shared" si="14"/>
        <v>66</v>
      </c>
      <c r="H76" s="21">
        <v>18990.0</v>
      </c>
      <c r="I76" s="26">
        <f t="array" ref="I76">IF(OR(H76=0, H76=""), 0, 1 - ((((XLOOKUP($A76, 'datos de inventario'!$A:$A, 'datos de inventario'!$D:$D, 0) * 'datos de inventario'!$K$2) + (XLOOKUP($A76, 'datos de inventario'!$A:$A, 'datos de inventario'!$F:$F, 0) * 'datos de inventario'!$K$3 * 'datos de inventario'!$K$4)) * 1.19 + (H76 * 0.15) + XLOOKUP(MAX($Z76, (XLOOKUP($A76, 'datos de inventario'!$A:$A, 'datos de inventario'!$F:$F, 0) * 1000000 / 4000)) + 0.1, Tarifas!$A$2:$A$33, IF(H76 &lt;= 9989, Tarifas!$B$2:$B$33, IF(H76 &lt;= 19989, Tarifas!$C$2:$C$33, Tarifas!$D$2:$D$33)), "Peso excedido", 1)) / H76))</f>
        <v>0.3784483676</v>
      </c>
      <c r="J76" s="21">
        <v>16990.0</v>
      </c>
      <c r="K76" s="26">
        <f t="array" ref="K76">IF(OR(J76=0, J76=""), 0, 1 - ((((XLOOKUP($A76, 'datos de inventario'!$A:$A, 'datos de inventario'!$D:$D, 0) * 'datos de inventario'!$K$2) + (XLOOKUP($A76, 'datos de inventario'!$A:$A, 'datos de inventario'!$F:$F, 0) * 'datos de inventario'!$K$3 * 'datos de inventario'!$K$4)) * 1.19 + (J76 * 0.15) + XLOOKUP(MAX($Z76, (XLOOKUP($A76, 'datos de inventario'!$A:$A, 'datos de inventario'!$F:$F, 0) * 1000000 / 4000)) + 0.1, Tarifas!$A$2:$A$33, IF(J76 &lt;= 9989, Tarifas!$B$2:$B$33, IF(J76 &lt;= 19989, Tarifas!$C$2:$C$33, Tarifas!$D$2:$D$33)), "Peso excedido", 1)) / J76))</f>
        <v>0.3229390524</v>
      </c>
      <c r="L76" s="21">
        <v>14990.0</v>
      </c>
      <c r="M76" s="26">
        <f t="array" ref="M76">IF(OR(L76=0, L76=""), 0, 1 - ((((XLOOKUP($A76, 'datos de inventario'!$A:$A, 'datos de inventario'!$D:$D, 0) * 'datos de inventario'!$K$2) + (XLOOKUP($A76, 'datos de inventario'!$A:$A, 'datos de inventario'!$F:$F, 0) * 'datos de inventario'!$K$3 * 'datos de inventario'!$K$4)) * 1.19 + (L76 * 0.15) + XLOOKUP(MAX($Z76, (XLOOKUP($A76, 'datos de inventario'!$A:$A, 'datos de inventario'!$F:$F, 0) * 1000000 / 4000)) + 0.1, Tarifas!$A$2:$A$33, IF(L76 &lt;= 9989, Tarifas!$B$2:$B$33, IF(L76 &lt;= 19989, Tarifas!$C$2:$C$33, Tarifas!$D$2:$D$33)), "Peso excedido", 1)) / L76))</f>
        <v>0.2526173783</v>
      </c>
      <c r="N76" s="38" t="s">
        <v>301</v>
      </c>
      <c r="O76" s="20"/>
      <c r="P76" s="37">
        <f t="shared" si="21"/>
        <v>2.333333333</v>
      </c>
      <c r="Q76" s="37">
        <v>10.0</v>
      </c>
      <c r="R76" s="37">
        <f t="shared" si="22"/>
        <v>7</v>
      </c>
      <c r="S76" s="33">
        <v>30.0</v>
      </c>
      <c r="T76" s="36">
        <v>46054.0</v>
      </c>
      <c r="U76" s="24">
        <f t="shared" si="17"/>
        <v>0.1053185887</v>
      </c>
      <c r="V76" s="24">
        <f t="shared" si="18"/>
        <v>0.1177163037</v>
      </c>
      <c r="W76" s="25"/>
      <c r="X76" s="25"/>
      <c r="Y76" s="25"/>
      <c r="Z76" s="25"/>
      <c r="AA76" s="25"/>
      <c r="AB76" s="25">
        <f t="shared" si="4"/>
        <v>0</v>
      </c>
      <c r="AC76" s="25"/>
      <c r="AD76" s="25"/>
      <c r="AE76" s="25"/>
      <c r="AF76" s="25"/>
      <c r="AG76" s="25"/>
    </row>
    <row r="77">
      <c r="A77" s="20" t="s">
        <v>302</v>
      </c>
      <c r="B77" s="18" t="s">
        <v>303</v>
      </c>
      <c r="C77" s="18" t="s">
        <v>304</v>
      </c>
      <c r="D77" s="20">
        <f t="shared" si="13"/>
        <v>60</v>
      </c>
      <c r="E77" s="18" t="s">
        <v>305</v>
      </c>
      <c r="F77" s="18" t="s">
        <v>306</v>
      </c>
      <c r="G77" s="19">
        <f t="shared" si="14"/>
        <v>67</v>
      </c>
      <c r="H77" s="21">
        <v>18990.0</v>
      </c>
      <c r="I77" s="26">
        <f t="array" ref="I77">IF(OR(H77=0, H77=""), 0, 1 - ((((XLOOKUP($A77, 'datos de inventario'!$A:$A, 'datos de inventario'!$D:$D, 0) * 'datos de inventario'!$K$2) + (XLOOKUP($A77, 'datos de inventario'!$A:$A, 'datos de inventario'!$F:$F, 0) * 'datos de inventario'!$K$3 * 'datos de inventario'!$K$4)) * 1.19 + (H77 * 0.15) + XLOOKUP(MAX($Z77, (XLOOKUP($A77, 'datos de inventario'!$A:$A, 'datos de inventario'!$F:$F, 0) * 1000000 / 4000)) + 0.1, Tarifas!$A$2:$A$33, IF(H77 &lt;= 9989, Tarifas!$B$2:$B$33, IF(H77 &lt;= 19989, Tarifas!$C$2:$C$33, Tarifas!$D$2:$D$33)), "Peso excedido", 1)) / H77))</f>
        <v>0.4154878225</v>
      </c>
      <c r="J77" s="21">
        <v>16990.0</v>
      </c>
      <c r="K77" s="26">
        <f t="array" ref="K77">IF(OR(J77=0, J77=""), 0, 1 - ((((XLOOKUP($A77, 'datos de inventario'!$A:$A, 'datos de inventario'!$D:$D, 0) * 'datos de inventario'!$K$2) + (XLOOKUP($A77, 'datos de inventario'!$A:$A, 'datos de inventario'!$F:$F, 0) * 'datos de inventario'!$K$3 * 'datos de inventario'!$K$4)) * 1.19 + (J77 * 0.15) + XLOOKUP(MAX($Z77, (XLOOKUP($A77, 'datos de inventario'!$A:$A, 'datos de inventario'!$F:$F, 0) * 1000000 / 4000)) + 0.1, Tarifas!$A$2:$A$33, IF(J77 &lt;= 9989, Tarifas!$B$2:$B$33, IF(J77 &lt;= 19989, Tarifas!$C$2:$C$33, Tarifas!$D$2:$D$33)), "Peso excedido", 1)) / J77))</f>
        <v>0.3643386551</v>
      </c>
      <c r="L77" s="21">
        <v>14990.0</v>
      </c>
      <c r="M77" s="26">
        <f t="array" ref="M77">IF(OR(L77=0, L77=""), 0, 1 - ((((XLOOKUP($A77, 'datos de inventario'!$A:$A, 'datos de inventario'!$D:$D, 0) * 'datos de inventario'!$K$2) + (XLOOKUP($A77, 'datos de inventario'!$A:$A, 'datos de inventario'!$F:$F, 0) * 'datos de inventario'!$K$3 * 'datos de inventario'!$K$4)) * 1.19 + (L77 * 0.15) + XLOOKUP(MAX($Z77, (XLOOKUP($A77, 'datos de inventario'!$A:$A, 'datos de inventario'!$F:$F, 0) * 1000000 / 4000)) + 0.1, Tarifas!$A$2:$A$33, IF(L77 &lt;= 9989, Tarifas!$B$2:$B$33, IF(L77 &lt;= 19989, Tarifas!$C$2:$C$33, Tarifas!$D$2:$D$33)), "Peso excedido", 1)) / L77))</f>
        <v>0.2995406104</v>
      </c>
      <c r="N77" s="38" t="s">
        <v>307</v>
      </c>
      <c r="O77" s="20"/>
      <c r="P77" s="37">
        <f t="shared" si="21"/>
        <v>2.333333333</v>
      </c>
      <c r="Q77" s="37">
        <v>10.0</v>
      </c>
      <c r="R77" s="37">
        <f t="shared" si="22"/>
        <v>7</v>
      </c>
      <c r="S77" s="33">
        <v>30.0</v>
      </c>
      <c r="T77" s="36">
        <v>46054.0</v>
      </c>
      <c r="U77" s="24">
        <f t="shared" si="17"/>
        <v>0.1053185887</v>
      </c>
      <c r="V77" s="24">
        <f t="shared" si="18"/>
        <v>0.1177163037</v>
      </c>
      <c r="W77" s="25"/>
      <c r="X77" s="25"/>
      <c r="Y77" s="25"/>
      <c r="Z77" s="25"/>
      <c r="AA77" s="25"/>
      <c r="AB77" s="25">
        <f t="shared" si="4"/>
        <v>0</v>
      </c>
      <c r="AC77" s="25"/>
      <c r="AD77" s="25"/>
      <c r="AE77" s="25"/>
      <c r="AF77" s="25"/>
      <c r="AG77" s="25"/>
    </row>
    <row r="78">
      <c r="A78" s="42" t="s">
        <v>308</v>
      </c>
      <c r="B78" s="18" t="s">
        <v>309</v>
      </c>
      <c r="C78" s="18" t="s">
        <v>310</v>
      </c>
      <c r="D78" s="20">
        <f t="shared" si="13"/>
        <v>59</v>
      </c>
      <c r="E78" s="18" t="s">
        <v>311</v>
      </c>
      <c r="F78" s="18" t="s">
        <v>312</v>
      </c>
      <c r="G78" s="19">
        <f t="shared" si="14"/>
        <v>64</v>
      </c>
      <c r="H78" s="21">
        <v>16990.0</v>
      </c>
      <c r="I78" s="26">
        <f t="array" ref="I78">IF(OR(H78=0, H78=""), 0, 1 - ((((XLOOKUP($A78, 'datos de inventario'!$A:$A, 'datos de inventario'!$D:$D, 0) * 'datos de inventario'!$K$2) + (XLOOKUP($A78, 'datos de inventario'!$A:$A, 'datos de inventario'!$F:$F, 0) * 'datos de inventario'!$K$3 * 'datos de inventario'!$K$4)) * 1.19 + (H78 * 0.15) + XLOOKUP(MAX($Z78, (XLOOKUP($A78, 'datos de inventario'!$A:$A, 'datos de inventario'!$F:$F, 0) * 1000000 / 4000)) + 0.1, Tarifas!$A$2:$A$33, IF(H78 &lt;= 9989, Tarifas!$B$2:$B$33, IF(H78 &lt;= 19989, Tarifas!$C$2:$C$33, Tarifas!$D$2:$D$33)), "Peso excedido", 1)) / H78))</f>
        <v>0.5214608005</v>
      </c>
      <c r="J78" s="21">
        <v>14990.0</v>
      </c>
      <c r="K78" s="26">
        <f t="array" ref="K78">IF(OR(J78=0, J78=""), 0, 1 - ((((XLOOKUP($A78, 'datos de inventario'!$A:$A, 'datos de inventario'!$D:$D, 0) * 'datos de inventario'!$K$2) + (XLOOKUP($A78, 'datos de inventario'!$A:$A, 'datos de inventario'!$F:$F, 0) * 'datos de inventario'!$K$3 * 'datos de inventario'!$K$4)) * 1.19 + (J78 * 0.15) + XLOOKUP(MAX($Z78, (XLOOKUP($A78, 'datos de inventario'!$A:$A, 'datos de inventario'!$F:$F, 0) * 1000000 / 4000)) + 0.1, Tarifas!$A$2:$A$33, IF(J78 &lt;= 9989, Tarifas!$B$2:$B$33, IF(J78 &lt;= 19989, Tarifas!$C$2:$C$33, Tarifas!$D$2:$D$33)), "Peso excedido", 1)) / J78))</f>
        <v>0.4776263509</v>
      </c>
      <c r="L78" s="21">
        <v>12990.0</v>
      </c>
      <c r="M78" s="26">
        <f t="array" ref="M78">IF(OR(L78=0, L78=""), 0, 1 - ((((XLOOKUP($A78, 'datos de inventario'!$A:$A, 'datos de inventario'!$D:$D, 0) * 'datos de inventario'!$K$2) + (XLOOKUP($A78, 'datos de inventario'!$A:$A, 'datos de inventario'!$F:$F, 0) * 'datos de inventario'!$K$3 * 'datos de inventario'!$K$4)) * 1.19 + (L78 * 0.15) + XLOOKUP(MAX($Z78, (XLOOKUP($A78, 'datos de inventario'!$A:$A, 'datos de inventario'!$F:$F, 0) * 1000000 / 4000)) + 0.1, Tarifas!$A$2:$A$33, IF(L78 &lt;= 9989, Tarifas!$B$2:$B$33, IF(L78 &lt;= 19989, Tarifas!$C$2:$C$33, Tarifas!$D$2:$D$33)), "Peso excedido", 1)) / L78))</f>
        <v>0.4202939954</v>
      </c>
      <c r="N78" s="38" t="s">
        <v>313</v>
      </c>
      <c r="O78" s="20"/>
      <c r="P78" s="37">
        <f t="shared" si="21"/>
        <v>2.8</v>
      </c>
      <c r="Q78" s="37">
        <v>12.0</v>
      </c>
      <c r="R78" s="37">
        <f t="shared" si="22"/>
        <v>8.166666667</v>
      </c>
      <c r="S78" s="33">
        <v>35.0</v>
      </c>
      <c r="T78" s="36">
        <v>46054.0</v>
      </c>
      <c r="U78" s="24">
        <f t="shared" si="17"/>
        <v>0.1177163037</v>
      </c>
      <c r="V78" s="24">
        <f t="shared" si="18"/>
        <v>0.1334222815</v>
      </c>
      <c r="W78" s="25"/>
      <c r="X78" s="25"/>
      <c r="Y78" s="25"/>
      <c r="Z78" s="25"/>
      <c r="AA78" s="25"/>
      <c r="AB78" s="25">
        <f t="shared" si="4"/>
        <v>0</v>
      </c>
      <c r="AC78" s="25"/>
      <c r="AD78" s="25"/>
      <c r="AE78" s="25"/>
      <c r="AF78" s="25"/>
      <c r="AG78" s="25"/>
    </row>
    <row r="79">
      <c r="A79" s="20" t="s">
        <v>314</v>
      </c>
      <c r="B79" s="18" t="s">
        <v>315</v>
      </c>
      <c r="C79" s="18" t="s">
        <v>316</v>
      </c>
      <c r="D79" s="20">
        <f t="shared" si="13"/>
        <v>60</v>
      </c>
      <c r="E79" s="18" t="s">
        <v>317</v>
      </c>
      <c r="F79" s="18" t="s">
        <v>318</v>
      </c>
      <c r="G79" s="19">
        <f t="shared" si="14"/>
        <v>66</v>
      </c>
      <c r="H79" s="21">
        <v>11990.0</v>
      </c>
      <c r="I79" s="26">
        <f t="array" ref="I79">IF(OR(H79=0, H79=""), 0, 1 - ((((XLOOKUP($A79, 'datos de inventario'!$A:$A, 'datos de inventario'!$D:$D, 0) * 'datos de inventario'!$K$2) + (XLOOKUP($A79, 'datos de inventario'!$A:$A, 'datos de inventario'!$F:$F, 0) * 'datos de inventario'!$K$3 * 'datos de inventario'!$K$4)) * 1.19 + (H79 * 0.15) + XLOOKUP(MAX($Z79, (XLOOKUP($A79, 'datos de inventario'!$A:$A, 'datos de inventario'!$F:$F, 0) * 1000000 / 4000)) + 0.1, Tarifas!$A$2:$A$33, IF(H79 &lt;= 9989, Tarifas!$B$2:$B$33, IF(H79 &lt;= 19989, Tarifas!$C$2:$C$33, Tarifas!$D$2:$D$33)), "Peso excedido", 1)) / H79))</f>
        <v>0.4508463511</v>
      </c>
      <c r="J79" s="21">
        <v>9980.0</v>
      </c>
      <c r="K79" s="26">
        <f t="array" ref="K79">IF(OR(J79=0, J79=""), 0, 1 - ((((XLOOKUP($A79, 'datos de inventario'!$A:$A, 'datos de inventario'!$D:$D, 0) * 'datos de inventario'!$K$2) + (XLOOKUP($A79, 'datos de inventario'!$A:$A, 'datos de inventario'!$F:$F, 0) * 'datos de inventario'!$K$3 * 'datos de inventario'!$K$4)) * 1.19 + (J79 * 0.15) + XLOOKUP(MAX($Z79, (XLOOKUP($A79, 'datos de inventario'!$A:$A, 'datos de inventario'!$F:$F, 0) * 1000000 / 4000)) + 0.1, Tarifas!$A$2:$A$33, IF(J79 &lt;= 9989, Tarifas!$B$2:$B$33, IF(J79 &lt;= 19989, Tarifas!$C$2:$C$33, Tarifas!$D$2:$D$33)), "Peso excedido", 1)) / J79))</f>
        <v>0.3914977705</v>
      </c>
      <c r="L79" s="21">
        <v>7990.0</v>
      </c>
      <c r="M79" s="26">
        <f t="array" ref="M79">IF(OR(L79=0, L79=""), 0, 1 - ((((XLOOKUP($A79, 'datos de inventario'!$A:$A, 'datos de inventario'!$D:$D, 0) * 'datos de inventario'!$K$2) + (XLOOKUP($A79, 'datos de inventario'!$A:$A, 'datos de inventario'!$F:$F, 0) * 'datos de inventario'!$K$3 * 'datos de inventario'!$K$4)) * 1.19 + (L79 * 0.15) + XLOOKUP(MAX($Z79, (XLOOKUP($A79, 'datos de inventario'!$A:$A, 'datos de inventario'!$F:$F, 0) * 1000000 / 4000)) + 0.1, Tarifas!$A$2:$A$33, IF(L79 &lt;= 9989, Tarifas!$B$2:$B$33, IF(L79 &lt;= 19989, Tarifas!$C$2:$C$33, Tarifas!$D$2:$D$33)), "Peso excedido", 1)) / L79))</f>
        <v>0.277302597</v>
      </c>
      <c r="N79" s="38" t="s">
        <v>307</v>
      </c>
      <c r="O79" s="20"/>
      <c r="P79" s="37">
        <f t="shared" si="21"/>
        <v>2.333333333</v>
      </c>
      <c r="Q79" s="37">
        <v>10.0</v>
      </c>
      <c r="R79" s="37">
        <f t="shared" si="22"/>
        <v>7</v>
      </c>
      <c r="S79" s="33">
        <v>30.0</v>
      </c>
      <c r="T79" s="36">
        <v>46054.0</v>
      </c>
      <c r="U79" s="24">
        <f t="shared" si="17"/>
        <v>0.1676396997</v>
      </c>
      <c r="V79" s="24">
        <f t="shared" si="18"/>
        <v>0.1993987976</v>
      </c>
      <c r="W79" s="25"/>
      <c r="X79" s="25"/>
      <c r="Y79" s="25"/>
      <c r="Z79" s="25"/>
      <c r="AA79" s="25"/>
      <c r="AB79" s="25">
        <f t="shared" si="4"/>
        <v>0</v>
      </c>
      <c r="AC79" s="25"/>
      <c r="AD79" s="25"/>
      <c r="AE79" s="25"/>
      <c r="AF79" s="25"/>
      <c r="AG79" s="25"/>
    </row>
    <row r="80">
      <c r="A80" s="20" t="s">
        <v>319</v>
      </c>
      <c r="B80" s="18" t="s">
        <v>320</v>
      </c>
      <c r="C80" s="18" t="s">
        <v>321</v>
      </c>
      <c r="D80" s="20">
        <f t="shared" si="13"/>
        <v>59</v>
      </c>
      <c r="E80" s="18" t="s">
        <v>322</v>
      </c>
      <c r="F80" s="18" t="s">
        <v>323</v>
      </c>
      <c r="G80" s="19">
        <f t="shared" si="14"/>
        <v>66</v>
      </c>
      <c r="H80" s="21">
        <v>13990.0</v>
      </c>
      <c r="I80" s="26">
        <f t="array" ref="I80">IF(OR(H80=0, H80=""), 0, 1 - ((((XLOOKUP($A80, 'datos de inventario'!$A:$A, 'datos de inventario'!$D:$D, 0) * 'datos de inventario'!$K$2) + (XLOOKUP($A80, 'datos de inventario'!$A:$A, 'datos de inventario'!$F:$F, 0) * 'datos de inventario'!$K$3 * 'datos de inventario'!$K$4)) * 1.19 + (H80 * 0.15) + XLOOKUP(MAX($Z80, (XLOOKUP($A80, 'datos de inventario'!$A:$A, 'datos de inventario'!$F:$F, 0) * 1000000 / 4000)) + 0.1, Tarifas!$A$2:$A$33, IF(H80 &lt;= 9989, Tarifas!$B$2:$B$33, IF(H80 &lt;= 19989, Tarifas!$C$2:$C$33, Tarifas!$D$2:$D$33)), "Peso excedido", 1)) / H80))</f>
        <v>0.4680963724</v>
      </c>
      <c r="J80" s="21">
        <v>11990.0</v>
      </c>
      <c r="K80" s="26">
        <f t="array" ref="K80">IF(OR(J80=0, J80=""), 0, 1 - ((((XLOOKUP($A80, 'datos de inventario'!$A:$A, 'datos de inventario'!$D:$D, 0) * 'datos de inventario'!$K$2) + (XLOOKUP($A80, 'datos de inventario'!$A:$A, 'datos de inventario'!$F:$F, 0) * 'datos de inventario'!$K$3 * 'datos de inventario'!$K$4)) * 1.19 + (J80 * 0.15) + XLOOKUP(MAX($Z80, (XLOOKUP($A80, 'datos de inventario'!$A:$A, 'datos de inventario'!$F:$F, 0) * 1000000 / 4000)) + 0.1, Tarifas!$A$2:$A$33, IF(J80 &lt;= 9989, Tarifas!$B$2:$B$33, IF(J80 &lt;= 19989, Tarifas!$C$2:$C$33, Tarifas!$D$2:$D$33)), "Peso excedido", 1)) / J80))</f>
        <v>0.4043926814</v>
      </c>
      <c r="L80" s="21">
        <v>9980.0</v>
      </c>
      <c r="M80" s="26">
        <f t="array" ref="M80">IF(OR(L80=0, L80=""), 0, 1 - ((((XLOOKUP($A80, 'datos de inventario'!$A:$A, 'datos de inventario'!$D:$D, 0) * 'datos de inventario'!$K$2) + (XLOOKUP($A80, 'datos de inventario'!$A:$A, 'datos de inventario'!$F:$F, 0) * 'datos de inventario'!$K$3 * 'datos de inventario'!$K$4)) * 1.19 + (L80 * 0.15) + XLOOKUP(MAX($Z80, (XLOOKUP($A80, 'datos de inventario'!$A:$A, 'datos de inventario'!$F:$F, 0) * 1000000 / 4000)) + 0.1, Tarifas!$A$2:$A$33, IF(L80 &lt;= 9989, Tarifas!$B$2:$B$33, IF(L80 &lt;= 19989, Tarifas!$C$2:$C$33, Tarifas!$D$2:$D$33)), "Peso excedido", 1)) / L80))</f>
        <v>0.3356882014</v>
      </c>
      <c r="N80" s="38" t="s">
        <v>324</v>
      </c>
      <c r="O80" s="20"/>
      <c r="P80" s="37">
        <v>3.0</v>
      </c>
      <c r="Q80" s="34">
        <f t="shared" ref="Q80:Q93" si="23">P80*4.3</f>
        <v>12.9</v>
      </c>
      <c r="R80" s="37">
        <v>8.0</v>
      </c>
      <c r="S80" s="41">
        <f t="shared" ref="S80:S93" si="24">R80*4.3</f>
        <v>34.4</v>
      </c>
      <c r="T80" s="36">
        <v>46082.0</v>
      </c>
      <c r="U80" s="24">
        <f t="shared" si="17"/>
        <v>0.1429592566</v>
      </c>
      <c r="V80" s="24">
        <f t="shared" si="18"/>
        <v>0.1676396997</v>
      </c>
      <c r="W80" s="25"/>
      <c r="X80" s="25"/>
      <c r="Y80" s="25"/>
      <c r="Z80" s="25"/>
      <c r="AA80" s="25"/>
      <c r="AB80" s="25">
        <f t="shared" si="4"/>
        <v>0</v>
      </c>
      <c r="AC80" s="25"/>
      <c r="AD80" s="25"/>
      <c r="AE80" s="25"/>
      <c r="AF80" s="25"/>
      <c r="AG80" s="25"/>
    </row>
    <row r="81">
      <c r="A81" s="43" t="s">
        <v>325</v>
      </c>
      <c r="B81" s="18" t="s">
        <v>326</v>
      </c>
      <c r="C81" s="19" t="s">
        <v>327</v>
      </c>
      <c r="D81" s="20">
        <f t="shared" si="13"/>
        <v>58</v>
      </c>
      <c r="E81" s="19" t="s">
        <v>328</v>
      </c>
      <c r="F81" s="19" t="s">
        <v>329</v>
      </c>
      <c r="G81" s="19">
        <f t="shared" si="14"/>
        <v>69</v>
      </c>
      <c r="H81" s="21">
        <v>17990.0</v>
      </c>
      <c r="I81" s="26">
        <f t="array" ref="I81">IF(OR(H81=0, H81=""), 0, 1 - ((((XLOOKUP($A81, 'datos de inventario'!$A:$A, 'datos de inventario'!$D:$D, 0) * 'datos de inventario'!$K$2) + (XLOOKUP($A81, 'datos de inventario'!$A:$A, 'datos de inventario'!$F:$F, 0) * 'datos de inventario'!$K$3 * 'datos de inventario'!$K$4)) * 1.19 + (H81 * 0.15) + XLOOKUP(MAX($Z81, (XLOOKUP($A81, 'datos de inventario'!$A:$A, 'datos de inventario'!$F:$F, 0) * 1000000 / 4000)) + 0.1, Tarifas!$A$2:$A$33, IF(H81 &lt;= 9989, Tarifas!$B$2:$B$33, IF(H81 &lt;= 19989, Tarifas!$C$2:$C$33, Tarifas!$D$2:$D$33)), "Peso excedido", 1)) / H81))</f>
        <v>0.4135456365</v>
      </c>
      <c r="J81" s="21">
        <v>15990.0</v>
      </c>
      <c r="K81" s="26">
        <f t="array" ref="K81">IF(OR(J81=0, J81=""), 0, 1 - ((((XLOOKUP($A81, 'datos de inventario'!$A:$A, 'datos de inventario'!$D:$D, 0) * 'datos de inventario'!$K$2) + (XLOOKUP($A81, 'datos de inventario'!$A:$A, 'datos de inventario'!$F:$F, 0) * 'datos de inventario'!$K$3 * 'datos de inventario'!$K$4)) * 1.19 + (J81 * 0.15) + XLOOKUP(MAX($Z81, (XLOOKUP($A81, 'datos de inventario'!$A:$A, 'datos de inventario'!$F:$F, 0) * 1000000 / 4000)) + 0.1, Tarifas!$A$2:$A$33, IF(J81 &lt;= 9989, Tarifas!$B$2:$B$33, IF(J81 &lt;= 19989, Tarifas!$C$2:$C$33, Tarifas!$D$2:$D$33)), "Peso excedido", 1)) / J81))</f>
        <v>0.3589547217</v>
      </c>
      <c r="L81" s="21">
        <v>13990.0</v>
      </c>
      <c r="M81" s="26">
        <f t="array" ref="M81">IF(OR(L81=0, L81=""), 0, 1 - ((((XLOOKUP($A81, 'datos de inventario'!$A:$A, 'datos de inventario'!$D:$D, 0) * 'datos de inventario'!$K$2) + (XLOOKUP($A81, 'datos de inventario'!$A:$A, 'datos de inventario'!$F:$F, 0) * 'datos de inventario'!$K$3 * 'datos de inventario'!$K$4)) * 1.19 + (L81 * 0.15) + XLOOKUP(MAX($Z81, (XLOOKUP($A81, 'datos de inventario'!$A:$A, 'datos de inventario'!$F:$F, 0) * 1000000 / 4000)) + 0.1, Tarifas!$A$2:$A$33, IF(L81 &lt;= 9989, Tarifas!$B$2:$B$33, IF(L81 &lt;= 19989, Tarifas!$C$2:$C$33, Tarifas!$D$2:$D$33)), "Peso excedido", 1)) / L81))</f>
        <v>0.2887552538</v>
      </c>
      <c r="N81" s="38" t="s">
        <v>307</v>
      </c>
      <c r="O81" s="20"/>
      <c r="P81" s="37">
        <v>3.33</v>
      </c>
      <c r="Q81" s="34">
        <f t="shared" si="23"/>
        <v>14.319</v>
      </c>
      <c r="R81" s="37">
        <v>10.0</v>
      </c>
      <c r="S81" s="41">
        <f t="shared" si="24"/>
        <v>43</v>
      </c>
      <c r="T81" s="36">
        <v>46082.0</v>
      </c>
      <c r="U81" s="24">
        <f t="shared" si="17"/>
        <v>0.1111728738</v>
      </c>
      <c r="V81" s="24">
        <f t="shared" si="18"/>
        <v>0.1250781739</v>
      </c>
      <c r="W81" s="25"/>
      <c r="X81" s="25"/>
      <c r="Y81" s="25"/>
      <c r="Z81" s="25"/>
      <c r="AA81" s="25"/>
      <c r="AB81" s="25">
        <f t="shared" si="4"/>
        <v>0</v>
      </c>
      <c r="AC81" s="25"/>
      <c r="AD81" s="25"/>
      <c r="AE81" s="25"/>
      <c r="AF81" s="25"/>
      <c r="AG81" s="25"/>
    </row>
    <row r="82">
      <c r="A82" s="43" t="s">
        <v>330</v>
      </c>
      <c r="B82" s="18" t="s">
        <v>331</v>
      </c>
      <c r="C82" s="19" t="s">
        <v>332</v>
      </c>
      <c r="D82" s="20">
        <f t="shared" si="13"/>
        <v>60</v>
      </c>
      <c r="E82" s="19" t="s">
        <v>333</v>
      </c>
      <c r="F82" s="19" t="s">
        <v>332</v>
      </c>
      <c r="G82" s="19">
        <f t="shared" si="14"/>
        <v>60</v>
      </c>
      <c r="H82" s="21">
        <v>10990.0</v>
      </c>
      <c r="I82" s="26">
        <f t="array" ref="I82">IF(OR(H82=0, H82=""), 0, 1 - ((((XLOOKUP($A82, 'datos de inventario'!$A:$A, 'datos de inventario'!$D:$D, 0) * 'datos de inventario'!$K$2) + (XLOOKUP($A82, 'datos de inventario'!$A:$A, 'datos de inventario'!$F:$F, 0) * 'datos de inventario'!$K$3 * 'datos de inventario'!$K$4)) * 1.19 + (H82 * 0.15) + XLOOKUP(MAX($Z82, (XLOOKUP($A82, 'datos de inventario'!$A:$A, 'datos de inventario'!$F:$F, 0) * 1000000 / 4000)) + 0.1, Tarifas!$A$2:$A$33, IF(H82 &lt;= 9989, Tarifas!$B$2:$B$33, IF(H82 &lt;= 19989, Tarifas!$C$2:$C$33, Tarifas!$D$2:$D$33)), "Peso excedido", 1)) / H82))</f>
        <v>0.5819928799</v>
      </c>
      <c r="J82" s="21">
        <v>9980.0</v>
      </c>
      <c r="K82" s="26">
        <f t="array" ref="K82">IF(OR(J82=0, J82=""), 0, 1 - ((((XLOOKUP($A82, 'datos de inventario'!$A:$A, 'datos de inventario'!$D:$D, 0) * 'datos de inventario'!$K$2) + (XLOOKUP($A82, 'datos de inventario'!$A:$A, 'datos de inventario'!$F:$F, 0) * 'datos de inventario'!$K$3 * 'datos de inventario'!$K$4)) * 1.19 + (J82 * 0.15) + XLOOKUP(MAX($Z82, (XLOOKUP($A82, 'datos de inventario'!$A:$A, 'datos de inventario'!$F:$F, 0) * 1000000 / 4000)) + 0.1, Tarifas!$A$2:$A$33, IF(J82 &lt;= 9989, Tarifas!$B$2:$B$33, IF(J82 &lt;= 19989, Tarifas!$C$2:$C$33, Tarifas!$D$2:$D$33)), "Peso excedido", 1)) / J82))</f>
        <v>0.575911999</v>
      </c>
      <c r="L82" s="21">
        <v>8990.0</v>
      </c>
      <c r="M82" s="26">
        <f t="array" ref="M82">IF(OR(L82=0, L82=""), 0, 1 - ((((XLOOKUP($A82, 'datos de inventario'!$A:$A, 'datos de inventario'!$D:$D, 0) * 'datos de inventario'!$K$2) + (XLOOKUP($A82, 'datos de inventario'!$A:$A, 'datos de inventario'!$F:$F, 0) * 'datos de inventario'!$K$3 * 'datos de inventario'!$K$4)) * 1.19 + (L82 * 0.15) + XLOOKUP(MAX($Z82, (XLOOKUP($A82, 'datos de inventario'!$A:$A, 'datos de inventario'!$F:$F, 0) * 1000000 / 4000)) + 0.1, Tarifas!$A$2:$A$33, IF(L82 &lt;= 9989, Tarifas!$B$2:$B$33, IF(L82 &lt;= 19989, Tarifas!$C$2:$C$33, Tarifas!$D$2:$D$33)), "Peso excedido", 1)) / L82))</f>
        <v>0.545728782</v>
      </c>
      <c r="N82" s="38" t="s">
        <v>307</v>
      </c>
      <c r="O82" s="25"/>
      <c r="P82" s="37">
        <v>2.4</v>
      </c>
      <c r="Q82" s="34">
        <f t="shared" si="23"/>
        <v>10.32</v>
      </c>
      <c r="R82" s="37">
        <v>7.0</v>
      </c>
      <c r="S82" s="41">
        <f t="shared" si="24"/>
        <v>30.1</v>
      </c>
      <c r="T82" s="36">
        <v>46082.0</v>
      </c>
      <c r="U82" s="24">
        <f t="shared" si="17"/>
        <v>0.09190172884</v>
      </c>
      <c r="V82" s="24">
        <f t="shared" si="18"/>
        <v>0.09919839679</v>
      </c>
      <c r="W82" s="25"/>
      <c r="X82" s="25"/>
      <c r="Y82" s="25"/>
      <c r="Z82" s="25"/>
      <c r="AA82" s="25"/>
      <c r="AB82" s="25">
        <f t="shared" si="4"/>
        <v>0</v>
      </c>
      <c r="AC82" s="25"/>
      <c r="AD82" s="25"/>
      <c r="AE82" s="25"/>
      <c r="AF82" s="25"/>
      <c r="AG82" s="25"/>
    </row>
    <row r="83">
      <c r="A83" s="43" t="s">
        <v>334</v>
      </c>
      <c r="B83" s="18" t="s">
        <v>335</v>
      </c>
      <c r="C83" s="19" t="s">
        <v>336</v>
      </c>
      <c r="D83" s="20">
        <f t="shared" si="13"/>
        <v>60</v>
      </c>
      <c r="E83" s="19" t="s">
        <v>337</v>
      </c>
      <c r="F83" s="19" t="s">
        <v>338</v>
      </c>
      <c r="G83" s="19">
        <f t="shared" si="14"/>
        <v>69</v>
      </c>
      <c r="H83" s="21">
        <v>10990.0</v>
      </c>
      <c r="I83" s="26">
        <f t="array" ref="I83">IF(OR(H83=0, H83=""), 0, 1 - ((((XLOOKUP($A83, 'datos de inventario'!$A:$A, 'datos de inventario'!$D:$D, 0) * 'datos de inventario'!$K$2) + (XLOOKUP($A83, 'datos de inventario'!$A:$A, 'datos de inventario'!$F:$F, 0) * 'datos de inventario'!$K$3 * 'datos de inventario'!$K$4)) * 1.19 + (H83 * 0.15) + XLOOKUP(MAX($Z83, (XLOOKUP($A83, 'datos de inventario'!$A:$A, 'datos de inventario'!$F:$F, 0) * 1000000 / 4000)) + 0.1, Tarifas!$A$2:$A$33, IF(H83 &lt;= 9989, Tarifas!$B$2:$B$33, IF(H83 &lt;= 19989, Tarifas!$C$2:$C$33, Tarifas!$D$2:$D$33)), "Peso excedido", 1)) / H83))</f>
        <v>0.4338573703</v>
      </c>
      <c r="J83" s="21">
        <v>9990.0</v>
      </c>
      <c r="K83" s="26">
        <f t="array" ref="K83">IF(OR(J83=0, J83=""), 0, 1 - ((((XLOOKUP($A83, 'datos de inventario'!$A:$A, 'datos de inventario'!$D:$D, 0) * 'datos de inventario'!$K$2) + (XLOOKUP($A83, 'datos de inventario'!$A:$A, 'datos de inventario'!$F:$F, 0) * 'datos de inventario'!$K$3 * 'datos de inventario'!$K$4)) * 1.19 + (J83 * 0.15) + XLOOKUP(MAX($Z83, (XLOOKUP($A83, 'datos de inventario'!$A:$A, 'datos de inventario'!$F:$F, 0) * 1000000 / 4000)) + 0.1, Tarifas!$A$2:$A$33, IF(J83 &lt;= 9989, Tarifas!$B$2:$B$33, IF(J83 &lt;= 19989, Tarifas!$C$2:$C$33, Tarifas!$D$2:$D$33)), "Peso excedido", 1)) / J83))</f>
        <v>0.3922014515</v>
      </c>
      <c r="L83" s="21">
        <v>8990.0</v>
      </c>
      <c r="M83" s="26">
        <f t="array" ref="M83">IF(OR(L83=0, L83=""), 0, 1 - ((((XLOOKUP($A83, 'datos de inventario'!$A:$A, 'datos de inventario'!$D:$D, 0) * 'datos de inventario'!$K$2) + (XLOOKUP($A83, 'datos de inventario'!$A:$A, 'datos de inventario'!$F:$F, 0) * 'datos de inventario'!$K$3 * 'datos de inventario'!$K$4)) * 1.19 + (L83 * 0.15) + XLOOKUP(MAX($Z83, (XLOOKUP($A83, 'datos de inventario'!$A:$A, 'datos de inventario'!$F:$F, 0) * 1000000 / 4000)) + 0.1, Tarifas!$A$2:$A$33, IF(L83 &lt;= 9989, Tarifas!$B$2:$B$33, IF(L83 &lt;= 19989, Tarifas!$C$2:$C$33, Tarifas!$D$2:$D$33)), "Peso excedido", 1)) / L83))</f>
        <v>0.3646376529</v>
      </c>
      <c r="N83" s="38" t="s">
        <v>307</v>
      </c>
      <c r="O83" s="25"/>
      <c r="P83" s="37">
        <v>6.6</v>
      </c>
      <c r="Q83" s="34">
        <f t="shared" si="23"/>
        <v>28.38</v>
      </c>
      <c r="R83" s="37">
        <v>20.0</v>
      </c>
      <c r="S83" s="41">
        <f t="shared" si="24"/>
        <v>86</v>
      </c>
      <c r="T83" s="36">
        <v>46082.0</v>
      </c>
      <c r="U83" s="24">
        <f t="shared" si="17"/>
        <v>0.09099181074</v>
      </c>
      <c r="V83" s="24">
        <f t="shared" si="18"/>
        <v>0.1001001001</v>
      </c>
      <c r="W83" s="25"/>
      <c r="X83" s="25"/>
      <c r="Y83" s="25"/>
      <c r="Z83" s="25"/>
      <c r="AA83" s="25"/>
      <c r="AB83" s="25">
        <f t="shared" si="4"/>
        <v>0</v>
      </c>
      <c r="AC83" s="25"/>
      <c r="AD83" s="25"/>
      <c r="AE83" s="25"/>
      <c r="AF83" s="25"/>
      <c r="AG83" s="25"/>
    </row>
    <row r="84">
      <c r="A84" s="42" t="s">
        <v>339</v>
      </c>
      <c r="B84" s="18" t="s">
        <v>340</v>
      </c>
      <c r="C84" s="19" t="s">
        <v>341</v>
      </c>
      <c r="D84" s="20">
        <f t="shared" si="13"/>
        <v>59</v>
      </c>
      <c r="E84" s="19" t="s">
        <v>342</v>
      </c>
      <c r="F84" s="19" t="s">
        <v>343</v>
      </c>
      <c r="G84" s="19">
        <f t="shared" si="14"/>
        <v>67</v>
      </c>
      <c r="H84" s="21">
        <v>19980.0</v>
      </c>
      <c r="I84" s="26">
        <f t="array" ref="I84">IF(OR(H84=0, H84=""), 0, 1 - ((((XLOOKUP($A84, 'datos de inventario'!$A:$A, 'datos de inventario'!$D:$D, 0) * 'datos de inventario'!$K$2) + (XLOOKUP($A84, 'datos de inventario'!$A:$A, 'datos de inventario'!$F:$F, 0) * 'datos de inventario'!$K$3 * 'datos de inventario'!$K$4)) * 1.19 + (H84 * 0.15) + XLOOKUP(MAX($Z84, (XLOOKUP($A84, 'datos de inventario'!$A:$A, 'datos de inventario'!$F:$F, 0) * 1000000 / 4000)) + 0.1, Tarifas!$A$2:$A$33, IF(H84 &lt;= 9989, Tarifas!$B$2:$B$33, IF(H84 &lt;= 19989, Tarifas!$C$2:$C$33, Tarifas!$D$2:$D$33)), "Peso excedido", 1)) / H84))</f>
        <v>0.4241717968</v>
      </c>
      <c r="J84" s="21">
        <v>18980.0</v>
      </c>
      <c r="K84" s="26">
        <f t="array" ref="K84">IF(OR(J84=0, J84=""), 0, 1 - ((((XLOOKUP($A84, 'datos de inventario'!$A:$A, 'datos de inventario'!$D:$D, 0) * 'datos de inventario'!$K$2) + (XLOOKUP($A84, 'datos de inventario'!$A:$A, 'datos de inventario'!$F:$F, 0) * 'datos de inventario'!$K$3 * 'datos de inventario'!$K$4)) * 1.19 + (J84 * 0.15) + XLOOKUP(MAX($Z84, (XLOOKUP($A84, 'datos de inventario'!$A:$A, 'datos de inventario'!$F:$F, 0) * 1000000 / 4000)) + 0.1, Tarifas!$A$2:$A$33, IF(J84 &lt;= 9989, Tarifas!$B$2:$B$33, IF(J84 &lt;= 19989, Tarifas!$C$2:$C$33, Tarifas!$D$2:$D$33)), "Peso excedido", 1)) / J84))</f>
        <v>0.4017361697</v>
      </c>
      <c r="L84" s="21">
        <v>17980.0</v>
      </c>
      <c r="M84" s="26">
        <f t="array" ref="M84">IF(OR(L84=0, L84=""), 0, 1 - ((((XLOOKUP($A84, 'datos de inventario'!$A:$A, 'datos de inventario'!$D:$D, 0) * 'datos de inventario'!$K$2) + (XLOOKUP($A84, 'datos de inventario'!$A:$A, 'datos de inventario'!$F:$F, 0) * 'datos de inventario'!$K$3 * 'datos de inventario'!$K$4)) * 1.19 + (L84 * 0.15) + XLOOKUP(MAX($Z84, (XLOOKUP($A84, 'datos de inventario'!$A:$A, 'datos de inventario'!$F:$F, 0) * 1000000 / 4000)) + 0.1, Tarifas!$A$2:$A$33, IF(L84 &lt;= 9989, Tarifas!$B$2:$B$33, IF(L84 &lt;= 19989, Tarifas!$C$2:$C$33, Tarifas!$D$2:$D$33)), "Peso excedido", 1)) / L84))</f>
        <v>0.3768049221</v>
      </c>
      <c r="N84" s="38" t="s">
        <v>344</v>
      </c>
      <c r="O84" s="25"/>
      <c r="P84" s="37">
        <v>3.33</v>
      </c>
      <c r="Q84" s="34">
        <f t="shared" si="23"/>
        <v>14.319</v>
      </c>
      <c r="R84" s="37">
        <v>10.0</v>
      </c>
      <c r="S84" s="41">
        <f t="shared" si="24"/>
        <v>43</v>
      </c>
      <c r="T84" s="36">
        <v>46082.0</v>
      </c>
      <c r="U84" s="24">
        <f t="shared" si="17"/>
        <v>0.05005005005</v>
      </c>
      <c r="V84" s="24">
        <f t="shared" si="18"/>
        <v>0.05268703899</v>
      </c>
      <c r="W84" s="25"/>
      <c r="X84" s="25"/>
      <c r="Y84" s="25"/>
      <c r="Z84" s="25"/>
      <c r="AA84" s="25"/>
      <c r="AB84" s="25">
        <f t="shared" si="4"/>
        <v>0</v>
      </c>
      <c r="AC84" s="25"/>
      <c r="AD84" s="25"/>
      <c r="AE84" s="25"/>
      <c r="AF84" s="25"/>
      <c r="AG84" s="25"/>
    </row>
    <row r="85">
      <c r="A85" s="42" t="s">
        <v>345</v>
      </c>
      <c r="B85" s="18" t="s">
        <v>346</v>
      </c>
      <c r="C85" s="19" t="s">
        <v>347</v>
      </c>
      <c r="D85" s="20">
        <f t="shared" si="13"/>
        <v>56</v>
      </c>
      <c r="E85" s="19" t="s">
        <v>348</v>
      </c>
      <c r="F85" s="19" t="s">
        <v>348</v>
      </c>
      <c r="G85" s="19">
        <f t="shared" si="14"/>
        <v>75</v>
      </c>
      <c r="H85" s="21">
        <v>19980.0</v>
      </c>
      <c r="I85" s="26">
        <f t="array" ref="I85">IF(OR(H85=0, H85=""), 0, 1 - ((((XLOOKUP($A85, 'datos de inventario'!$A:$A, 'datos de inventario'!$D:$D, 0) * 'datos de inventario'!$K$2) + (XLOOKUP($A85, 'datos de inventario'!$A:$A, 'datos de inventario'!$F:$F, 0) * 'datos de inventario'!$K$3 * 'datos de inventario'!$K$4)) * 1.19 + (H85 * 0.15) + XLOOKUP(MAX($Z85, (XLOOKUP($A85, 'datos de inventario'!$A:$A, 'datos de inventario'!$F:$F, 0) * 1000000 / 4000)) + 0.1, Tarifas!$A$2:$A$33, IF(H85 &lt;= 9989, Tarifas!$B$2:$B$33, IF(H85 &lt;= 19989, Tarifas!$C$2:$C$33, Tarifas!$D$2:$D$33)), "Peso excedido", 1)) / H85))</f>
        <v>0.6222025776</v>
      </c>
      <c r="J85" s="21">
        <v>14990.0</v>
      </c>
      <c r="K85" s="26">
        <f t="array" ref="K85">IF(OR(J85=0, J85=""), 0, 1 - ((((XLOOKUP($A85, 'datos de inventario'!$A:$A, 'datos de inventario'!$D:$D, 0) * 'datos de inventario'!$K$2) + (XLOOKUP($A85, 'datos de inventario'!$A:$A, 'datos de inventario'!$F:$F, 0) * 'datos de inventario'!$K$3 * 'datos de inventario'!$K$4)) * 1.19 + (J85 * 0.15) + XLOOKUP(MAX($Z85, (XLOOKUP($A85, 'datos de inventario'!$A:$A, 'datos de inventario'!$F:$F, 0) * 1000000 / 4000)) + 0.1, Tarifas!$A$2:$A$33, IF(J85 &lt;= 9989, Tarifas!$B$2:$B$33, IF(J85 &lt;= 19989, Tarifas!$C$2:$C$33, Tarifas!$D$2:$D$33)), "Peso excedido", 1)) / J85))</f>
        <v>0.5463714143</v>
      </c>
      <c r="L85" s="21">
        <v>9990.0</v>
      </c>
      <c r="M85" s="26">
        <f t="array" ref="M85">IF(OR(L85=0, L85=""), 0, 1 - ((((XLOOKUP($A85, 'datos de inventario'!$A:$A, 'datos de inventario'!$D:$D, 0) * 'datos de inventario'!$K$2) + (XLOOKUP($A85, 'datos de inventario'!$A:$A, 'datos de inventario'!$F:$F, 0) * 'datos de inventario'!$K$3 * 'datos de inventario'!$K$4)) * 1.19 + (L85 * 0.15) + XLOOKUP(MAX($Z85, (XLOOKUP($A85, 'datos de inventario'!$A:$A, 'datos de inventario'!$F:$F, 0) * 1000000 / 4000)) + 0.1, Tarifas!$A$2:$A$33, IF(L85 &lt;= 9989, Tarifas!$B$2:$B$33, IF(L85 &lt;= 19989, Tarifas!$C$2:$C$33, Tarifas!$D$2:$D$33)), "Peso excedido", 1)) / L85))</f>
        <v>0.3944051552</v>
      </c>
      <c r="N85" s="38" t="s">
        <v>349</v>
      </c>
      <c r="O85" s="25"/>
      <c r="P85" s="37">
        <v>6.0</v>
      </c>
      <c r="Q85" s="34">
        <f t="shared" si="23"/>
        <v>25.8</v>
      </c>
      <c r="R85" s="37">
        <v>18.0</v>
      </c>
      <c r="S85" s="41">
        <f t="shared" si="24"/>
        <v>77.4</v>
      </c>
      <c r="T85" s="36">
        <v>46082.0</v>
      </c>
      <c r="U85" s="24">
        <f t="shared" si="17"/>
        <v>0.2497497497</v>
      </c>
      <c r="V85" s="24">
        <f t="shared" si="18"/>
        <v>0.3335557038</v>
      </c>
      <c r="W85" s="25"/>
      <c r="X85" s="25"/>
      <c r="Y85" s="25"/>
      <c r="AA85" s="25"/>
      <c r="AB85" s="25">
        <f t="shared" si="4"/>
        <v>0</v>
      </c>
      <c r="AC85" s="25"/>
      <c r="AD85" s="25"/>
      <c r="AE85" s="25"/>
      <c r="AF85" s="25"/>
      <c r="AG85" s="25"/>
    </row>
    <row r="86">
      <c r="A86" s="43" t="s">
        <v>350</v>
      </c>
      <c r="B86" s="18" t="s">
        <v>351</v>
      </c>
      <c r="C86" s="18" t="s">
        <v>352</v>
      </c>
      <c r="D86" s="20">
        <f t="shared" si="13"/>
        <v>59</v>
      </c>
      <c r="E86" s="18" t="s">
        <v>353</v>
      </c>
      <c r="F86" s="18" t="s">
        <v>354</v>
      </c>
      <c r="G86" s="19">
        <f t="shared" si="14"/>
        <v>65</v>
      </c>
      <c r="H86" s="21">
        <v>16990.0</v>
      </c>
      <c r="I86" s="26">
        <f t="array" ref="I86">IF(OR(H86=0, H86=""), 0, 1 - ((((XLOOKUP($A86, 'datos de inventario'!$A:$A, 'datos de inventario'!$D:$D, 0) * 'datos de inventario'!$K$2) + (XLOOKUP($A86, 'datos de inventario'!$A:$A, 'datos de inventario'!$F:$F, 0) * 'datos de inventario'!$K$3 * 'datos de inventario'!$K$4)) * 1.19 + (H86 * 0.15) + XLOOKUP(MAX($Z86, (XLOOKUP($A86, 'datos de inventario'!$A:$A, 'datos de inventario'!$F:$F, 0) * 1000000 / 4000)) + 0.1, Tarifas!$A$2:$A$33, IF(H86 &lt;= 9989, Tarifas!$B$2:$B$33, IF(H86 &lt;= 19989, Tarifas!$C$2:$C$33, Tarifas!$D$2:$D$33)), "Peso excedido", 1)) / H86))</f>
        <v>0.4475751471</v>
      </c>
      <c r="J86" s="21">
        <v>14990.0</v>
      </c>
      <c r="K86" s="26">
        <f t="array" ref="K86">IF(OR(J86=0, J86=""), 0, 1 - ((((XLOOKUP($A86, 'datos de inventario'!$A:$A, 'datos de inventario'!$D:$D, 0) * 'datos de inventario'!$K$2) + (XLOOKUP($A86, 'datos de inventario'!$A:$A, 'datos de inventario'!$F:$F, 0) * 'datos de inventario'!$K$3 * 'datos de inventario'!$K$4)) * 1.19 + (J86 * 0.15) + XLOOKUP(MAX($Z86, (XLOOKUP($A86, 'datos de inventario'!$A:$A, 'datos de inventario'!$F:$F, 0) * 1000000 / 4000)) + 0.1, Tarifas!$A$2:$A$33, IF(J86 &lt;= 9989, Tarifas!$B$2:$B$33, IF(J86 &lt;= 19989, Tarifas!$C$2:$C$33, Tarifas!$D$2:$D$33)), "Peso excedido", 1)) / J86))</f>
        <v>0.3938827051</v>
      </c>
      <c r="L86" s="21">
        <v>12990.0</v>
      </c>
      <c r="M86" s="26">
        <f t="array" ref="M86">IF(OR(L86=0, L86=""), 0, 1 - ((((XLOOKUP($A86, 'datos de inventario'!$A:$A, 'datos de inventario'!$D:$D, 0) * 'datos de inventario'!$K$2) + (XLOOKUP($A86, 'datos de inventario'!$A:$A, 'datos de inventario'!$F:$F, 0) * 'datos de inventario'!$K$3 * 'datos de inventario'!$K$4)) * 1.19 + (L86 * 0.15) + XLOOKUP(MAX($Z86, (XLOOKUP($A86, 'datos de inventario'!$A:$A, 'datos de inventario'!$F:$F, 0) * 1000000 / 4000)) + 0.1, Tarifas!$A$2:$A$33, IF(L86 &lt;= 9989, Tarifas!$B$2:$B$33, IF(L86 &lt;= 19989, Tarifas!$C$2:$C$33, Tarifas!$D$2:$D$33)), "Peso excedido", 1)) / L86))</f>
        <v>0.3236567937</v>
      </c>
      <c r="N86" s="38" t="s">
        <v>355</v>
      </c>
      <c r="O86" s="25"/>
      <c r="P86" s="37">
        <v>5.0</v>
      </c>
      <c r="Q86" s="34">
        <f t="shared" si="23"/>
        <v>21.5</v>
      </c>
      <c r="R86" s="37">
        <v>16.0</v>
      </c>
      <c r="S86" s="41">
        <f t="shared" si="24"/>
        <v>68.8</v>
      </c>
      <c r="T86" s="36">
        <v>46082.0</v>
      </c>
      <c r="U86" s="24">
        <f t="shared" si="17"/>
        <v>0.1177163037</v>
      </c>
      <c r="V86" s="24">
        <f t="shared" si="18"/>
        <v>0.1334222815</v>
      </c>
      <c r="W86" s="25"/>
      <c r="X86" s="25"/>
      <c r="Y86" s="25"/>
      <c r="Z86" s="19">
        <v>12.0</v>
      </c>
      <c r="AA86" s="25"/>
      <c r="AB86" s="25">
        <f t="shared" si="4"/>
        <v>0</v>
      </c>
      <c r="AC86" s="25"/>
      <c r="AD86" s="25"/>
      <c r="AE86" s="25"/>
      <c r="AF86" s="25"/>
      <c r="AG86" s="25"/>
    </row>
    <row r="87">
      <c r="A87" s="43" t="s">
        <v>356</v>
      </c>
      <c r="B87" s="18" t="s">
        <v>357</v>
      </c>
      <c r="C87" s="18" t="s">
        <v>358</v>
      </c>
      <c r="D87" s="20">
        <f t="shared" si="13"/>
        <v>59</v>
      </c>
      <c r="E87" s="18" t="s">
        <v>359</v>
      </c>
      <c r="F87" s="18" t="s">
        <v>360</v>
      </c>
      <c r="G87" s="19">
        <f t="shared" si="14"/>
        <v>65</v>
      </c>
      <c r="H87" s="21">
        <v>32990.0</v>
      </c>
      <c r="I87" s="26">
        <f t="array" ref="I87">IF(OR(H87=0, H87=""), 0, 1 - ((((XLOOKUP($A87, 'datos de inventario'!$A:$A, 'datos de inventario'!$D:$D, 0) * 'datos de inventario'!$K$2) + (XLOOKUP($A87, 'datos de inventario'!$A:$A, 'datos de inventario'!$F:$F, 0) * 'datos de inventario'!$K$3 * 'datos de inventario'!$K$4)) * 1.19 + (H87 * 0.15) + XLOOKUP(MAX($Z87, (XLOOKUP($A87, 'datos de inventario'!$A:$A, 'datos de inventario'!$F:$F, 0) * 1000000 / 4000)) + 0.1, Tarifas!$A$2:$A$33, IF(H87 &lt;= 9989, Tarifas!$B$2:$B$33, IF(H87 &lt;= 19989, Tarifas!$C$2:$C$33, Tarifas!$D$2:$D$33)), "Peso excedido", 1)) / H87))</f>
        <v>0.3108121779</v>
      </c>
      <c r="J87" s="21">
        <v>19980.0</v>
      </c>
      <c r="K87" s="26">
        <f t="array" ref="K87">IF(OR(J87=0, J87=""), 0, 1 - ((((XLOOKUP($A87, 'datos de inventario'!$A:$A, 'datos de inventario'!$D:$D, 0) * 'datos de inventario'!$K$2) + (XLOOKUP($A87, 'datos de inventario'!$A:$A, 'datos de inventario'!$F:$F, 0) * 'datos de inventario'!$K$3 * 'datos de inventario'!$K$4)) * 1.19 + (J87 * 0.15) + XLOOKUP(MAX($Z87, (XLOOKUP($A87, 'datos de inventario'!$A:$A, 'datos de inventario'!$F:$F, 0) * 1000000 / 4000)) + 0.1, Tarifas!$A$2:$A$33, IF(J87 &lt;= 9989, Tarifas!$B$2:$B$33, IF(J87 &lt;= 19989, Tarifas!$C$2:$C$33, Tarifas!$D$2:$D$33)), "Peso excedido", 1)) / J87))</f>
        <v>0.3155752628</v>
      </c>
      <c r="L87" s="21">
        <v>18990.0</v>
      </c>
      <c r="M87" s="26">
        <f t="array" ref="M87">IF(OR(L87=0, L87=""), 0, 1 - ((((XLOOKUP($A87, 'datos de inventario'!$A:$A, 'datos de inventario'!$D:$D, 0) * 'datos de inventario'!$K$2) + (XLOOKUP($A87, 'datos de inventario'!$A:$A, 'datos de inventario'!$F:$F, 0) * 'datos de inventario'!$K$3 * 'datos de inventario'!$K$4)) * 1.19 + (L87 * 0.15) + XLOOKUP(MAX($Z87, (XLOOKUP($A87, 'datos de inventario'!$A:$A, 'datos de inventario'!$F:$F, 0) * 1000000 / 4000)) + 0.1, Tarifas!$A$2:$A$33, IF(L87 &lt;= 9989, Tarifas!$B$2:$B$33, IF(L87 &lt;= 19989, Tarifas!$C$2:$C$33, Tarifas!$D$2:$D$33)), "Peso excedido", 1)) / L87))</f>
        <v>0.2877142575</v>
      </c>
      <c r="N87" s="38" t="s">
        <v>355</v>
      </c>
      <c r="O87" s="25"/>
      <c r="P87" s="33">
        <v>4.0</v>
      </c>
      <c r="Q87" s="34">
        <f t="shared" si="23"/>
        <v>17.2</v>
      </c>
      <c r="R87" s="44">
        <v>10.0</v>
      </c>
      <c r="S87" s="41">
        <f t="shared" si="24"/>
        <v>43</v>
      </c>
      <c r="T87" s="36">
        <v>46082.0</v>
      </c>
      <c r="U87" s="24">
        <f t="shared" si="17"/>
        <v>0.3943619279</v>
      </c>
      <c r="V87" s="24">
        <f t="shared" si="18"/>
        <v>0.04954954955</v>
      </c>
      <c r="W87" s="25"/>
      <c r="X87" s="25"/>
      <c r="Y87" s="25"/>
      <c r="Z87" s="19">
        <v>20.0</v>
      </c>
      <c r="AA87" s="25"/>
      <c r="AB87" s="25">
        <f t="shared" si="4"/>
        <v>0</v>
      </c>
      <c r="AC87" s="25"/>
      <c r="AD87" s="25"/>
      <c r="AE87" s="25"/>
      <c r="AF87" s="25"/>
      <c r="AG87" s="25"/>
    </row>
    <row r="88">
      <c r="A88" s="42" t="s">
        <v>361</v>
      </c>
      <c r="B88" s="18" t="s">
        <v>362</v>
      </c>
      <c r="C88" s="18" t="s">
        <v>363</v>
      </c>
      <c r="D88" s="20">
        <f t="shared" si="13"/>
        <v>55</v>
      </c>
      <c r="E88" s="18" t="s">
        <v>364</v>
      </c>
      <c r="F88" s="18" t="s">
        <v>365</v>
      </c>
      <c r="G88" s="19">
        <f t="shared" si="14"/>
        <v>60</v>
      </c>
      <c r="H88" s="21">
        <v>12990.0</v>
      </c>
      <c r="I88" s="26">
        <f t="array" ref="I88">IF(OR(H88=0, H88=""), 0, 1 - ((((XLOOKUP($A88, 'datos de inventario'!$A:$A, 'datos de inventario'!$D:$D, 0) * 'datos de inventario'!$K$2) + (XLOOKUP($A88, 'datos de inventario'!$A:$A, 'datos de inventario'!$F:$F, 0) * 'datos de inventario'!$K$3 * 'datos de inventario'!$K$4)) * 1.19 + (H88 * 0.15) + XLOOKUP(MAX($Z88, (XLOOKUP($A88, 'datos de inventario'!$A:$A, 'datos de inventario'!$F:$F, 0) * 1000000 / 4000)) + 0.1, Tarifas!$A$2:$A$33, IF(H88 &lt;= 9989, Tarifas!$B$2:$B$33, IF(H88 &lt;= 19989, Tarifas!$C$2:$C$33, Tarifas!$D$2:$D$33)), "Peso excedido", 1)) / H88))</f>
        <v>0.5230254811</v>
      </c>
      <c r="J88" s="21">
        <v>9980.0</v>
      </c>
      <c r="K88" s="26">
        <f t="array" ref="K88">IF(OR(J88=0, J88=""), 0, 1 - ((((XLOOKUP($A88, 'datos de inventario'!$A:$A, 'datos de inventario'!$D:$D, 0) * 'datos de inventario'!$K$2) + (XLOOKUP($A88, 'datos de inventario'!$A:$A, 'datos de inventario'!$F:$F, 0) * 'datos de inventario'!$K$3 * 'datos de inventario'!$K$4)) * 1.19 + (J88 * 0.15) + XLOOKUP(MAX($Z88, (XLOOKUP($A88, 'datos de inventario'!$A:$A, 'datos de inventario'!$F:$F, 0) * 1000000 / 4000)) + 0.1, Tarifas!$A$2:$A$33, IF(J88 &lt;= 9989, Tarifas!$B$2:$B$33, IF(J88 &lt;= 19989, Tarifas!$C$2:$C$33, Tarifas!$D$2:$D$33)), "Peso excedido", 1)) / J88))</f>
        <v>0.445451002</v>
      </c>
      <c r="L88" s="21">
        <v>7990.0</v>
      </c>
      <c r="M88" s="26">
        <f t="array" ref="M88">IF(OR(L88=0, L88=""), 0, 1 - ((((XLOOKUP($A88, 'datos de inventario'!$A:$A, 'datos de inventario'!$D:$D, 0) * 'datos de inventario'!$K$2) + (XLOOKUP($A88, 'datos de inventario'!$A:$A, 'datos de inventario'!$F:$F, 0) * 'datos de inventario'!$K$3 * 'datos de inventario'!$K$4)) * 1.19 + (L88 * 0.15) + XLOOKUP(MAX($Z88, (XLOOKUP($A88, 'datos de inventario'!$A:$A, 'datos de inventario'!$F:$F, 0) * 1000000 / 4000)) + 0.1, Tarifas!$A$2:$A$33, IF(L88 &lt;= 9989, Tarifas!$B$2:$B$33, IF(L88 &lt;= 19989, Tarifas!$C$2:$C$33, Tarifas!$D$2:$D$33)), "Peso excedido", 1)) / L88))</f>
        <v>0.3446934919</v>
      </c>
      <c r="N88" s="45" t="s">
        <v>366</v>
      </c>
      <c r="O88" s="25"/>
      <c r="P88" s="33">
        <v>8.0</v>
      </c>
      <c r="Q88" s="34">
        <f t="shared" si="23"/>
        <v>34.4</v>
      </c>
      <c r="R88" s="44">
        <v>25.0</v>
      </c>
      <c r="S88" s="41">
        <f t="shared" si="24"/>
        <v>107.5</v>
      </c>
      <c r="T88" s="36">
        <v>46082.0</v>
      </c>
      <c r="U88" s="24">
        <f t="shared" si="17"/>
        <v>0.2317167052</v>
      </c>
      <c r="V88" s="24">
        <f t="shared" si="18"/>
        <v>0.1993987976</v>
      </c>
      <c r="W88" s="25"/>
      <c r="X88" s="25"/>
      <c r="Y88" s="25"/>
      <c r="Z88" s="25"/>
      <c r="AA88" s="25"/>
      <c r="AB88" s="25">
        <f t="shared" si="4"/>
        <v>0</v>
      </c>
      <c r="AC88" s="25"/>
      <c r="AD88" s="25"/>
      <c r="AE88" s="25"/>
      <c r="AF88" s="25"/>
      <c r="AG88" s="25"/>
    </row>
    <row r="89">
      <c r="A89" s="42" t="s">
        <v>367</v>
      </c>
      <c r="B89" s="18" t="s">
        <v>368</v>
      </c>
      <c r="C89" s="18" t="s">
        <v>369</v>
      </c>
      <c r="D89" s="20">
        <f t="shared" si="13"/>
        <v>56</v>
      </c>
      <c r="E89" s="18" t="s">
        <v>370</v>
      </c>
      <c r="F89" s="18" t="s">
        <v>371</v>
      </c>
      <c r="G89" s="19">
        <f t="shared" si="14"/>
        <v>57</v>
      </c>
      <c r="H89" s="21">
        <v>14990.0</v>
      </c>
      <c r="I89" s="26">
        <f t="array" ref="I89">IF(OR(H89=0, H89=""), 0, 1 - ((((XLOOKUP($A89, 'datos de inventario'!$A:$A, 'datos de inventario'!$D:$D, 0) * 'datos de inventario'!$K$2) + (XLOOKUP($A89, 'datos de inventario'!$A:$A, 'datos de inventario'!$F:$F, 0) * 'datos de inventario'!$K$3 * 'datos de inventario'!$K$4)) * 1.19 + (H89 * 0.15) + XLOOKUP(MAX($Z89, (XLOOKUP($A89, 'datos de inventario'!$A:$A, 'datos de inventario'!$F:$F, 0) * 1000000 / 4000)) + 0.1, Tarifas!$A$2:$A$33, IF(H89 &lt;= 9989, Tarifas!$B$2:$B$33, IF(H89 &lt;= 19989, Tarifas!$C$2:$C$33, Tarifas!$D$2:$D$33)), "Peso excedido", 1)) / H89))</f>
        <v>0.5263243996</v>
      </c>
      <c r="J89" s="46">
        <v>11990.0</v>
      </c>
      <c r="K89" s="26">
        <f t="array" ref="K89">IF(OR(J89=0, J89=""), 0, 1 - ((((XLOOKUP($A89, 'datos de inventario'!$A:$A, 'datos de inventario'!$D:$D, 0) * 'datos de inventario'!$K$2) + (XLOOKUP($A89, 'datos de inventario'!$A:$A, 'datos de inventario'!$F:$F, 0) * 'datos de inventario'!$K$3 * 'datos de inventario'!$K$4)) * 1.19 + (J89 * 0.15) + XLOOKUP(MAX($Z89, (XLOOKUP($A89, 'datos de inventario'!$A:$A, 'datos de inventario'!$F:$F, 0) * 1000000 / 4000)) + 0.1, Tarifas!$A$2:$A$33, IF(J89 &lt;= 9989, Tarifas!$B$2:$B$33, IF(J89 &lt;= 19989, Tarifas!$C$2:$C$33, Tarifas!$D$2:$D$33)), "Peso excedido", 1)) / J89))</f>
        <v>0.4453380108</v>
      </c>
      <c r="L89" s="21">
        <v>9980.0</v>
      </c>
      <c r="M89" s="26">
        <f t="array" ref="M89">IF(OR(L89=0, L89=""), 0, 1 - ((((XLOOKUP($A89, 'datos de inventario'!$A:$A, 'datos de inventario'!$D:$D, 0) * 'datos de inventario'!$K$2) + (XLOOKUP($A89, 'datos de inventario'!$A:$A, 'datos de inventario'!$F:$F, 0) * 'datos de inventario'!$K$3 * 'datos de inventario'!$K$4)) * 1.19 + (L89 * 0.15) + XLOOKUP(MAX($Z89, (XLOOKUP($A89, 'datos de inventario'!$A:$A, 'datos de inventario'!$F:$F, 0) * 1000000 / 4000)) + 0.1, Tarifas!$A$2:$A$33, IF(L89 &lt;= 9989, Tarifas!$B$2:$B$33, IF(L89 &lt;= 19989, Tarifas!$C$2:$C$33, Tarifas!$D$2:$D$33)), "Peso excedido", 1)) / L89))</f>
        <v>0.3848800351</v>
      </c>
      <c r="N89" s="45" t="s">
        <v>366</v>
      </c>
      <c r="O89" s="25"/>
      <c r="P89" s="33">
        <v>8.0</v>
      </c>
      <c r="Q89" s="34">
        <f t="shared" si="23"/>
        <v>34.4</v>
      </c>
      <c r="R89" s="44">
        <v>25.0</v>
      </c>
      <c r="S89" s="41">
        <f t="shared" si="24"/>
        <v>107.5</v>
      </c>
      <c r="T89" s="36">
        <v>46082.0</v>
      </c>
      <c r="U89" s="24">
        <f t="shared" si="17"/>
        <v>0.2001334223</v>
      </c>
      <c r="V89" s="24">
        <f t="shared" si="18"/>
        <v>0.1676396997</v>
      </c>
      <c r="W89" s="25"/>
      <c r="X89" s="25"/>
      <c r="Y89" s="25"/>
      <c r="Z89" s="25"/>
      <c r="AA89" s="25"/>
      <c r="AB89" s="25">
        <f t="shared" si="4"/>
        <v>0</v>
      </c>
      <c r="AC89" s="25"/>
      <c r="AD89" s="25"/>
      <c r="AE89" s="25"/>
      <c r="AF89" s="25"/>
      <c r="AG89" s="25"/>
    </row>
    <row r="90">
      <c r="A90" s="47" t="s">
        <v>372</v>
      </c>
      <c r="B90" s="47" t="s">
        <v>373</v>
      </c>
      <c r="C90" s="29" t="s">
        <v>374</v>
      </c>
      <c r="D90" s="20">
        <f t="shared" si="13"/>
        <v>60</v>
      </c>
      <c r="E90" s="29" t="s">
        <v>375</v>
      </c>
      <c r="F90" s="29" t="s">
        <v>376</v>
      </c>
      <c r="G90" s="19">
        <f t="shared" si="14"/>
        <v>70</v>
      </c>
      <c r="H90" s="21">
        <v>18990.0</v>
      </c>
      <c r="I90" s="26">
        <f t="array" ref="I90">IF(OR(H90=0, H90=""), 0, 1 - ((((XLOOKUP($A90, 'datos de inventario'!$A:$A, 'datos de inventario'!$D:$D, 0) * 'datos de inventario'!$K$2) + (XLOOKUP($A90, 'datos de inventario'!$A:$A, 'datos de inventario'!$F:$F, 0) * 'datos de inventario'!$K$3 * 'datos de inventario'!$K$4)) * 1.19 + (H90 * 0.15) + XLOOKUP(MAX($Z90, (XLOOKUP($A90, 'datos de inventario'!$A:$A, 'datos de inventario'!$F:$F, 0) * 1000000 / 4000)) + 0.1, Tarifas!$A$2:$A$33, IF(H90 &lt;= 9989, Tarifas!$B$2:$B$33, IF(H90 &lt;= 19989, Tarifas!$C$2:$C$33, Tarifas!$D$2:$D$33)), "Peso excedido", 1)) / H90))</f>
        <v>0.3762577672</v>
      </c>
      <c r="J90" s="21">
        <v>15990.0</v>
      </c>
      <c r="K90" s="26">
        <f t="array" ref="K90">IF(OR(J90=0, J90=""), 0, 1 - ((((XLOOKUP($A90, 'datos de inventario'!$A:$A, 'datos de inventario'!$D:$D, 0) * 'datos de inventario'!$K$2) + (XLOOKUP($A90, 'datos de inventario'!$A:$A, 'datos de inventario'!$F:$F, 0) * 'datos de inventario'!$K$3 * 'datos de inventario'!$K$4)) * 1.19 + (J90 * 0.15) + XLOOKUP(MAX($Z90, (XLOOKUP($A90, 'datos de inventario'!$A:$A, 'datos de inventario'!$F:$F, 0) * 1000000 / 4000)) + 0.1, Tarifas!$A$2:$A$33, IF(J90 &lt;= 9989, Tarifas!$B$2:$B$33, IF(J90 &lt;= 19989, Tarifas!$C$2:$C$33, Tarifas!$D$2:$D$33)), "Peso excedido", 1)) / J90))</f>
        <v>0.2873755472</v>
      </c>
      <c r="L90" s="21">
        <v>13990.0</v>
      </c>
      <c r="M90" s="26">
        <f t="array" ref="M90">IF(OR(L90=0, L90=""), 0, 1 - ((((XLOOKUP($A90, 'datos de inventario'!$A:$A, 'datos de inventario'!$D:$D, 0) * 'datos de inventario'!$K$2) + (XLOOKUP($A90, 'datos de inventario'!$A:$A, 'datos de inventario'!$F:$F, 0) * 'datos de inventario'!$K$3 * 'datos de inventario'!$K$4)) * 1.19 + (L90 * 0.15) + XLOOKUP(MAX($Z90, (XLOOKUP($A90, 'datos de inventario'!$A:$A, 'datos de inventario'!$F:$F, 0) * 1000000 / 4000)) + 0.1, Tarifas!$A$2:$A$33, IF(L90 &lt;= 9989, Tarifas!$B$2:$B$33, IF(L90 &lt;= 19989, Tarifas!$C$2:$C$33, Tarifas!$D$2:$D$33)), "Peso excedido", 1)) / L90))</f>
        <v>0.2069431737</v>
      </c>
      <c r="N90" s="45" t="s">
        <v>377</v>
      </c>
      <c r="O90" s="25"/>
      <c r="P90" s="33">
        <v>40.0</v>
      </c>
      <c r="Q90" s="34">
        <f t="shared" si="23"/>
        <v>172</v>
      </c>
      <c r="R90" s="44">
        <v>120.0</v>
      </c>
      <c r="S90" s="41">
        <f t="shared" si="24"/>
        <v>516</v>
      </c>
      <c r="T90" s="36">
        <v>46082.0</v>
      </c>
      <c r="U90" s="24">
        <f t="shared" si="17"/>
        <v>0.1579778831</v>
      </c>
      <c r="V90" s="24">
        <f t="shared" si="18"/>
        <v>0.1250781739</v>
      </c>
      <c r="W90" s="25"/>
      <c r="X90" s="25"/>
      <c r="Y90" s="25"/>
      <c r="Z90" s="19">
        <v>19.8</v>
      </c>
      <c r="AA90" s="25"/>
      <c r="AB90" s="25">
        <f t="shared" si="4"/>
        <v>0</v>
      </c>
      <c r="AC90" s="25"/>
      <c r="AD90" s="25"/>
      <c r="AE90" s="25"/>
      <c r="AF90" s="25"/>
      <c r="AG90" s="25"/>
    </row>
    <row r="91">
      <c r="A91" s="47" t="s">
        <v>378</v>
      </c>
      <c r="B91" s="48" t="s">
        <v>379</v>
      </c>
      <c r="C91" s="49" t="s">
        <v>380</v>
      </c>
      <c r="D91" s="20">
        <f t="shared" si="13"/>
        <v>60</v>
      </c>
      <c r="E91" s="49" t="s">
        <v>381</v>
      </c>
      <c r="F91" s="49" t="s">
        <v>381</v>
      </c>
      <c r="G91" s="19">
        <f t="shared" si="14"/>
        <v>64</v>
      </c>
      <c r="H91" s="21">
        <v>9980.0</v>
      </c>
      <c r="I91" s="26">
        <f t="array" ref="I91">IF(OR(H91=0, H91=""), 0, 1 - ((((XLOOKUP($A91, 'datos de inventario'!$A:$A, 'datos de inventario'!$D:$D, 0) * 'datos de inventario'!$K$2) + (XLOOKUP($A91, 'datos de inventario'!$A:$A, 'datos de inventario'!$F:$F, 0) * 'datos de inventario'!$K$3 * 'datos de inventario'!$K$4)) * 1.19 + (H91 * 0.15) + XLOOKUP(MAX($Z91, (XLOOKUP($A91, 'datos de inventario'!$A:$A, 'datos de inventario'!$F:$F, 0) * 1000000 / 4000)) + 0.1, Tarifas!$A$2:$A$33, IF(H91 &lt;= 9989, Tarifas!$B$2:$B$33, IF(H91 &lt;= 19989, Tarifas!$C$2:$C$33, Tarifas!$D$2:$D$33)), "Peso excedido", 1)) / H91))</f>
        <v>0.3724895541</v>
      </c>
      <c r="J91" s="46">
        <v>7490.0</v>
      </c>
      <c r="K91" s="26">
        <f t="array" ref="K91">IF(OR(J91=0, J91=""), 0, 1 - ((((XLOOKUP($A91, 'datos de inventario'!$A:$A, 'datos de inventario'!$D:$D, 0) * 'datos de inventario'!$K$2) + (XLOOKUP($A91, 'datos de inventario'!$A:$A, 'datos de inventario'!$F:$F, 0) * 'datos de inventario'!$K$3 * 'datos de inventario'!$K$4)) * 1.19 + (J91 * 0.15) + XLOOKUP(MAX($Z90, (XLOOKUP($A91, 'datos de inventario'!$A:$A, 'datos de inventario'!$F:$F, 0) * 1000000 / 4000)) + 0.1, Tarifas!$A$2:$A$33, IF(J91 &lt;= 9989, Tarifas!$B$2:$B$33, IF(J91 &lt;= 19989, Tarifas!$C$2:$C$33, Tarifas!$D$2:$D$33)), "Peso excedido", 1)) / J91))</f>
        <v>0.07756285047</v>
      </c>
      <c r="L91" s="21">
        <v>5990.0</v>
      </c>
      <c r="M91" s="26">
        <f t="array" ref="M91">IF(OR(L91=0, L91=""), 0, 1 - ((((XLOOKUP($A91, 'datos de inventario'!$A:$A, 'datos de inventario'!$D:$D, 0) * 'datos de inventario'!$K$2) + (XLOOKUP($A91, 'datos de inventario'!$A:$A, 'datos de inventario'!$F:$F, 0) * 'datos de inventario'!$K$3 * 'datos de inventario'!$K$4)) * 1.19 + (L91 * 0.15) + XLOOKUP(MAX($Z90, (XLOOKUP($A91, 'datos de inventario'!$A:$A, 'datos de inventario'!$F:$F, 0) * 1000000 / 4000)) + 0.1, Tarifas!$A$2:$A$33, IF(L91 &lt;= 9989, Tarifas!$B$2:$B$33, IF(L91 &lt;= 19989, Tarifas!$C$2:$C$33, Tarifas!$D$2:$D$33)), "Peso excedido", 1)) / L91))</f>
        <v>-0.115868823</v>
      </c>
      <c r="N91" s="45" t="s">
        <v>377</v>
      </c>
      <c r="O91" s="25"/>
      <c r="P91" s="33">
        <v>13.3</v>
      </c>
      <c r="Q91" s="34">
        <f t="shared" si="23"/>
        <v>57.19</v>
      </c>
      <c r="R91" s="44">
        <v>40.0</v>
      </c>
      <c r="S91" s="41">
        <f t="shared" si="24"/>
        <v>172</v>
      </c>
      <c r="T91" s="36">
        <v>46082.0</v>
      </c>
      <c r="U91" s="24">
        <f t="shared" si="17"/>
        <v>0.249498998</v>
      </c>
      <c r="V91" s="24">
        <f t="shared" si="18"/>
        <v>0.2002670227</v>
      </c>
      <c r="W91" s="25"/>
      <c r="X91" s="25"/>
      <c r="Y91" s="25"/>
      <c r="Z91" s="2">
        <v>1.6</v>
      </c>
      <c r="AA91" s="25"/>
      <c r="AB91" s="25">
        <f t="shared" si="4"/>
        <v>0</v>
      </c>
      <c r="AC91" s="25"/>
      <c r="AD91" s="25"/>
      <c r="AE91" s="25"/>
      <c r="AF91" s="25"/>
      <c r="AG91" s="25"/>
    </row>
    <row r="92">
      <c r="A92" s="47" t="s">
        <v>382</v>
      </c>
      <c r="B92" s="47" t="s">
        <v>383</v>
      </c>
      <c r="C92" s="49" t="s">
        <v>384</v>
      </c>
      <c r="D92" s="20">
        <f t="shared" si="13"/>
        <v>58</v>
      </c>
      <c r="E92" s="49" t="s">
        <v>385</v>
      </c>
      <c r="F92" s="25"/>
      <c r="G92" s="25"/>
      <c r="H92" s="21">
        <v>9980.0</v>
      </c>
      <c r="I92" s="26">
        <f t="array" ref="I92">IF(OR(H92=0, H92=""), 0, 1 - ((((XLOOKUP($A92, 'datos de inventario'!$A:$A, 'datos de inventario'!$D:$D, 0) * 'datos de inventario'!$K$2) + (XLOOKUP($A92, 'datos de inventario'!$A:$A, 'datos de inventario'!$F:$F, 0) * 'datos de inventario'!$K$3 * 'datos de inventario'!$K$4)) * 1.19 + (H92 * 0.15) + XLOOKUP(MAX($Z92, (XLOOKUP($A92, 'datos de inventario'!$A:$A, 'datos de inventario'!$F:$F, 0) * 1000000 / 4000)) + 0.1, Tarifas!$A$2:$A$33, IF(H92 &lt;= 9989, Tarifas!$B$2:$B$33, IF(H92 &lt;= 19989, Tarifas!$C$2:$C$33, Tarifas!$D$2:$D$33)), "Peso excedido", 1)) / H92))</f>
        <v>0.5452124499</v>
      </c>
      <c r="J92" s="46">
        <v>6990.0</v>
      </c>
      <c r="K92" s="26">
        <f t="array" ref="K92">IF(OR(J92=0, J92=""), 0, 1 - ((((XLOOKUP($A92, 'datos de inventario'!$A:$A, 'datos de inventario'!$D:$D, 0) * 'datos de inventario'!$K$2) + (XLOOKUP($A92, 'datos de inventario'!$A:$A, 'datos de inventario'!$F:$F, 0) * 'datos de inventario'!$K$3 * 'datos de inventario'!$K$4)) * 1.19 + (J92 * 0.15) + XLOOKUP(MAX($Z91, (XLOOKUP($A92, 'datos de inventario'!$A:$A, 'datos de inventario'!$F:$F, 0) * 1000000 / 4000)) + 0.1, Tarifas!$A$2:$A$33, IF(J92 &lt;= 9989, Tarifas!$B$2:$B$33, IF(J92 &lt;= 19989, Tarifas!$C$2:$C$33, Tarifas!$D$2:$D$33)), "Peso excedido", 1)) / J92))</f>
        <v>0.4148383763</v>
      </c>
      <c r="L92" s="21">
        <v>4990.0</v>
      </c>
      <c r="M92" s="26">
        <f t="array" ref="M92">IF(OR(L92=0, L92=""), 0, 1 - ((((XLOOKUP($A92, 'datos de inventario'!$A:$A, 'datos de inventario'!$D:$D, 0) * 'datos de inventario'!$K$2) + (XLOOKUP($A92, 'datos de inventario'!$A:$A, 'datos de inventario'!$F:$F, 0) * 'datos de inventario'!$K$3 * 'datos de inventario'!$K$4)) * 1.19 + (L92 * 0.15) + XLOOKUP(MAX($Z91, (XLOOKUP($A92, 'datos de inventario'!$A:$A, 'datos de inventario'!$F:$F, 0) * 1000000 / 4000)) + 0.1, Tarifas!$A$2:$A$33, IF(L92 &lt;= 9989, Tarifas!$B$2:$B$33, IF(L92 &lt;= 19989, Tarifas!$C$2:$C$33, Tarifas!$D$2:$D$33)), "Peso excedido", 1)) / L92))</f>
        <v>0.2404248998</v>
      </c>
      <c r="N92" s="45" t="s">
        <v>386</v>
      </c>
      <c r="O92" s="25"/>
      <c r="P92" s="33">
        <v>25.0</v>
      </c>
      <c r="Q92" s="34">
        <f t="shared" si="23"/>
        <v>107.5</v>
      </c>
      <c r="R92" s="44">
        <v>100.0</v>
      </c>
      <c r="S92" s="41">
        <f t="shared" si="24"/>
        <v>430</v>
      </c>
      <c r="T92" s="36">
        <v>46082.0</v>
      </c>
      <c r="U92" s="24">
        <f t="shared" si="17"/>
        <v>0.2995991984</v>
      </c>
      <c r="V92" s="24">
        <f t="shared" si="18"/>
        <v>0.2861230329</v>
      </c>
      <c r="W92" s="25"/>
      <c r="X92" s="25"/>
      <c r="Y92" s="25"/>
      <c r="Z92" s="25"/>
      <c r="AA92" s="25"/>
      <c r="AB92" s="25">
        <f t="shared" si="4"/>
        <v>0</v>
      </c>
      <c r="AC92" s="25"/>
      <c r="AD92" s="25"/>
      <c r="AE92" s="25"/>
      <c r="AF92" s="25"/>
      <c r="AG92" s="25"/>
    </row>
    <row r="93">
      <c r="A93" s="47" t="s">
        <v>387</v>
      </c>
      <c r="B93" s="47" t="s">
        <v>388</v>
      </c>
      <c r="C93" s="49" t="s">
        <v>389</v>
      </c>
      <c r="D93" s="20">
        <f t="shared" si="13"/>
        <v>58</v>
      </c>
      <c r="E93" s="49" t="s">
        <v>390</v>
      </c>
      <c r="F93" s="25"/>
      <c r="G93" s="25"/>
      <c r="H93" s="21">
        <v>12990.0</v>
      </c>
      <c r="I93" s="26">
        <f t="array" ref="I93">IF(OR(H93=0, H93=""), 0, 1 - ((((XLOOKUP($A93, 'datos de inventario'!$A:$A, 'datos de inventario'!$D:$D, 0) * 'datos de inventario'!$K$2) + (XLOOKUP($A93, 'datos de inventario'!$A:$A, 'datos de inventario'!$F:$F, 0) * 'datos de inventario'!$K$3 * 'datos de inventario'!$K$4)) * 1.19 + (H93 * 0.15) + XLOOKUP(MAX($Z93, (XLOOKUP($A93, 'datos de inventario'!$A:$A, 'datos de inventario'!$F:$F, 0) * 1000000 / 4000)) + 0.1, Tarifas!$A$2:$A$33, IF(H93 &lt;= 9989, Tarifas!$B$2:$B$33, IF(H93 &lt;= 19989, Tarifas!$C$2:$C$33, Tarifas!$D$2:$D$33)), "Peso excedido", 1)) / H93))</f>
        <v>0.532289261</v>
      </c>
      <c r="J93" s="46">
        <v>7990.0</v>
      </c>
      <c r="K93" s="26">
        <f t="array" ref="K93">IF(OR(J93=0, J93=""), 0, 1 - ((((XLOOKUP($A93, 'datos de inventario'!$A:$A, 'datos de inventario'!$D:$D, 0) * 'datos de inventario'!$K$2) + (XLOOKUP($A93, 'datos de inventario'!$A:$A, 'datos de inventario'!$F:$F, 0) * 'datos de inventario'!$K$3 * 'datos de inventario'!$K$4)) * 1.19 + (J93 * 0.15) + XLOOKUP(MAX($Z92, (XLOOKUP($A93, 'datos de inventario'!$A:$A, 'datos de inventario'!$F:$F, 0) * 1000000 / 4000)) + 0.1, Tarifas!$A$2:$A$33, IF(J93 &lt;= 9989, Tarifas!$B$2:$B$33, IF(J93 &lt;= 19989, Tarifas!$C$2:$C$33, Tarifas!$D$2:$D$33)), "Peso excedido", 1)) / J93))</f>
        <v>0.358502816</v>
      </c>
      <c r="L93" s="21">
        <v>5990.0</v>
      </c>
      <c r="M93" s="26">
        <f t="array" ref="M93">IF(OR(L93=0, L93=""), 0, 1 - ((((XLOOKUP($A93, 'datos de inventario'!$A:$A, 'datos de inventario'!$D:$D, 0) * 'datos de inventario'!$K$2) + (XLOOKUP($A93, 'datos de inventario'!$A:$A, 'datos de inventario'!$F:$F, 0) * 'datos de inventario'!$K$3 * 'datos de inventario'!$K$4)) * 1.19 + (L93 * 0.15) + XLOOKUP(MAX($Z92, (XLOOKUP($A93, 'datos de inventario'!$A:$A, 'datos de inventario'!$F:$F, 0) * 1000000 / 4000)) + 0.1, Tarifas!$A$2:$A$33, IF(L93 &lt;= 9989, Tarifas!$B$2:$B$33, IF(L93 &lt;= 19989, Tarifas!$C$2:$C$33, Tarifas!$D$2:$D$33)), "Peso excedido", 1)) / L93))</f>
        <v>0.1943969115</v>
      </c>
      <c r="N93" s="45" t="s">
        <v>386</v>
      </c>
      <c r="O93" s="25"/>
      <c r="P93" s="33">
        <v>17.5</v>
      </c>
      <c r="Q93" s="34">
        <f t="shared" si="23"/>
        <v>75.25</v>
      </c>
      <c r="R93" s="44">
        <v>70.0</v>
      </c>
      <c r="S93" s="41">
        <f t="shared" si="24"/>
        <v>301</v>
      </c>
      <c r="T93" s="36">
        <v>46082.0</v>
      </c>
      <c r="U93" s="24">
        <f t="shared" si="17"/>
        <v>0.3849114704</v>
      </c>
      <c r="V93" s="24">
        <f t="shared" si="18"/>
        <v>0.2503128911</v>
      </c>
      <c r="W93" s="25"/>
      <c r="X93" s="25"/>
      <c r="Y93" s="25"/>
      <c r="Z93" s="25"/>
      <c r="AA93" s="25"/>
      <c r="AB93" s="25">
        <f t="shared" si="4"/>
        <v>0</v>
      </c>
      <c r="AC93" s="25"/>
      <c r="AD93" s="25"/>
      <c r="AE93" s="25"/>
      <c r="AF93" s="25"/>
      <c r="AG93" s="25"/>
    </row>
    <row r="94">
      <c r="A94" s="50" t="s">
        <v>391</v>
      </c>
      <c r="B94" s="51" t="s">
        <v>392</v>
      </c>
      <c r="C94" s="19" t="s">
        <v>393</v>
      </c>
      <c r="D94" s="20">
        <f t="shared" si="13"/>
        <v>60</v>
      </c>
      <c r="E94" s="19" t="s">
        <v>394</v>
      </c>
      <c r="F94" s="25"/>
      <c r="G94" s="25"/>
      <c r="H94" s="46"/>
      <c r="I94" s="52"/>
      <c r="J94" s="21">
        <v>18990.0</v>
      </c>
      <c r="K94" s="26">
        <f t="array" ref="K94">IF(OR(J94=0, J94=""), 0, 1 - ((((XLOOKUP($A94, 'datos de inventario'!$A:$A, 'datos de inventario'!$D:$D, 0) * 'datos de inventario'!$K$2) + (XLOOKUP($A94, 'datos de inventario'!$A:$A, 'datos de inventario'!$F:$F, 0) * 'datos de inventario'!$K$3 * 'datos de inventario'!$K$4)) * 1.19 + (J94 * 0.15) + XLOOKUP(MAX($Z93, (XLOOKUP($A94, 'datos de inventario'!$A:$A, 'datos de inventario'!$F:$F, 0) * 1000000 / 4000)) + 0.1, Tarifas!$A$2:$A$33, IF(J94 &lt;= 9989, Tarifas!$B$2:$B$33, IF(J94 &lt;= 19989, Tarifas!$C$2:$C$33, Tarifas!$D$2:$D$33)), "Peso excedido", 1)) / J94))</f>
        <v>0.4097394945</v>
      </c>
      <c r="L94" s="46"/>
      <c r="M94" s="52"/>
      <c r="N94" s="53"/>
      <c r="O94" s="25"/>
      <c r="P94" s="33"/>
      <c r="Q94" s="34"/>
      <c r="R94" s="54"/>
      <c r="S94" s="55"/>
      <c r="T94" s="36">
        <v>46113.0</v>
      </c>
      <c r="U94" s="24" t="str">
        <f t="shared" si="17"/>
        <v>#DIV/0!</v>
      </c>
      <c r="V94" s="24">
        <f t="shared" si="18"/>
        <v>1</v>
      </c>
      <c r="W94" s="56">
        <v>19.0</v>
      </c>
      <c r="X94" s="56">
        <v>19.0</v>
      </c>
      <c r="Y94" s="56">
        <v>21.5</v>
      </c>
      <c r="Z94" s="57">
        <v>0.59</v>
      </c>
      <c r="AA94" s="25"/>
      <c r="AB94" s="25">
        <f t="shared" si="4"/>
        <v>0.0077615</v>
      </c>
      <c r="AC94" s="25"/>
      <c r="AD94" s="25"/>
      <c r="AE94" s="25"/>
      <c r="AF94" s="25"/>
      <c r="AG94" s="25"/>
    </row>
    <row r="95">
      <c r="A95" s="43" t="s">
        <v>395</v>
      </c>
      <c r="B95" s="47" t="s">
        <v>396</v>
      </c>
      <c r="C95" s="49" t="s">
        <v>397</v>
      </c>
      <c r="D95" s="20">
        <f t="shared" si="13"/>
        <v>57</v>
      </c>
      <c r="E95" s="49" t="s">
        <v>398</v>
      </c>
      <c r="F95" s="25"/>
      <c r="G95" s="25"/>
      <c r="H95" s="46"/>
      <c r="I95" s="52"/>
      <c r="J95" s="46"/>
      <c r="K95" s="52"/>
      <c r="L95" s="46"/>
      <c r="M95" s="52"/>
      <c r="N95" s="53"/>
      <c r="O95" s="25"/>
      <c r="P95" s="33"/>
      <c r="Q95" s="34"/>
      <c r="R95" s="54"/>
      <c r="S95" s="55"/>
      <c r="T95" s="36">
        <v>46113.0</v>
      </c>
      <c r="U95" s="24" t="str">
        <f t="shared" si="17"/>
        <v>#DIV/0!</v>
      </c>
      <c r="V95" s="24" t="str">
        <f t="shared" si="18"/>
        <v>#DIV/0!</v>
      </c>
      <c r="W95" s="25"/>
      <c r="X95" s="25"/>
      <c r="Y95" s="25"/>
      <c r="Z95" s="25"/>
      <c r="AA95" s="25"/>
      <c r="AB95" s="25">
        <f t="shared" si="4"/>
        <v>0</v>
      </c>
      <c r="AC95" s="25"/>
      <c r="AD95" s="25"/>
      <c r="AE95" s="25"/>
      <c r="AF95" s="25"/>
      <c r="AG95" s="25"/>
    </row>
    <row r="96">
      <c r="A96" s="19" t="s">
        <v>399</v>
      </c>
      <c r="B96" s="19" t="s">
        <v>400</v>
      </c>
      <c r="C96" s="25"/>
      <c r="D96" s="25"/>
      <c r="E96" s="25"/>
      <c r="F96" s="25"/>
      <c r="G96" s="25"/>
      <c r="H96" s="46"/>
      <c r="I96" s="52"/>
      <c r="J96" s="46"/>
      <c r="K96" s="52"/>
      <c r="L96" s="46"/>
      <c r="M96" s="52"/>
      <c r="N96" s="53"/>
      <c r="O96" s="25"/>
      <c r="P96" s="33"/>
      <c r="Q96" s="34"/>
      <c r="R96" s="54"/>
      <c r="S96" s="55"/>
      <c r="T96" s="36">
        <v>46113.0</v>
      </c>
      <c r="U96" s="24" t="str">
        <f t="shared" si="17"/>
        <v>#DIV/0!</v>
      </c>
      <c r="V96" s="24" t="str">
        <f t="shared" si="18"/>
        <v>#DIV/0!</v>
      </c>
      <c r="W96" s="25"/>
      <c r="X96" s="25"/>
      <c r="Y96" s="25"/>
      <c r="Z96" s="25"/>
      <c r="AA96" s="25"/>
      <c r="AB96" s="25">
        <f t="shared" si="4"/>
        <v>0</v>
      </c>
      <c r="AC96" s="25"/>
      <c r="AD96" s="25"/>
      <c r="AE96" s="25"/>
      <c r="AF96" s="25"/>
      <c r="AG96" s="25"/>
    </row>
    <row r="97">
      <c r="A97" s="19" t="s">
        <v>401</v>
      </c>
      <c r="B97" s="19" t="s">
        <v>402</v>
      </c>
      <c r="C97" s="25"/>
      <c r="D97" s="25"/>
      <c r="E97" s="25"/>
      <c r="F97" s="25"/>
      <c r="G97" s="25"/>
      <c r="H97" s="46"/>
      <c r="I97" s="52"/>
      <c r="J97" s="46"/>
      <c r="K97" s="52"/>
      <c r="L97" s="46"/>
      <c r="M97" s="52"/>
      <c r="N97" s="53"/>
      <c r="O97" s="25"/>
      <c r="P97" s="33"/>
      <c r="Q97" s="34"/>
      <c r="R97" s="54"/>
      <c r="S97" s="55"/>
      <c r="T97" s="36">
        <v>46113.0</v>
      </c>
      <c r="U97" s="24" t="str">
        <f t="shared" si="17"/>
        <v>#DIV/0!</v>
      </c>
      <c r="V97" s="24" t="str">
        <f t="shared" si="18"/>
        <v>#DIV/0!</v>
      </c>
      <c r="W97" s="25"/>
      <c r="X97" s="25"/>
      <c r="Y97" s="25"/>
      <c r="Z97" s="25"/>
      <c r="AA97" s="25"/>
      <c r="AB97" s="25">
        <f t="shared" si="4"/>
        <v>0</v>
      </c>
      <c r="AC97" s="25"/>
      <c r="AD97" s="25"/>
      <c r="AE97" s="25"/>
      <c r="AF97" s="25"/>
      <c r="AG97" s="25"/>
    </row>
    <row r="98">
      <c r="A98" s="19" t="s">
        <v>403</v>
      </c>
      <c r="B98" s="19" t="s">
        <v>404</v>
      </c>
      <c r="C98" s="25"/>
      <c r="D98" s="25"/>
      <c r="E98" s="25"/>
      <c r="F98" s="25"/>
      <c r="G98" s="25"/>
      <c r="H98" s="46"/>
      <c r="I98" s="52"/>
      <c r="J98" s="46"/>
      <c r="K98" s="52"/>
      <c r="L98" s="46"/>
      <c r="M98" s="52"/>
      <c r="N98" s="53"/>
      <c r="O98" s="25"/>
      <c r="P98" s="33"/>
      <c r="Q98" s="34"/>
      <c r="R98" s="54"/>
      <c r="S98" s="55"/>
      <c r="T98" s="36">
        <v>46113.0</v>
      </c>
      <c r="U98" s="24" t="str">
        <f t="shared" si="17"/>
        <v>#DIV/0!</v>
      </c>
      <c r="V98" s="24" t="str">
        <f t="shared" si="18"/>
        <v>#DIV/0!</v>
      </c>
      <c r="W98" s="25"/>
      <c r="X98" s="25"/>
      <c r="Y98" s="25"/>
      <c r="Z98" s="25"/>
      <c r="AA98" s="25"/>
      <c r="AB98" s="25">
        <f t="shared" si="4"/>
        <v>0</v>
      </c>
      <c r="AC98" s="25"/>
      <c r="AD98" s="25"/>
      <c r="AE98" s="25"/>
      <c r="AF98" s="25"/>
      <c r="AG98" s="25"/>
    </row>
    <row r="99">
      <c r="A99" s="19" t="s">
        <v>405</v>
      </c>
      <c r="B99" s="19" t="s">
        <v>406</v>
      </c>
      <c r="C99" s="25"/>
      <c r="D99" s="25"/>
      <c r="E99" s="25"/>
      <c r="F99" s="25"/>
      <c r="G99" s="25"/>
      <c r="H99" s="46"/>
      <c r="I99" s="52"/>
      <c r="J99" s="46"/>
      <c r="K99" s="52"/>
      <c r="L99" s="46"/>
      <c r="M99" s="52"/>
      <c r="N99" s="53"/>
      <c r="O99" s="25"/>
      <c r="P99" s="33"/>
      <c r="Q99" s="34"/>
      <c r="R99" s="54"/>
      <c r="S99" s="55"/>
      <c r="T99" s="25"/>
      <c r="U99" s="24" t="str">
        <f t="shared" si="17"/>
        <v>#DIV/0!</v>
      </c>
      <c r="V99" s="24" t="str">
        <f t="shared" si="18"/>
        <v>#DIV/0!</v>
      </c>
      <c r="W99" s="25"/>
      <c r="X99" s="25"/>
      <c r="Y99" s="25"/>
      <c r="Z99" s="25"/>
      <c r="AA99" s="25"/>
      <c r="AB99" s="25">
        <f t="shared" si="4"/>
        <v>0</v>
      </c>
      <c r="AC99" s="25"/>
      <c r="AD99" s="25"/>
      <c r="AE99" s="25"/>
      <c r="AF99" s="25"/>
      <c r="AG99" s="25"/>
    </row>
    <row r="100">
      <c r="A100" s="25"/>
      <c r="B100" s="25"/>
      <c r="C100" s="25"/>
      <c r="D100" s="25"/>
      <c r="E100" s="25"/>
      <c r="F100" s="25"/>
      <c r="G100" s="25"/>
      <c r="H100" s="46"/>
      <c r="I100" s="52"/>
      <c r="J100" s="46"/>
      <c r="K100" s="52"/>
      <c r="L100" s="46"/>
      <c r="M100" s="52"/>
      <c r="N100" s="53"/>
      <c r="O100" s="25"/>
      <c r="P100" s="33"/>
      <c r="Q100" s="34"/>
      <c r="R100" s="54"/>
      <c r="S100" s="55"/>
      <c r="T100" s="25"/>
      <c r="U100" s="24" t="str">
        <f t="shared" si="17"/>
        <v>#DIV/0!</v>
      </c>
      <c r="V100" s="24" t="str">
        <f t="shared" si="18"/>
        <v>#DIV/0!</v>
      </c>
      <c r="W100" s="25"/>
      <c r="X100" s="25"/>
      <c r="Y100" s="25"/>
      <c r="Z100" s="25"/>
      <c r="AA100" s="25"/>
      <c r="AB100" s="25">
        <f t="shared" si="4"/>
        <v>0</v>
      </c>
      <c r="AC100" s="25"/>
      <c r="AD100" s="25"/>
      <c r="AE100" s="25"/>
      <c r="AF100" s="25"/>
      <c r="AG100" s="25"/>
    </row>
    <row r="101">
      <c r="A101" s="25"/>
      <c r="B101" s="25"/>
      <c r="C101" s="25"/>
      <c r="D101" s="25"/>
      <c r="E101" s="25"/>
      <c r="F101" s="25"/>
      <c r="G101" s="25"/>
      <c r="H101" s="46"/>
      <c r="I101" s="52"/>
      <c r="J101" s="46"/>
      <c r="K101" s="52"/>
      <c r="L101" s="46"/>
      <c r="M101" s="52"/>
      <c r="N101" s="53"/>
      <c r="O101" s="25"/>
      <c r="P101" s="33"/>
      <c r="Q101" s="34"/>
      <c r="R101" s="54"/>
      <c r="S101" s="55"/>
      <c r="T101" s="25"/>
      <c r="U101" s="24" t="str">
        <f t="shared" si="17"/>
        <v>#DIV/0!</v>
      </c>
      <c r="V101" s="24" t="str">
        <f t="shared" si="18"/>
        <v>#DIV/0!</v>
      </c>
      <c r="W101" s="25"/>
      <c r="X101" s="25"/>
      <c r="Y101" s="25"/>
      <c r="Z101" s="25"/>
      <c r="AA101" s="25"/>
      <c r="AB101" s="25">
        <f t="shared" si="4"/>
        <v>0</v>
      </c>
      <c r="AC101" s="25"/>
      <c r="AD101" s="25"/>
      <c r="AE101" s="25"/>
      <c r="AF101" s="25"/>
      <c r="AG101" s="25"/>
    </row>
    <row r="102">
      <c r="A102" s="25"/>
      <c r="B102" s="25"/>
      <c r="C102" s="25"/>
      <c r="D102" s="25"/>
      <c r="E102" s="25"/>
      <c r="F102" s="25"/>
      <c r="G102" s="25"/>
      <c r="H102" s="46"/>
      <c r="I102" s="52"/>
      <c r="J102" s="46"/>
      <c r="K102" s="52"/>
      <c r="L102" s="46"/>
      <c r="M102" s="52"/>
      <c r="N102" s="53"/>
      <c r="O102" s="25"/>
      <c r="P102" s="33"/>
      <c r="Q102" s="34"/>
      <c r="R102" s="54"/>
      <c r="S102" s="55"/>
      <c r="T102" s="25"/>
      <c r="U102" s="24" t="str">
        <f t="shared" si="17"/>
        <v>#DIV/0!</v>
      </c>
      <c r="V102" s="24" t="str">
        <f t="shared" si="18"/>
        <v>#DIV/0!</v>
      </c>
      <c r="W102" s="25"/>
      <c r="X102" s="25"/>
      <c r="Y102" s="25"/>
      <c r="Z102" s="25"/>
      <c r="AA102" s="25"/>
      <c r="AB102" s="25">
        <f t="shared" si="4"/>
        <v>0</v>
      </c>
      <c r="AC102" s="25"/>
      <c r="AD102" s="25"/>
      <c r="AE102" s="25"/>
      <c r="AF102" s="25"/>
      <c r="AG102" s="25"/>
    </row>
    <row r="103">
      <c r="A103" s="25"/>
      <c r="B103" s="25"/>
      <c r="C103" s="25"/>
      <c r="D103" s="25"/>
      <c r="E103" s="25"/>
      <c r="F103" s="25"/>
      <c r="G103" s="25"/>
      <c r="H103" s="46"/>
      <c r="I103" s="52"/>
      <c r="J103" s="46"/>
      <c r="K103" s="52"/>
      <c r="L103" s="46"/>
      <c r="M103" s="52"/>
      <c r="N103" s="53"/>
      <c r="O103" s="25"/>
      <c r="P103" s="33"/>
      <c r="Q103" s="34"/>
      <c r="R103" s="54"/>
      <c r="S103" s="55"/>
      <c r="T103" s="25"/>
      <c r="U103" s="24" t="str">
        <f t="shared" si="17"/>
        <v>#DIV/0!</v>
      </c>
      <c r="V103" s="24" t="str">
        <f t="shared" si="18"/>
        <v>#DIV/0!</v>
      </c>
      <c r="W103" s="25"/>
      <c r="X103" s="25"/>
      <c r="Y103" s="25"/>
      <c r="Z103" s="25"/>
      <c r="AA103" s="25"/>
      <c r="AB103" s="25">
        <f t="shared" si="4"/>
        <v>0</v>
      </c>
      <c r="AC103" s="25"/>
      <c r="AD103" s="25"/>
      <c r="AE103" s="25"/>
      <c r="AF103" s="25"/>
      <c r="AG103" s="25"/>
    </row>
    <row r="104">
      <c r="A104" s="25"/>
      <c r="B104" s="25"/>
      <c r="C104" s="25"/>
      <c r="D104" s="25"/>
      <c r="E104" s="25"/>
      <c r="F104" s="25"/>
      <c r="G104" s="25"/>
      <c r="H104" s="46"/>
      <c r="I104" s="52"/>
      <c r="J104" s="46"/>
      <c r="K104" s="52"/>
      <c r="L104" s="46"/>
      <c r="M104" s="52"/>
      <c r="N104" s="53"/>
      <c r="O104" s="25"/>
      <c r="P104" s="33"/>
      <c r="Q104" s="34"/>
      <c r="R104" s="54"/>
      <c r="S104" s="55"/>
      <c r="T104" s="25"/>
      <c r="U104" s="24" t="str">
        <f t="shared" si="17"/>
        <v>#DIV/0!</v>
      </c>
      <c r="V104" s="24" t="str">
        <f t="shared" si="18"/>
        <v>#DIV/0!</v>
      </c>
      <c r="W104" s="25"/>
      <c r="X104" s="25"/>
      <c r="Y104" s="25"/>
      <c r="Z104" s="25"/>
      <c r="AA104" s="25"/>
      <c r="AB104" s="25">
        <f t="shared" si="4"/>
        <v>0</v>
      </c>
      <c r="AC104" s="25"/>
      <c r="AD104" s="25"/>
      <c r="AE104" s="25"/>
      <c r="AF104" s="25"/>
      <c r="AG104" s="25"/>
    </row>
    <row r="105">
      <c r="A105" s="25"/>
      <c r="B105" s="25"/>
      <c r="C105" s="25"/>
      <c r="D105" s="25"/>
      <c r="E105" s="25"/>
      <c r="F105" s="25"/>
      <c r="G105" s="25"/>
      <c r="H105" s="46"/>
      <c r="I105" s="52"/>
      <c r="J105" s="46"/>
      <c r="K105" s="52"/>
      <c r="L105" s="46"/>
      <c r="M105" s="52"/>
      <c r="N105" s="53"/>
      <c r="O105" s="25"/>
      <c r="P105" s="33"/>
      <c r="Q105" s="34"/>
      <c r="R105" s="54"/>
      <c r="S105" s="55"/>
      <c r="T105" s="25"/>
      <c r="U105" s="24" t="str">
        <f t="shared" si="17"/>
        <v>#DIV/0!</v>
      </c>
      <c r="V105" s="24" t="str">
        <f t="shared" si="18"/>
        <v>#DIV/0!</v>
      </c>
      <c r="W105" s="25"/>
      <c r="X105" s="25"/>
      <c r="Y105" s="25"/>
      <c r="Z105" s="25"/>
      <c r="AA105" s="25"/>
      <c r="AB105" s="25">
        <f t="shared" si="4"/>
        <v>0</v>
      </c>
      <c r="AC105" s="25"/>
      <c r="AD105" s="25"/>
      <c r="AE105" s="25"/>
      <c r="AF105" s="25"/>
      <c r="AG105" s="25"/>
    </row>
    <row r="106">
      <c r="A106" s="25"/>
      <c r="B106" s="25"/>
      <c r="C106" s="25"/>
      <c r="D106" s="25"/>
      <c r="E106" s="25"/>
      <c r="F106" s="25"/>
      <c r="G106" s="25"/>
      <c r="H106" s="46"/>
      <c r="I106" s="52"/>
      <c r="J106" s="46"/>
      <c r="K106" s="52"/>
      <c r="L106" s="46"/>
      <c r="M106" s="52"/>
      <c r="N106" s="53"/>
      <c r="O106" s="25"/>
      <c r="P106" s="33"/>
      <c r="Q106" s="34"/>
      <c r="R106" s="54"/>
      <c r="S106" s="55"/>
      <c r="T106" s="25"/>
      <c r="U106" s="24" t="str">
        <f t="shared" si="17"/>
        <v>#DIV/0!</v>
      </c>
      <c r="V106" s="24" t="str">
        <f t="shared" si="18"/>
        <v>#DIV/0!</v>
      </c>
      <c r="W106" s="25"/>
      <c r="X106" s="25"/>
      <c r="Y106" s="25"/>
      <c r="Z106" s="25"/>
      <c r="AA106" s="25"/>
      <c r="AB106" s="25">
        <f t="shared" si="4"/>
        <v>0</v>
      </c>
      <c r="AC106" s="25"/>
      <c r="AD106" s="25"/>
      <c r="AE106" s="25"/>
      <c r="AF106" s="25"/>
      <c r="AG106" s="25"/>
    </row>
    <row r="107">
      <c r="A107" s="25"/>
      <c r="B107" s="25"/>
      <c r="C107" s="25"/>
      <c r="D107" s="25"/>
      <c r="E107" s="25"/>
      <c r="F107" s="25"/>
      <c r="G107" s="25"/>
      <c r="H107" s="46"/>
      <c r="I107" s="52"/>
      <c r="J107" s="46"/>
      <c r="K107" s="52"/>
      <c r="L107" s="46"/>
      <c r="M107" s="52"/>
      <c r="N107" s="53"/>
      <c r="O107" s="25"/>
      <c r="P107" s="33"/>
      <c r="Q107" s="34"/>
      <c r="R107" s="54"/>
      <c r="S107" s="55"/>
      <c r="T107" s="25"/>
      <c r="U107" s="24" t="str">
        <f t="shared" si="17"/>
        <v>#DIV/0!</v>
      </c>
      <c r="V107" s="24" t="str">
        <f t="shared" si="18"/>
        <v>#DIV/0!</v>
      </c>
      <c r="W107" s="25"/>
      <c r="X107" s="25"/>
      <c r="Y107" s="25"/>
      <c r="Z107" s="25"/>
      <c r="AA107" s="25"/>
      <c r="AB107" s="25">
        <f t="shared" si="4"/>
        <v>0</v>
      </c>
      <c r="AC107" s="25"/>
      <c r="AD107" s="25"/>
      <c r="AE107" s="25"/>
      <c r="AF107" s="25"/>
      <c r="AG107" s="25"/>
    </row>
    <row r="108">
      <c r="A108" s="25"/>
      <c r="B108" s="25"/>
      <c r="C108" s="25"/>
      <c r="D108" s="25"/>
      <c r="E108" s="25"/>
      <c r="F108" s="25"/>
      <c r="G108" s="25"/>
      <c r="H108" s="46"/>
      <c r="I108" s="52"/>
      <c r="J108" s="46"/>
      <c r="K108" s="52"/>
      <c r="L108" s="46"/>
      <c r="M108" s="52"/>
      <c r="N108" s="53"/>
      <c r="O108" s="25"/>
      <c r="P108" s="33"/>
      <c r="Q108" s="34"/>
      <c r="R108" s="54"/>
      <c r="S108" s="55"/>
      <c r="T108" s="25"/>
      <c r="U108" s="24" t="str">
        <f t="shared" si="17"/>
        <v>#DIV/0!</v>
      </c>
      <c r="V108" s="24" t="str">
        <f t="shared" si="18"/>
        <v>#DIV/0!</v>
      </c>
      <c r="W108" s="25"/>
      <c r="X108" s="25"/>
      <c r="Y108" s="25"/>
      <c r="Z108" s="25"/>
      <c r="AA108" s="25"/>
      <c r="AB108" s="25">
        <f t="shared" si="4"/>
        <v>0</v>
      </c>
      <c r="AC108" s="25"/>
      <c r="AD108" s="25"/>
      <c r="AE108" s="25"/>
      <c r="AF108" s="25"/>
      <c r="AG108" s="25"/>
    </row>
    <row r="109">
      <c r="A109" s="25"/>
      <c r="B109" s="25"/>
      <c r="C109" s="25"/>
      <c r="D109" s="25"/>
      <c r="E109" s="25"/>
      <c r="F109" s="25"/>
      <c r="G109" s="25"/>
      <c r="H109" s="46"/>
      <c r="I109" s="52"/>
      <c r="J109" s="46"/>
      <c r="K109" s="52"/>
      <c r="L109" s="46"/>
      <c r="M109" s="52"/>
      <c r="N109" s="53"/>
      <c r="O109" s="25"/>
      <c r="P109" s="33"/>
      <c r="Q109" s="34"/>
      <c r="R109" s="54"/>
      <c r="S109" s="55"/>
      <c r="T109" s="25"/>
      <c r="U109" s="24" t="str">
        <f t="shared" si="17"/>
        <v>#DIV/0!</v>
      </c>
      <c r="V109" s="24" t="str">
        <f t="shared" si="18"/>
        <v>#DIV/0!</v>
      </c>
      <c r="W109" s="25"/>
      <c r="X109" s="25"/>
      <c r="Y109" s="25"/>
      <c r="Z109" s="25"/>
      <c r="AA109" s="25"/>
      <c r="AB109" s="25">
        <f t="shared" si="4"/>
        <v>0</v>
      </c>
      <c r="AC109" s="25"/>
      <c r="AD109" s="25"/>
      <c r="AE109" s="25"/>
      <c r="AF109" s="25"/>
      <c r="AG109" s="25"/>
    </row>
    <row r="110">
      <c r="A110" s="25"/>
      <c r="B110" s="25"/>
      <c r="C110" s="25"/>
      <c r="D110" s="25"/>
      <c r="E110" s="25"/>
      <c r="F110" s="25"/>
      <c r="G110" s="25"/>
      <c r="H110" s="46"/>
      <c r="I110" s="52"/>
      <c r="J110" s="46"/>
      <c r="K110" s="52"/>
      <c r="L110" s="46"/>
      <c r="M110" s="52"/>
      <c r="N110" s="53"/>
      <c r="O110" s="25"/>
      <c r="P110" s="33"/>
      <c r="Q110" s="34"/>
      <c r="R110" s="54"/>
      <c r="S110" s="55"/>
      <c r="T110" s="25"/>
      <c r="U110" s="24" t="str">
        <f t="shared" si="17"/>
        <v>#DIV/0!</v>
      </c>
      <c r="V110" s="24" t="str">
        <f t="shared" si="18"/>
        <v>#DIV/0!</v>
      </c>
      <c r="W110" s="25"/>
      <c r="X110" s="25"/>
      <c r="Y110" s="25"/>
      <c r="Z110" s="25"/>
      <c r="AA110" s="25"/>
      <c r="AB110" s="25">
        <f t="shared" si="4"/>
        <v>0</v>
      </c>
      <c r="AC110" s="25"/>
      <c r="AD110" s="25"/>
      <c r="AE110" s="25"/>
      <c r="AF110" s="25"/>
      <c r="AG110" s="25"/>
    </row>
    <row r="111">
      <c r="A111" s="25"/>
      <c r="B111" s="25"/>
      <c r="C111" s="25"/>
      <c r="D111" s="25"/>
      <c r="E111" s="25"/>
      <c r="F111" s="25"/>
      <c r="G111" s="25"/>
      <c r="H111" s="46"/>
      <c r="I111" s="52"/>
      <c r="J111" s="46"/>
      <c r="K111" s="52"/>
      <c r="L111" s="46"/>
      <c r="M111" s="52"/>
      <c r="N111" s="53"/>
      <c r="O111" s="25"/>
      <c r="P111" s="33"/>
      <c r="Q111" s="34"/>
      <c r="R111" s="54"/>
      <c r="S111" s="55"/>
      <c r="T111" s="25"/>
      <c r="U111" s="24" t="str">
        <f t="shared" si="17"/>
        <v>#DIV/0!</v>
      </c>
      <c r="V111" s="24" t="str">
        <f t="shared" si="18"/>
        <v>#DIV/0!</v>
      </c>
      <c r="W111" s="25"/>
      <c r="X111" s="25"/>
      <c r="Y111" s="25"/>
      <c r="Z111" s="25"/>
      <c r="AA111" s="25"/>
      <c r="AB111" s="25">
        <f t="shared" si="4"/>
        <v>0</v>
      </c>
      <c r="AC111" s="25"/>
      <c r="AD111" s="25"/>
      <c r="AE111" s="25"/>
      <c r="AF111" s="25"/>
      <c r="AG111" s="25"/>
    </row>
    <row r="112">
      <c r="A112" s="25"/>
      <c r="B112" s="25"/>
      <c r="C112" s="25"/>
      <c r="D112" s="25"/>
      <c r="E112" s="25"/>
      <c r="F112" s="25"/>
      <c r="G112" s="25"/>
      <c r="H112" s="46"/>
      <c r="I112" s="52"/>
      <c r="J112" s="46"/>
      <c r="K112" s="52"/>
      <c r="L112" s="46"/>
      <c r="M112" s="52"/>
      <c r="N112" s="53"/>
      <c r="O112" s="25"/>
      <c r="P112" s="33"/>
      <c r="Q112" s="34"/>
      <c r="R112" s="54"/>
      <c r="S112" s="55"/>
      <c r="T112" s="25"/>
      <c r="U112" s="24" t="str">
        <f t="shared" si="17"/>
        <v>#DIV/0!</v>
      </c>
      <c r="V112" s="24" t="str">
        <f t="shared" si="18"/>
        <v>#DIV/0!</v>
      </c>
      <c r="W112" s="25"/>
      <c r="X112" s="25"/>
      <c r="Y112" s="25"/>
      <c r="Z112" s="25"/>
      <c r="AA112" s="25"/>
      <c r="AB112" s="25">
        <f t="shared" si="4"/>
        <v>0</v>
      </c>
      <c r="AC112" s="25"/>
      <c r="AD112" s="25"/>
      <c r="AE112" s="25"/>
      <c r="AF112" s="25"/>
      <c r="AG112" s="25"/>
    </row>
    <row r="113">
      <c r="A113" s="25"/>
      <c r="B113" s="25"/>
      <c r="C113" s="25"/>
      <c r="D113" s="25"/>
      <c r="E113" s="25"/>
      <c r="F113" s="25"/>
      <c r="G113" s="25"/>
      <c r="H113" s="46"/>
      <c r="I113" s="52"/>
      <c r="J113" s="46"/>
      <c r="K113" s="52"/>
      <c r="L113" s="46"/>
      <c r="M113" s="52"/>
      <c r="N113" s="53"/>
      <c r="O113" s="25"/>
      <c r="P113" s="33"/>
      <c r="Q113" s="34"/>
      <c r="R113" s="54"/>
      <c r="S113" s="55"/>
      <c r="T113" s="25"/>
      <c r="U113" s="24" t="str">
        <f t="shared" si="17"/>
        <v>#DIV/0!</v>
      </c>
      <c r="V113" s="24" t="str">
        <f t="shared" si="18"/>
        <v>#DIV/0!</v>
      </c>
      <c r="W113" s="25"/>
      <c r="X113" s="25"/>
      <c r="Y113" s="25"/>
      <c r="Z113" s="25"/>
      <c r="AA113" s="25"/>
      <c r="AB113" s="25">
        <f t="shared" si="4"/>
        <v>0</v>
      </c>
      <c r="AC113" s="25"/>
      <c r="AD113" s="25"/>
      <c r="AE113" s="25"/>
      <c r="AF113" s="25"/>
      <c r="AG113" s="25"/>
    </row>
    <row r="114">
      <c r="A114" s="25"/>
      <c r="B114" s="25"/>
      <c r="C114" s="25"/>
      <c r="D114" s="25"/>
      <c r="E114" s="25"/>
      <c r="F114" s="25"/>
      <c r="G114" s="25"/>
      <c r="H114" s="46"/>
      <c r="I114" s="52"/>
      <c r="J114" s="46"/>
      <c r="K114" s="52"/>
      <c r="L114" s="46"/>
      <c r="M114" s="52"/>
      <c r="N114" s="53"/>
      <c r="O114" s="25"/>
      <c r="P114" s="33"/>
      <c r="Q114" s="34"/>
      <c r="R114" s="54"/>
      <c r="S114" s="55"/>
      <c r="T114" s="25"/>
      <c r="U114" s="24" t="str">
        <f t="shared" si="17"/>
        <v>#DIV/0!</v>
      </c>
      <c r="V114" s="24" t="str">
        <f t="shared" si="18"/>
        <v>#DIV/0!</v>
      </c>
      <c r="W114" s="25"/>
      <c r="X114" s="25"/>
      <c r="Y114" s="25"/>
      <c r="Z114" s="25"/>
      <c r="AA114" s="25"/>
      <c r="AB114" s="25">
        <f t="shared" si="4"/>
        <v>0</v>
      </c>
      <c r="AC114" s="25"/>
      <c r="AD114" s="25"/>
      <c r="AE114" s="25"/>
      <c r="AF114" s="25"/>
      <c r="AG114" s="25"/>
    </row>
    <row r="115">
      <c r="A115" s="25"/>
      <c r="B115" s="25"/>
      <c r="C115" s="25"/>
      <c r="D115" s="25"/>
      <c r="E115" s="25"/>
      <c r="F115" s="25"/>
      <c r="G115" s="25"/>
      <c r="H115" s="46"/>
      <c r="I115" s="52"/>
      <c r="J115" s="46"/>
      <c r="K115" s="52"/>
      <c r="L115" s="46"/>
      <c r="M115" s="52"/>
      <c r="N115" s="53"/>
      <c r="O115" s="25"/>
      <c r="P115" s="33"/>
      <c r="Q115" s="34"/>
      <c r="R115" s="54"/>
      <c r="S115" s="55"/>
      <c r="T115" s="25"/>
      <c r="U115" s="24" t="str">
        <f t="shared" si="17"/>
        <v>#DIV/0!</v>
      </c>
      <c r="V115" s="24" t="str">
        <f t="shared" si="18"/>
        <v>#DIV/0!</v>
      </c>
      <c r="W115" s="25"/>
      <c r="X115" s="25"/>
      <c r="Y115" s="25"/>
      <c r="Z115" s="25"/>
      <c r="AA115" s="25"/>
      <c r="AB115" s="25">
        <f t="shared" si="4"/>
        <v>0</v>
      </c>
      <c r="AC115" s="25"/>
      <c r="AD115" s="25"/>
      <c r="AE115" s="25"/>
      <c r="AF115" s="25"/>
      <c r="AG115" s="25"/>
    </row>
    <row r="116">
      <c r="A116" s="25"/>
      <c r="B116" s="25"/>
      <c r="C116" s="25"/>
      <c r="D116" s="25"/>
      <c r="E116" s="25"/>
      <c r="F116" s="25"/>
      <c r="G116" s="25"/>
      <c r="H116" s="46"/>
      <c r="I116" s="52"/>
      <c r="J116" s="46"/>
      <c r="K116" s="52"/>
      <c r="L116" s="46"/>
      <c r="M116" s="52"/>
      <c r="N116" s="53"/>
      <c r="O116" s="25"/>
      <c r="P116" s="33"/>
      <c r="Q116" s="34"/>
      <c r="R116" s="54"/>
      <c r="S116" s="55"/>
      <c r="T116" s="25"/>
      <c r="U116" s="24" t="str">
        <f t="shared" si="17"/>
        <v>#DIV/0!</v>
      </c>
      <c r="V116" s="24" t="str">
        <f t="shared" si="18"/>
        <v>#DIV/0!</v>
      </c>
      <c r="W116" s="25"/>
      <c r="X116" s="25"/>
      <c r="Y116" s="25"/>
      <c r="Z116" s="25"/>
      <c r="AA116" s="25"/>
      <c r="AB116" s="25">
        <f t="shared" si="4"/>
        <v>0</v>
      </c>
      <c r="AC116" s="25"/>
      <c r="AD116" s="25"/>
      <c r="AE116" s="25"/>
      <c r="AF116" s="25"/>
      <c r="AG116" s="25"/>
    </row>
    <row r="117">
      <c r="A117" s="25"/>
      <c r="B117" s="25"/>
      <c r="C117" s="25"/>
      <c r="D117" s="25"/>
      <c r="E117" s="25"/>
      <c r="F117" s="25"/>
      <c r="G117" s="25"/>
      <c r="H117" s="46"/>
      <c r="I117" s="52"/>
      <c r="J117" s="46"/>
      <c r="K117" s="52"/>
      <c r="L117" s="46"/>
      <c r="M117" s="52"/>
      <c r="N117" s="53"/>
      <c r="O117" s="25"/>
      <c r="P117" s="33"/>
      <c r="Q117" s="34"/>
      <c r="R117" s="54"/>
      <c r="S117" s="55"/>
      <c r="T117" s="25"/>
      <c r="U117" s="24" t="str">
        <f t="shared" si="17"/>
        <v>#DIV/0!</v>
      </c>
      <c r="V117" s="24" t="str">
        <f t="shared" si="18"/>
        <v>#DIV/0!</v>
      </c>
      <c r="W117" s="25"/>
      <c r="X117" s="25"/>
      <c r="Y117" s="25"/>
      <c r="Z117" s="25"/>
      <c r="AA117" s="25"/>
      <c r="AB117" s="25">
        <f t="shared" si="4"/>
        <v>0</v>
      </c>
      <c r="AC117" s="25"/>
      <c r="AD117" s="25"/>
      <c r="AE117" s="25"/>
      <c r="AF117" s="25"/>
      <c r="AG117" s="25"/>
    </row>
    <row r="118">
      <c r="A118" s="25"/>
      <c r="B118" s="25"/>
      <c r="C118" s="25"/>
      <c r="D118" s="25"/>
      <c r="E118" s="25"/>
      <c r="F118" s="25"/>
      <c r="G118" s="25"/>
      <c r="H118" s="46"/>
      <c r="I118" s="52"/>
      <c r="J118" s="46"/>
      <c r="K118" s="52"/>
      <c r="L118" s="46"/>
      <c r="M118" s="52"/>
      <c r="N118" s="53"/>
      <c r="O118" s="25"/>
      <c r="P118" s="33"/>
      <c r="Q118" s="34"/>
      <c r="R118" s="54"/>
      <c r="S118" s="55"/>
      <c r="T118" s="25"/>
      <c r="U118" s="24" t="str">
        <f t="shared" si="17"/>
        <v>#DIV/0!</v>
      </c>
      <c r="V118" s="24" t="str">
        <f t="shared" si="18"/>
        <v>#DIV/0!</v>
      </c>
      <c r="W118" s="25"/>
      <c r="X118" s="25"/>
      <c r="Y118" s="25"/>
      <c r="Z118" s="25"/>
      <c r="AA118" s="25"/>
      <c r="AB118" s="25">
        <f t="shared" si="4"/>
        <v>0</v>
      </c>
      <c r="AC118" s="25"/>
      <c r="AD118" s="25"/>
      <c r="AE118" s="25"/>
      <c r="AF118" s="25"/>
      <c r="AG118" s="25"/>
    </row>
    <row r="119">
      <c r="A119" s="25"/>
      <c r="B119" s="25"/>
      <c r="C119" s="25"/>
      <c r="D119" s="25"/>
      <c r="E119" s="25"/>
      <c r="F119" s="25"/>
      <c r="G119" s="25"/>
      <c r="H119" s="46"/>
      <c r="I119" s="52"/>
      <c r="J119" s="46"/>
      <c r="K119" s="52"/>
      <c r="L119" s="46"/>
      <c r="M119" s="52"/>
      <c r="N119" s="53"/>
      <c r="O119" s="25"/>
      <c r="P119" s="33"/>
      <c r="Q119" s="34"/>
      <c r="R119" s="54"/>
      <c r="S119" s="55"/>
      <c r="T119" s="25"/>
      <c r="U119" s="24" t="str">
        <f t="shared" si="17"/>
        <v>#DIV/0!</v>
      </c>
      <c r="V119" s="24" t="str">
        <f t="shared" si="18"/>
        <v>#DIV/0!</v>
      </c>
      <c r="W119" s="25"/>
      <c r="X119" s="25"/>
      <c r="Y119" s="25"/>
      <c r="Z119" s="25"/>
      <c r="AA119" s="25"/>
      <c r="AB119" s="25">
        <f t="shared" si="4"/>
        <v>0</v>
      </c>
      <c r="AC119" s="25"/>
      <c r="AD119" s="25"/>
      <c r="AE119" s="25"/>
      <c r="AF119" s="25"/>
      <c r="AG119" s="25"/>
    </row>
    <row r="120">
      <c r="A120" s="25"/>
      <c r="B120" s="25"/>
      <c r="C120" s="25"/>
      <c r="D120" s="25"/>
      <c r="E120" s="25"/>
      <c r="F120" s="25"/>
      <c r="G120" s="25"/>
      <c r="H120" s="46"/>
      <c r="I120" s="52"/>
      <c r="J120" s="46"/>
      <c r="K120" s="52"/>
      <c r="L120" s="46"/>
      <c r="M120" s="52"/>
      <c r="N120" s="53"/>
      <c r="O120" s="25"/>
      <c r="P120" s="33"/>
      <c r="Q120" s="34"/>
      <c r="R120" s="54"/>
      <c r="S120" s="55"/>
      <c r="T120" s="25"/>
      <c r="U120" s="24" t="str">
        <f t="shared" si="17"/>
        <v>#DIV/0!</v>
      </c>
      <c r="V120" s="24" t="str">
        <f t="shared" si="18"/>
        <v>#DIV/0!</v>
      </c>
      <c r="W120" s="25"/>
      <c r="X120" s="25"/>
      <c r="Y120" s="25"/>
      <c r="Z120" s="25"/>
      <c r="AA120" s="25"/>
      <c r="AB120" s="25">
        <f t="shared" si="4"/>
        <v>0</v>
      </c>
      <c r="AC120" s="25"/>
      <c r="AD120" s="25"/>
      <c r="AE120" s="25"/>
      <c r="AF120" s="25"/>
      <c r="AG120" s="25"/>
    </row>
    <row r="121">
      <c r="A121" s="25"/>
      <c r="B121" s="25"/>
      <c r="C121" s="25"/>
      <c r="D121" s="25"/>
      <c r="E121" s="25"/>
      <c r="F121" s="25"/>
      <c r="G121" s="25"/>
      <c r="H121" s="46"/>
      <c r="I121" s="52"/>
      <c r="J121" s="46"/>
      <c r="K121" s="52"/>
      <c r="L121" s="46"/>
      <c r="M121" s="52"/>
      <c r="N121" s="53"/>
      <c r="O121" s="25"/>
      <c r="P121" s="33"/>
      <c r="Q121" s="34"/>
      <c r="R121" s="54"/>
      <c r="S121" s="55"/>
      <c r="T121" s="25"/>
      <c r="U121" s="24" t="str">
        <f t="shared" si="17"/>
        <v>#DIV/0!</v>
      </c>
      <c r="V121" s="24" t="str">
        <f t="shared" si="18"/>
        <v>#DIV/0!</v>
      </c>
      <c r="W121" s="25"/>
      <c r="X121" s="25"/>
      <c r="Y121" s="25"/>
      <c r="Z121" s="25"/>
      <c r="AA121" s="25"/>
      <c r="AB121" s="25">
        <f t="shared" si="4"/>
        <v>0</v>
      </c>
      <c r="AC121" s="25"/>
      <c r="AD121" s="25"/>
      <c r="AE121" s="25"/>
      <c r="AF121" s="25"/>
      <c r="AG121" s="25"/>
    </row>
    <row r="122">
      <c r="A122" s="25"/>
      <c r="B122" s="25"/>
      <c r="C122" s="25"/>
      <c r="D122" s="25"/>
      <c r="E122" s="25"/>
      <c r="F122" s="25"/>
      <c r="G122" s="25"/>
      <c r="H122" s="46"/>
      <c r="I122" s="52"/>
      <c r="J122" s="46"/>
      <c r="K122" s="52"/>
      <c r="L122" s="46"/>
      <c r="M122" s="52"/>
      <c r="N122" s="53"/>
      <c r="O122" s="25"/>
      <c r="P122" s="33"/>
      <c r="Q122" s="34"/>
      <c r="R122" s="54"/>
      <c r="S122" s="55"/>
      <c r="T122" s="25"/>
      <c r="U122" s="24" t="str">
        <f t="shared" si="17"/>
        <v>#DIV/0!</v>
      </c>
      <c r="V122" s="24" t="str">
        <f t="shared" si="18"/>
        <v>#DIV/0!</v>
      </c>
      <c r="W122" s="25"/>
      <c r="X122" s="25"/>
      <c r="Y122" s="25"/>
      <c r="Z122" s="25"/>
      <c r="AA122" s="25"/>
      <c r="AB122" s="25">
        <f t="shared" si="4"/>
        <v>0</v>
      </c>
      <c r="AC122" s="25"/>
      <c r="AD122" s="25"/>
      <c r="AE122" s="25"/>
      <c r="AF122" s="25"/>
      <c r="AG122" s="25"/>
    </row>
    <row r="123">
      <c r="A123" s="25"/>
      <c r="B123" s="25"/>
      <c r="C123" s="25"/>
      <c r="D123" s="25"/>
      <c r="E123" s="25"/>
      <c r="F123" s="25"/>
      <c r="G123" s="25"/>
      <c r="H123" s="46"/>
      <c r="I123" s="52"/>
      <c r="J123" s="46"/>
      <c r="K123" s="52"/>
      <c r="L123" s="46"/>
      <c r="M123" s="52"/>
      <c r="N123" s="53"/>
      <c r="O123" s="25"/>
      <c r="P123" s="33"/>
      <c r="Q123" s="34"/>
      <c r="R123" s="54"/>
      <c r="S123" s="55"/>
      <c r="T123" s="25"/>
      <c r="U123" s="24" t="str">
        <f t="shared" si="17"/>
        <v>#DIV/0!</v>
      </c>
      <c r="V123" s="24" t="str">
        <f t="shared" si="18"/>
        <v>#DIV/0!</v>
      </c>
      <c r="W123" s="25"/>
      <c r="X123" s="25"/>
      <c r="Y123" s="25"/>
      <c r="Z123" s="25"/>
      <c r="AA123" s="25"/>
      <c r="AB123" s="25">
        <f t="shared" si="4"/>
        <v>0</v>
      </c>
      <c r="AC123" s="25"/>
      <c r="AD123" s="25"/>
      <c r="AE123" s="25"/>
      <c r="AF123" s="25"/>
      <c r="AG123" s="25"/>
    </row>
    <row r="124">
      <c r="A124" s="25"/>
      <c r="B124" s="25"/>
      <c r="C124" s="25"/>
      <c r="D124" s="25"/>
      <c r="E124" s="25"/>
      <c r="F124" s="25"/>
      <c r="G124" s="25"/>
      <c r="H124" s="46"/>
      <c r="I124" s="52"/>
      <c r="J124" s="46"/>
      <c r="K124" s="52"/>
      <c r="L124" s="46"/>
      <c r="M124" s="52"/>
      <c r="N124" s="53"/>
      <c r="O124" s="25"/>
      <c r="P124" s="33"/>
      <c r="Q124" s="34"/>
      <c r="R124" s="54"/>
      <c r="S124" s="55"/>
      <c r="T124" s="25"/>
      <c r="U124" s="24" t="str">
        <f t="shared" si="17"/>
        <v>#DIV/0!</v>
      </c>
      <c r="V124" s="24" t="str">
        <f t="shared" si="18"/>
        <v>#DIV/0!</v>
      </c>
      <c r="W124" s="25"/>
      <c r="X124" s="25"/>
      <c r="Y124" s="25"/>
      <c r="Z124" s="25"/>
      <c r="AA124" s="25"/>
      <c r="AB124" s="25">
        <f t="shared" si="4"/>
        <v>0</v>
      </c>
      <c r="AC124" s="25"/>
      <c r="AD124" s="25"/>
      <c r="AE124" s="25"/>
      <c r="AF124" s="25"/>
      <c r="AG124" s="25"/>
    </row>
    <row r="125">
      <c r="A125" s="25"/>
      <c r="B125" s="25"/>
      <c r="C125" s="25"/>
      <c r="D125" s="25"/>
      <c r="E125" s="25"/>
      <c r="F125" s="25"/>
      <c r="G125" s="25"/>
      <c r="H125" s="46"/>
      <c r="I125" s="52"/>
      <c r="J125" s="46"/>
      <c r="K125" s="52"/>
      <c r="L125" s="46"/>
      <c r="M125" s="52"/>
      <c r="N125" s="53"/>
      <c r="O125" s="25"/>
      <c r="P125" s="33"/>
      <c r="Q125" s="34"/>
      <c r="R125" s="54"/>
      <c r="S125" s="55"/>
      <c r="T125" s="25"/>
      <c r="U125" s="24" t="str">
        <f t="shared" si="17"/>
        <v>#DIV/0!</v>
      </c>
      <c r="V125" s="24" t="str">
        <f t="shared" si="18"/>
        <v>#DIV/0!</v>
      </c>
      <c r="W125" s="25"/>
      <c r="X125" s="25"/>
      <c r="Y125" s="25"/>
      <c r="Z125" s="25"/>
      <c r="AA125" s="25"/>
      <c r="AB125" s="25">
        <f t="shared" si="4"/>
        <v>0</v>
      </c>
      <c r="AC125" s="25"/>
      <c r="AD125" s="25"/>
      <c r="AE125" s="25"/>
      <c r="AF125" s="25"/>
      <c r="AG125" s="25"/>
    </row>
    <row r="126">
      <c r="A126" s="25"/>
      <c r="B126" s="25"/>
      <c r="C126" s="25"/>
      <c r="D126" s="25"/>
      <c r="E126" s="25"/>
      <c r="F126" s="25"/>
      <c r="G126" s="25"/>
      <c r="H126" s="46"/>
      <c r="I126" s="52"/>
      <c r="J126" s="46"/>
      <c r="K126" s="52"/>
      <c r="L126" s="46"/>
      <c r="M126" s="52"/>
      <c r="N126" s="53"/>
      <c r="O126" s="25"/>
      <c r="P126" s="33"/>
      <c r="Q126" s="34"/>
      <c r="R126" s="54"/>
      <c r="S126" s="55"/>
      <c r="T126" s="25"/>
      <c r="U126" s="24" t="str">
        <f t="shared" si="17"/>
        <v>#DIV/0!</v>
      </c>
      <c r="V126" s="24" t="str">
        <f t="shared" si="18"/>
        <v>#DIV/0!</v>
      </c>
      <c r="W126" s="25"/>
      <c r="X126" s="25"/>
      <c r="Y126" s="25"/>
      <c r="Z126" s="25"/>
      <c r="AA126" s="25"/>
      <c r="AB126" s="25">
        <f t="shared" si="4"/>
        <v>0</v>
      </c>
      <c r="AC126" s="25"/>
      <c r="AD126" s="25"/>
      <c r="AE126" s="25"/>
      <c r="AF126" s="25"/>
      <c r="AG126" s="25"/>
    </row>
    <row r="127">
      <c r="A127" s="25"/>
      <c r="B127" s="25"/>
      <c r="C127" s="25"/>
      <c r="D127" s="25"/>
      <c r="E127" s="25"/>
      <c r="F127" s="25"/>
      <c r="G127" s="25"/>
      <c r="H127" s="46"/>
      <c r="I127" s="52"/>
      <c r="J127" s="46"/>
      <c r="K127" s="52"/>
      <c r="L127" s="46"/>
      <c r="M127" s="52"/>
      <c r="N127" s="53"/>
      <c r="O127" s="25"/>
      <c r="P127" s="33"/>
      <c r="Q127" s="34"/>
      <c r="R127" s="54"/>
      <c r="S127" s="55"/>
      <c r="T127" s="25"/>
      <c r="U127" s="24" t="str">
        <f t="shared" si="17"/>
        <v>#DIV/0!</v>
      </c>
      <c r="V127" s="24" t="str">
        <f t="shared" si="18"/>
        <v>#DIV/0!</v>
      </c>
      <c r="W127" s="25"/>
      <c r="X127" s="25"/>
      <c r="Y127" s="25"/>
      <c r="Z127" s="25"/>
      <c r="AA127" s="25"/>
      <c r="AB127" s="25">
        <f t="shared" si="4"/>
        <v>0</v>
      </c>
      <c r="AC127" s="25"/>
      <c r="AD127" s="25"/>
      <c r="AE127" s="25"/>
      <c r="AF127" s="25"/>
      <c r="AG127" s="25"/>
    </row>
    <row r="128">
      <c r="A128" s="25"/>
      <c r="B128" s="25"/>
      <c r="C128" s="25"/>
      <c r="D128" s="25"/>
      <c r="E128" s="25"/>
      <c r="F128" s="25"/>
      <c r="G128" s="25"/>
      <c r="H128" s="46"/>
      <c r="I128" s="52"/>
      <c r="J128" s="46"/>
      <c r="K128" s="52"/>
      <c r="L128" s="46"/>
      <c r="M128" s="52"/>
      <c r="N128" s="53"/>
      <c r="O128" s="25"/>
      <c r="P128" s="33"/>
      <c r="Q128" s="34"/>
      <c r="R128" s="54"/>
      <c r="S128" s="55"/>
      <c r="T128" s="25"/>
      <c r="U128" s="24" t="str">
        <f t="shared" si="17"/>
        <v>#DIV/0!</v>
      </c>
      <c r="V128" s="24" t="str">
        <f t="shared" si="18"/>
        <v>#DIV/0!</v>
      </c>
      <c r="W128" s="25"/>
      <c r="X128" s="25"/>
      <c r="Y128" s="25"/>
      <c r="Z128" s="25"/>
      <c r="AA128" s="25"/>
      <c r="AB128" s="25">
        <f t="shared" si="4"/>
        <v>0</v>
      </c>
      <c r="AC128" s="25"/>
      <c r="AD128" s="25"/>
      <c r="AE128" s="25"/>
      <c r="AF128" s="25"/>
      <c r="AG128" s="25"/>
    </row>
    <row r="129">
      <c r="A129" s="25"/>
      <c r="B129" s="25"/>
      <c r="C129" s="25"/>
      <c r="D129" s="25"/>
      <c r="E129" s="25"/>
      <c r="F129" s="25"/>
      <c r="G129" s="25"/>
      <c r="H129" s="46"/>
      <c r="I129" s="52"/>
      <c r="J129" s="46"/>
      <c r="K129" s="52"/>
      <c r="L129" s="46"/>
      <c r="M129" s="52"/>
      <c r="N129" s="53"/>
      <c r="O129" s="25"/>
      <c r="P129" s="33"/>
      <c r="Q129" s="34"/>
      <c r="R129" s="54"/>
      <c r="S129" s="55"/>
      <c r="T129" s="25"/>
      <c r="U129" s="24" t="str">
        <f t="shared" si="17"/>
        <v>#DIV/0!</v>
      </c>
      <c r="V129" s="24" t="str">
        <f t="shared" si="18"/>
        <v>#DIV/0!</v>
      </c>
      <c r="W129" s="25"/>
      <c r="X129" s="25"/>
      <c r="Y129" s="25"/>
      <c r="Z129" s="25"/>
      <c r="AA129" s="25"/>
      <c r="AB129" s="25">
        <f t="shared" si="4"/>
        <v>0</v>
      </c>
      <c r="AC129" s="25"/>
      <c r="AD129" s="25"/>
      <c r="AE129" s="25"/>
      <c r="AF129" s="25"/>
      <c r="AG129" s="25"/>
    </row>
    <row r="130">
      <c r="A130" s="25"/>
      <c r="B130" s="25"/>
      <c r="C130" s="25"/>
      <c r="D130" s="25"/>
      <c r="E130" s="25"/>
      <c r="F130" s="25"/>
      <c r="G130" s="25"/>
      <c r="H130" s="46"/>
      <c r="I130" s="52"/>
      <c r="J130" s="46"/>
      <c r="K130" s="52"/>
      <c r="L130" s="46"/>
      <c r="M130" s="52"/>
      <c r="N130" s="53"/>
      <c r="O130" s="25"/>
      <c r="P130" s="33"/>
      <c r="Q130" s="34"/>
      <c r="R130" s="54"/>
      <c r="S130" s="55"/>
      <c r="T130" s="25"/>
      <c r="U130" s="24" t="str">
        <f t="shared" si="17"/>
        <v>#DIV/0!</v>
      </c>
      <c r="V130" s="24" t="str">
        <f t="shared" si="18"/>
        <v>#DIV/0!</v>
      </c>
      <c r="W130" s="25"/>
      <c r="X130" s="25"/>
      <c r="Y130" s="25"/>
      <c r="Z130" s="25"/>
      <c r="AA130" s="25"/>
      <c r="AB130" s="25">
        <f t="shared" si="4"/>
        <v>0</v>
      </c>
      <c r="AC130" s="25"/>
      <c r="AD130" s="25"/>
      <c r="AE130" s="25"/>
      <c r="AF130" s="25"/>
      <c r="AG130" s="25"/>
    </row>
    <row r="131">
      <c r="A131" s="25"/>
      <c r="B131" s="25"/>
      <c r="C131" s="25"/>
      <c r="D131" s="25"/>
      <c r="E131" s="25"/>
      <c r="F131" s="25"/>
      <c r="G131" s="25"/>
      <c r="H131" s="46"/>
      <c r="I131" s="52"/>
      <c r="J131" s="46"/>
      <c r="K131" s="52"/>
      <c r="L131" s="46"/>
      <c r="M131" s="52"/>
      <c r="N131" s="53"/>
      <c r="O131" s="25"/>
      <c r="P131" s="33"/>
      <c r="Q131" s="34"/>
      <c r="R131" s="54"/>
      <c r="S131" s="55"/>
      <c r="T131" s="25"/>
      <c r="U131" s="24" t="str">
        <f t="shared" si="17"/>
        <v>#DIV/0!</v>
      </c>
      <c r="V131" s="24" t="str">
        <f t="shared" si="18"/>
        <v>#DIV/0!</v>
      </c>
      <c r="W131" s="25"/>
      <c r="X131" s="25"/>
      <c r="Y131" s="25"/>
      <c r="Z131" s="25"/>
      <c r="AA131" s="25"/>
      <c r="AB131" s="25">
        <f t="shared" si="4"/>
        <v>0</v>
      </c>
      <c r="AC131" s="25"/>
      <c r="AD131" s="25"/>
      <c r="AE131" s="25"/>
      <c r="AF131" s="25"/>
      <c r="AG131" s="25"/>
    </row>
    <row r="132">
      <c r="A132" s="25"/>
      <c r="B132" s="25"/>
      <c r="C132" s="25"/>
      <c r="D132" s="25"/>
      <c r="E132" s="25"/>
      <c r="F132" s="25"/>
      <c r="G132" s="25"/>
      <c r="H132" s="46"/>
      <c r="I132" s="52"/>
      <c r="J132" s="46"/>
      <c r="K132" s="52"/>
      <c r="L132" s="46"/>
      <c r="M132" s="52"/>
      <c r="N132" s="53"/>
      <c r="O132" s="25"/>
      <c r="P132" s="33"/>
      <c r="Q132" s="34"/>
      <c r="R132" s="54"/>
      <c r="S132" s="55"/>
      <c r="T132" s="25"/>
      <c r="U132" s="24" t="str">
        <f t="shared" si="17"/>
        <v>#DIV/0!</v>
      </c>
      <c r="V132" s="24" t="str">
        <f t="shared" si="18"/>
        <v>#DIV/0!</v>
      </c>
      <c r="W132" s="25"/>
      <c r="X132" s="25"/>
      <c r="Y132" s="25"/>
      <c r="Z132" s="25"/>
      <c r="AA132" s="25"/>
      <c r="AB132" s="25">
        <f t="shared" si="4"/>
        <v>0</v>
      </c>
      <c r="AC132" s="25"/>
      <c r="AD132" s="25"/>
      <c r="AE132" s="25"/>
      <c r="AF132" s="25"/>
      <c r="AG132" s="25"/>
    </row>
    <row r="133">
      <c r="A133" s="25"/>
      <c r="B133" s="25"/>
      <c r="C133" s="25"/>
      <c r="D133" s="25"/>
      <c r="E133" s="25"/>
      <c r="F133" s="25"/>
      <c r="G133" s="25"/>
      <c r="H133" s="46"/>
      <c r="I133" s="52"/>
      <c r="J133" s="46"/>
      <c r="K133" s="52"/>
      <c r="L133" s="46"/>
      <c r="M133" s="52"/>
      <c r="N133" s="53"/>
      <c r="O133" s="25"/>
      <c r="P133" s="33"/>
      <c r="Q133" s="34"/>
      <c r="R133" s="54"/>
      <c r="S133" s="55"/>
      <c r="T133" s="25"/>
      <c r="U133" s="24" t="str">
        <f t="shared" si="17"/>
        <v>#DIV/0!</v>
      </c>
      <c r="V133" s="24" t="str">
        <f t="shared" si="18"/>
        <v>#DIV/0!</v>
      </c>
      <c r="W133" s="25"/>
      <c r="X133" s="25"/>
      <c r="Y133" s="25"/>
      <c r="Z133" s="25"/>
      <c r="AA133" s="25"/>
      <c r="AB133" s="25">
        <f t="shared" si="4"/>
        <v>0</v>
      </c>
      <c r="AC133" s="25"/>
      <c r="AD133" s="25"/>
      <c r="AE133" s="25"/>
      <c r="AF133" s="25"/>
      <c r="AG133" s="25"/>
    </row>
    <row r="134">
      <c r="A134" s="25"/>
      <c r="B134" s="25"/>
      <c r="C134" s="25"/>
      <c r="D134" s="25"/>
      <c r="E134" s="25"/>
      <c r="F134" s="25"/>
      <c r="G134" s="25"/>
      <c r="H134" s="46"/>
      <c r="I134" s="52"/>
      <c r="J134" s="46"/>
      <c r="K134" s="52"/>
      <c r="L134" s="46"/>
      <c r="M134" s="52"/>
      <c r="N134" s="53"/>
      <c r="O134" s="25"/>
      <c r="P134" s="33"/>
      <c r="Q134" s="34"/>
      <c r="R134" s="54"/>
      <c r="S134" s="55"/>
      <c r="T134" s="25"/>
      <c r="U134" s="24" t="str">
        <f t="shared" si="17"/>
        <v>#DIV/0!</v>
      </c>
      <c r="V134" s="24" t="str">
        <f t="shared" si="18"/>
        <v>#DIV/0!</v>
      </c>
      <c r="W134" s="25"/>
      <c r="X134" s="25"/>
      <c r="Y134" s="25"/>
      <c r="Z134" s="25"/>
      <c r="AA134" s="25"/>
      <c r="AB134" s="25">
        <f t="shared" si="4"/>
        <v>0</v>
      </c>
      <c r="AC134" s="25"/>
      <c r="AD134" s="25"/>
      <c r="AE134" s="25"/>
      <c r="AF134" s="25"/>
      <c r="AG134" s="25"/>
    </row>
    <row r="135">
      <c r="A135" s="25"/>
      <c r="B135" s="25"/>
      <c r="C135" s="25"/>
      <c r="D135" s="25"/>
      <c r="E135" s="25"/>
      <c r="F135" s="25"/>
      <c r="G135" s="25"/>
      <c r="H135" s="46"/>
      <c r="I135" s="52"/>
      <c r="J135" s="46"/>
      <c r="K135" s="52"/>
      <c r="L135" s="46"/>
      <c r="M135" s="52"/>
      <c r="N135" s="53"/>
      <c r="O135" s="25"/>
      <c r="P135" s="33"/>
      <c r="Q135" s="34"/>
      <c r="R135" s="54"/>
      <c r="S135" s="55"/>
      <c r="T135" s="25"/>
      <c r="U135" s="24" t="str">
        <f t="shared" si="17"/>
        <v>#DIV/0!</v>
      </c>
      <c r="V135" s="24" t="str">
        <f t="shared" si="18"/>
        <v>#DIV/0!</v>
      </c>
      <c r="W135" s="25"/>
      <c r="X135" s="25"/>
      <c r="Y135" s="25"/>
      <c r="Z135" s="25"/>
      <c r="AA135" s="25"/>
      <c r="AB135" s="25">
        <f t="shared" si="4"/>
        <v>0</v>
      </c>
      <c r="AC135" s="25"/>
      <c r="AD135" s="25"/>
      <c r="AE135" s="25"/>
      <c r="AF135" s="25"/>
      <c r="AG135" s="25"/>
    </row>
    <row r="136">
      <c r="A136" s="25"/>
      <c r="B136" s="25"/>
      <c r="C136" s="25"/>
      <c r="D136" s="25"/>
      <c r="E136" s="25"/>
      <c r="F136" s="25"/>
      <c r="G136" s="25"/>
      <c r="H136" s="46"/>
      <c r="I136" s="52"/>
      <c r="J136" s="46"/>
      <c r="K136" s="52"/>
      <c r="L136" s="46"/>
      <c r="M136" s="52"/>
      <c r="N136" s="53"/>
      <c r="O136" s="25"/>
      <c r="P136" s="33"/>
      <c r="Q136" s="34"/>
      <c r="R136" s="54"/>
      <c r="S136" s="55"/>
      <c r="T136" s="25"/>
      <c r="U136" s="24" t="str">
        <f t="shared" si="17"/>
        <v>#DIV/0!</v>
      </c>
      <c r="V136" s="24" t="str">
        <f t="shared" si="18"/>
        <v>#DIV/0!</v>
      </c>
      <c r="W136" s="25"/>
      <c r="X136" s="25"/>
      <c r="Y136" s="25"/>
      <c r="Z136" s="25"/>
      <c r="AA136" s="25"/>
      <c r="AB136" s="25">
        <f t="shared" si="4"/>
        <v>0</v>
      </c>
      <c r="AC136" s="25"/>
      <c r="AD136" s="25"/>
      <c r="AE136" s="25"/>
      <c r="AF136" s="25"/>
      <c r="AG136" s="25"/>
    </row>
    <row r="137">
      <c r="A137" s="25"/>
      <c r="B137" s="25"/>
      <c r="C137" s="25"/>
      <c r="D137" s="25"/>
      <c r="E137" s="25"/>
      <c r="F137" s="25"/>
      <c r="G137" s="25"/>
      <c r="H137" s="46"/>
      <c r="I137" s="52"/>
      <c r="J137" s="46"/>
      <c r="K137" s="52"/>
      <c r="L137" s="46"/>
      <c r="M137" s="52"/>
      <c r="N137" s="53"/>
      <c r="O137" s="25"/>
      <c r="P137" s="33"/>
      <c r="Q137" s="34"/>
      <c r="R137" s="54"/>
      <c r="S137" s="55"/>
      <c r="T137" s="25"/>
      <c r="U137" s="24" t="str">
        <f t="shared" si="17"/>
        <v>#DIV/0!</v>
      </c>
      <c r="V137" s="24" t="str">
        <f t="shared" si="18"/>
        <v>#DIV/0!</v>
      </c>
      <c r="W137" s="25"/>
      <c r="X137" s="25"/>
      <c r="Y137" s="25"/>
      <c r="Z137" s="25"/>
      <c r="AA137" s="25"/>
      <c r="AB137" s="25">
        <f t="shared" si="4"/>
        <v>0</v>
      </c>
      <c r="AC137" s="25"/>
      <c r="AD137" s="25"/>
      <c r="AE137" s="25"/>
      <c r="AF137" s="25"/>
      <c r="AG137" s="25"/>
    </row>
    <row r="138">
      <c r="A138" s="25"/>
      <c r="B138" s="25"/>
      <c r="C138" s="25"/>
      <c r="D138" s="25"/>
      <c r="E138" s="25"/>
      <c r="F138" s="25"/>
      <c r="G138" s="25"/>
      <c r="H138" s="46"/>
      <c r="I138" s="52"/>
      <c r="J138" s="46"/>
      <c r="K138" s="52"/>
      <c r="L138" s="46"/>
      <c r="M138" s="52"/>
      <c r="N138" s="53"/>
      <c r="O138" s="25"/>
      <c r="P138" s="55"/>
      <c r="Q138" s="34"/>
      <c r="R138" s="54"/>
      <c r="S138" s="55"/>
      <c r="T138" s="25"/>
      <c r="U138" s="24" t="str">
        <f t="shared" si="17"/>
        <v>#DIV/0!</v>
      </c>
      <c r="V138" s="24" t="str">
        <f t="shared" si="18"/>
        <v>#DIV/0!</v>
      </c>
      <c r="W138" s="25"/>
      <c r="X138" s="25"/>
      <c r="Y138" s="25"/>
      <c r="Z138" s="25"/>
      <c r="AA138" s="25"/>
      <c r="AB138" s="25">
        <f t="shared" si="4"/>
        <v>0</v>
      </c>
      <c r="AC138" s="25"/>
      <c r="AD138" s="25"/>
      <c r="AE138" s="25"/>
      <c r="AF138" s="25"/>
      <c r="AG138" s="25"/>
    </row>
    <row r="139">
      <c r="A139" s="25"/>
      <c r="B139" s="25"/>
      <c r="C139" s="25"/>
      <c r="D139" s="25"/>
      <c r="E139" s="25"/>
      <c r="F139" s="25"/>
      <c r="G139" s="25"/>
      <c r="H139" s="46"/>
      <c r="I139" s="52"/>
      <c r="J139" s="46"/>
      <c r="K139" s="52"/>
      <c r="L139" s="46"/>
      <c r="M139" s="52"/>
      <c r="N139" s="53"/>
      <c r="O139" s="25"/>
      <c r="P139" s="55"/>
      <c r="Q139" s="34"/>
      <c r="R139" s="54"/>
      <c r="S139" s="55"/>
      <c r="T139" s="25"/>
      <c r="U139" s="24" t="str">
        <f t="shared" si="17"/>
        <v>#DIV/0!</v>
      </c>
      <c r="V139" s="24" t="str">
        <f t="shared" si="18"/>
        <v>#DIV/0!</v>
      </c>
      <c r="W139" s="25"/>
      <c r="X139" s="25"/>
      <c r="Y139" s="25"/>
      <c r="Z139" s="25"/>
      <c r="AA139" s="25"/>
      <c r="AB139" s="25">
        <f t="shared" si="4"/>
        <v>0</v>
      </c>
      <c r="AC139" s="25"/>
      <c r="AD139" s="25"/>
      <c r="AE139" s="25"/>
      <c r="AF139" s="25"/>
      <c r="AG139" s="25"/>
    </row>
    <row r="140">
      <c r="A140" s="25"/>
      <c r="B140" s="25"/>
      <c r="C140" s="25"/>
      <c r="D140" s="25"/>
      <c r="E140" s="25"/>
      <c r="F140" s="25"/>
      <c r="G140" s="25"/>
      <c r="H140" s="46"/>
      <c r="I140" s="52"/>
      <c r="J140" s="46"/>
      <c r="K140" s="52"/>
      <c r="L140" s="46"/>
      <c r="M140" s="52"/>
      <c r="N140" s="53"/>
      <c r="O140" s="25"/>
      <c r="P140" s="55"/>
      <c r="Q140" s="34"/>
      <c r="R140" s="54"/>
      <c r="S140" s="55"/>
      <c r="T140" s="25"/>
      <c r="U140" s="24" t="str">
        <f t="shared" si="17"/>
        <v>#DIV/0!</v>
      </c>
      <c r="V140" s="24" t="str">
        <f t="shared" si="18"/>
        <v>#DIV/0!</v>
      </c>
      <c r="W140" s="25"/>
      <c r="X140" s="25"/>
      <c r="Y140" s="25"/>
      <c r="Z140" s="25"/>
      <c r="AA140" s="25"/>
      <c r="AB140" s="25">
        <f t="shared" si="4"/>
        <v>0</v>
      </c>
      <c r="AC140" s="25"/>
      <c r="AD140" s="25"/>
      <c r="AE140" s="25"/>
      <c r="AF140" s="25"/>
      <c r="AG140" s="25"/>
    </row>
    <row r="141">
      <c r="A141" s="25"/>
      <c r="B141" s="25"/>
      <c r="C141" s="25"/>
      <c r="D141" s="25"/>
      <c r="E141" s="25"/>
      <c r="F141" s="25"/>
      <c r="G141" s="25"/>
      <c r="H141" s="46"/>
      <c r="I141" s="52"/>
      <c r="J141" s="46"/>
      <c r="K141" s="52"/>
      <c r="L141" s="46"/>
      <c r="M141" s="52"/>
      <c r="N141" s="53"/>
      <c r="O141" s="25"/>
      <c r="P141" s="55"/>
      <c r="Q141" s="34"/>
      <c r="R141" s="54"/>
      <c r="S141" s="55"/>
      <c r="T141" s="25"/>
      <c r="U141" s="24" t="str">
        <f t="shared" si="17"/>
        <v>#DIV/0!</v>
      </c>
      <c r="V141" s="24" t="str">
        <f t="shared" si="18"/>
        <v>#DIV/0!</v>
      </c>
      <c r="W141" s="25"/>
      <c r="X141" s="25"/>
      <c r="Y141" s="25"/>
      <c r="Z141" s="25"/>
      <c r="AA141" s="25"/>
      <c r="AB141" s="25">
        <f t="shared" si="4"/>
        <v>0</v>
      </c>
      <c r="AC141" s="25"/>
      <c r="AD141" s="25"/>
      <c r="AE141" s="25"/>
      <c r="AF141" s="25"/>
      <c r="AG141" s="25"/>
    </row>
    <row r="142">
      <c r="A142" s="25"/>
      <c r="B142" s="25"/>
      <c r="C142" s="25"/>
      <c r="D142" s="25"/>
      <c r="E142" s="25"/>
      <c r="F142" s="25"/>
      <c r="G142" s="25"/>
      <c r="H142" s="46"/>
      <c r="I142" s="52"/>
      <c r="J142" s="46"/>
      <c r="K142" s="52"/>
      <c r="L142" s="46"/>
      <c r="M142" s="52"/>
      <c r="N142" s="53"/>
      <c r="O142" s="25"/>
      <c r="P142" s="55"/>
      <c r="Q142" s="34"/>
      <c r="R142" s="54"/>
      <c r="S142" s="55"/>
      <c r="T142" s="25"/>
      <c r="U142" s="24" t="str">
        <f t="shared" si="17"/>
        <v>#DIV/0!</v>
      </c>
      <c r="V142" s="24" t="str">
        <f t="shared" si="18"/>
        <v>#DIV/0!</v>
      </c>
      <c r="W142" s="25"/>
      <c r="X142" s="25"/>
      <c r="Y142" s="25"/>
      <c r="Z142" s="25"/>
      <c r="AA142" s="25"/>
      <c r="AB142" s="25">
        <f t="shared" si="4"/>
        <v>0</v>
      </c>
      <c r="AC142" s="25"/>
      <c r="AD142" s="25"/>
      <c r="AE142" s="25"/>
      <c r="AF142" s="25"/>
      <c r="AG142" s="25"/>
    </row>
    <row r="143">
      <c r="A143" s="25"/>
      <c r="B143" s="25"/>
      <c r="C143" s="25"/>
      <c r="D143" s="25"/>
      <c r="E143" s="25"/>
      <c r="F143" s="25"/>
      <c r="G143" s="25"/>
      <c r="H143" s="46"/>
      <c r="I143" s="52"/>
      <c r="J143" s="46"/>
      <c r="K143" s="52"/>
      <c r="L143" s="46"/>
      <c r="M143" s="52"/>
      <c r="N143" s="53"/>
      <c r="O143" s="25"/>
      <c r="P143" s="55"/>
      <c r="Q143" s="34"/>
      <c r="R143" s="54"/>
      <c r="S143" s="55"/>
      <c r="T143" s="25"/>
      <c r="U143" s="24" t="str">
        <f t="shared" si="17"/>
        <v>#DIV/0!</v>
      </c>
      <c r="V143" s="24" t="str">
        <f t="shared" si="18"/>
        <v>#DIV/0!</v>
      </c>
      <c r="W143" s="25"/>
      <c r="X143" s="25"/>
      <c r="Y143" s="25"/>
      <c r="Z143" s="25"/>
      <c r="AA143" s="25"/>
      <c r="AB143" s="25">
        <f t="shared" si="4"/>
        <v>0</v>
      </c>
      <c r="AC143" s="25"/>
      <c r="AD143" s="25"/>
      <c r="AE143" s="25"/>
      <c r="AF143" s="25"/>
      <c r="AG143" s="25"/>
    </row>
    <row r="144">
      <c r="A144" s="25"/>
      <c r="B144" s="25"/>
      <c r="C144" s="25"/>
      <c r="D144" s="25"/>
      <c r="E144" s="25"/>
      <c r="F144" s="25"/>
      <c r="G144" s="25"/>
      <c r="H144" s="46"/>
      <c r="I144" s="52"/>
      <c r="J144" s="46"/>
      <c r="K144" s="52"/>
      <c r="L144" s="46"/>
      <c r="M144" s="52"/>
      <c r="N144" s="53"/>
      <c r="O144" s="25"/>
      <c r="P144" s="55"/>
      <c r="Q144" s="34"/>
      <c r="R144" s="54"/>
      <c r="S144" s="55"/>
      <c r="T144" s="25"/>
      <c r="U144" s="24" t="str">
        <f t="shared" si="17"/>
        <v>#DIV/0!</v>
      </c>
      <c r="V144" s="24" t="str">
        <f t="shared" si="18"/>
        <v>#DIV/0!</v>
      </c>
      <c r="W144" s="25"/>
      <c r="X144" s="25"/>
      <c r="Y144" s="25"/>
      <c r="Z144" s="25"/>
      <c r="AA144" s="25"/>
      <c r="AB144" s="25">
        <f t="shared" si="4"/>
        <v>0</v>
      </c>
      <c r="AC144" s="25"/>
      <c r="AD144" s="25"/>
      <c r="AE144" s="25"/>
      <c r="AF144" s="25"/>
      <c r="AG144" s="25"/>
    </row>
    <row r="145">
      <c r="A145" s="25"/>
      <c r="B145" s="25"/>
      <c r="C145" s="25"/>
      <c r="D145" s="25"/>
      <c r="E145" s="25"/>
      <c r="F145" s="25"/>
      <c r="G145" s="25"/>
      <c r="H145" s="46"/>
      <c r="I145" s="52"/>
      <c r="J145" s="46"/>
      <c r="K145" s="52"/>
      <c r="L145" s="46"/>
      <c r="M145" s="52"/>
      <c r="N145" s="53"/>
      <c r="O145" s="25"/>
      <c r="P145" s="55"/>
      <c r="Q145" s="34"/>
      <c r="R145" s="54"/>
      <c r="S145" s="55"/>
      <c r="T145" s="25"/>
      <c r="U145" s="24" t="str">
        <f t="shared" si="17"/>
        <v>#DIV/0!</v>
      </c>
      <c r="V145" s="24" t="str">
        <f t="shared" si="18"/>
        <v>#DIV/0!</v>
      </c>
      <c r="W145" s="25"/>
      <c r="X145" s="25"/>
      <c r="Y145" s="25"/>
      <c r="Z145" s="25"/>
      <c r="AA145" s="25"/>
      <c r="AB145" s="25">
        <f t="shared" si="4"/>
        <v>0</v>
      </c>
      <c r="AC145" s="25"/>
      <c r="AD145" s="25"/>
      <c r="AE145" s="25"/>
      <c r="AF145" s="25"/>
      <c r="AG145" s="25"/>
    </row>
    <row r="146">
      <c r="A146" s="25"/>
      <c r="B146" s="25"/>
      <c r="C146" s="25"/>
      <c r="D146" s="25"/>
      <c r="E146" s="25"/>
      <c r="F146" s="25"/>
      <c r="G146" s="25"/>
      <c r="H146" s="46"/>
      <c r="I146" s="52"/>
      <c r="J146" s="46"/>
      <c r="K146" s="52"/>
      <c r="L146" s="46"/>
      <c r="M146" s="52"/>
      <c r="N146" s="53"/>
      <c r="O146" s="25"/>
      <c r="P146" s="55"/>
      <c r="Q146" s="34"/>
      <c r="R146" s="54"/>
      <c r="S146" s="55"/>
      <c r="T146" s="25"/>
      <c r="U146" s="24" t="str">
        <f t="shared" si="17"/>
        <v>#DIV/0!</v>
      </c>
      <c r="V146" s="24" t="str">
        <f t="shared" si="18"/>
        <v>#DIV/0!</v>
      </c>
      <c r="W146" s="25"/>
      <c r="X146" s="25"/>
      <c r="Y146" s="25"/>
      <c r="Z146" s="25"/>
      <c r="AA146" s="25"/>
      <c r="AB146" s="25">
        <f t="shared" si="4"/>
        <v>0</v>
      </c>
      <c r="AC146" s="25"/>
      <c r="AD146" s="25"/>
      <c r="AE146" s="25"/>
      <c r="AF146" s="25"/>
      <c r="AG146" s="25"/>
    </row>
    <row r="147">
      <c r="A147" s="25"/>
      <c r="B147" s="25"/>
      <c r="C147" s="25"/>
      <c r="D147" s="25"/>
      <c r="E147" s="25"/>
      <c r="F147" s="25"/>
      <c r="G147" s="25"/>
      <c r="H147" s="46"/>
      <c r="I147" s="52"/>
      <c r="J147" s="46"/>
      <c r="K147" s="52"/>
      <c r="L147" s="46"/>
      <c r="M147" s="52"/>
      <c r="N147" s="53"/>
      <c r="O147" s="25"/>
      <c r="P147" s="55"/>
      <c r="Q147" s="34"/>
      <c r="R147" s="54"/>
      <c r="S147" s="55"/>
      <c r="T147" s="25"/>
      <c r="U147" s="24" t="str">
        <f t="shared" si="17"/>
        <v>#DIV/0!</v>
      </c>
      <c r="V147" s="24" t="str">
        <f t="shared" si="18"/>
        <v>#DIV/0!</v>
      </c>
      <c r="W147" s="25"/>
      <c r="X147" s="25"/>
      <c r="Y147" s="25"/>
      <c r="Z147" s="25"/>
      <c r="AA147" s="25"/>
      <c r="AB147" s="25">
        <f t="shared" si="4"/>
        <v>0</v>
      </c>
      <c r="AC147" s="25"/>
      <c r="AD147" s="25"/>
      <c r="AE147" s="25"/>
      <c r="AF147" s="25"/>
      <c r="AG147" s="25"/>
    </row>
    <row r="148">
      <c r="A148" s="25"/>
      <c r="B148" s="25"/>
      <c r="C148" s="25"/>
      <c r="D148" s="25"/>
      <c r="E148" s="25"/>
      <c r="F148" s="25"/>
      <c r="G148" s="25"/>
      <c r="H148" s="46"/>
      <c r="I148" s="52"/>
      <c r="J148" s="46"/>
      <c r="K148" s="52"/>
      <c r="L148" s="46"/>
      <c r="M148" s="52"/>
      <c r="N148" s="53"/>
      <c r="O148" s="25"/>
      <c r="P148" s="55"/>
      <c r="Q148" s="34"/>
      <c r="R148" s="54"/>
      <c r="S148" s="55"/>
      <c r="T148" s="25"/>
      <c r="U148" s="24" t="str">
        <f t="shared" si="17"/>
        <v>#DIV/0!</v>
      </c>
      <c r="V148" s="24" t="str">
        <f t="shared" si="18"/>
        <v>#DIV/0!</v>
      </c>
      <c r="W148" s="25"/>
      <c r="X148" s="25"/>
      <c r="Y148" s="25"/>
      <c r="Z148" s="25"/>
      <c r="AA148" s="25"/>
      <c r="AB148" s="25">
        <f t="shared" si="4"/>
        <v>0</v>
      </c>
      <c r="AC148" s="25"/>
      <c r="AD148" s="25"/>
      <c r="AE148" s="25"/>
      <c r="AF148" s="25"/>
      <c r="AG148" s="25"/>
    </row>
    <row r="149">
      <c r="A149" s="25"/>
      <c r="B149" s="25"/>
      <c r="C149" s="25"/>
      <c r="D149" s="25"/>
      <c r="E149" s="25"/>
      <c r="F149" s="25"/>
      <c r="G149" s="25"/>
      <c r="H149" s="46"/>
      <c r="I149" s="52"/>
      <c r="J149" s="46"/>
      <c r="K149" s="52"/>
      <c r="L149" s="46"/>
      <c r="M149" s="52"/>
      <c r="N149" s="53"/>
      <c r="O149" s="25"/>
      <c r="P149" s="55"/>
      <c r="Q149" s="34"/>
      <c r="R149" s="54"/>
      <c r="S149" s="55"/>
      <c r="T149" s="25"/>
      <c r="U149" s="24" t="str">
        <f t="shared" si="17"/>
        <v>#DIV/0!</v>
      </c>
      <c r="V149" s="24" t="str">
        <f t="shared" si="18"/>
        <v>#DIV/0!</v>
      </c>
      <c r="W149" s="25"/>
      <c r="X149" s="25"/>
      <c r="Y149" s="25"/>
      <c r="Z149" s="25"/>
      <c r="AA149" s="25"/>
      <c r="AB149" s="25">
        <f t="shared" si="4"/>
        <v>0</v>
      </c>
      <c r="AC149" s="25"/>
      <c r="AD149" s="25"/>
      <c r="AE149" s="25"/>
      <c r="AF149" s="25"/>
      <c r="AG149" s="25"/>
    </row>
    <row r="150">
      <c r="A150" s="25"/>
      <c r="B150" s="25"/>
      <c r="C150" s="25"/>
      <c r="D150" s="25"/>
      <c r="E150" s="25"/>
      <c r="F150" s="25"/>
      <c r="G150" s="25"/>
      <c r="H150" s="46"/>
      <c r="I150" s="52"/>
      <c r="J150" s="46"/>
      <c r="K150" s="52"/>
      <c r="L150" s="46"/>
      <c r="M150" s="52"/>
      <c r="N150" s="53"/>
      <c r="O150" s="25"/>
      <c r="P150" s="55"/>
      <c r="Q150" s="34"/>
      <c r="R150" s="54"/>
      <c r="S150" s="55"/>
      <c r="T150" s="25"/>
      <c r="U150" s="24" t="str">
        <f t="shared" si="17"/>
        <v>#DIV/0!</v>
      </c>
      <c r="V150" s="24" t="str">
        <f t="shared" si="18"/>
        <v>#DIV/0!</v>
      </c>
      <c r="W150" s="25"/>
      <c r="X150" s="25"/>
      <c r="Y150" s="25"/>
      <c r="Z150" s="25"/>
      <c r="AA150" s="25"/>
      <c r="AB150" s="25">
        <f t="shared" si="4"/>
        <v>0</v>
      </c>
      <c r="AC150" s="25"/>
      <c r="AD150" s="25"/>
      <c r="AE150" s="25"/>
      <c r="AF150" s="25"/>
      <c r="AG150" s="25"/>
    </row>
    <row r="151">
      <c r="A151" s="25"/>
      <c r="B151" s="25"/>
      <c r="C151" s="25"/>
      <c r="D151" s="25"/>
      <c r="E151" s="25"/>
      <c r="F151" s="25"/>
      <c r="G151" s="25"/>
      <c r="H151" s="46"/>
      <c r="I151" s="52"/>
      <c r="J151" s="46"/>
      <c r="K151" s="52"/>
      <c r="L151" s="46"/>
      <c r="M151" s="52"/>
      <c r="N151" s="53"/>
      <c r="O151" s="25"/>
      <c r="P151" s="55"/>
      <c r="Q151" s="34"/>
      <c r="R151" s="54"/>
      <c r="S151" s="55"/>
      <c r="T151" s="25"/>
      <c r="U151" s="24" t="str">
        <f t="shared" si="17"/>
        <v>#DIV/0!</v>
      </c>
      <c r="V151" s="24" t="str">
        <f t="shared" si="18"/>
        <v>#DIV/0!</v>
      </c>
      <c r="W151" s="25"/>
      <c r="X151" s="25"/>
      <c r="Y151" s="25"/>
      <c r="Z151" s="25"/>
      <c r="AA151" s="25"/>
      <c r="AB151" s="25">
        <f t="shared" si="4"/>
        <v>0</v>
      </c>
      <c r="AC151" s="25"/>
      <c r="AD151" s="25"/>
      <c r="AE151" s="25"/>
      <c r="AF151" s="25"/>
      <c r="AG151" s="25"/>
    </row>
    <row r="152">
      <c r="A152" s="25"/>
      <c r="B152" s="25"/>
      <c r="C152" s="25"/>
      <c r="D152" s="25"/>
      <c r="E152" s="25"/>
      <c r="F152" s="25"/>
      <c r="G152" s="25"/>
      <c r="H152" s="46"/>
      <c r="I152" s="52"/>
      <c r="J152" s="46"/>
      <c r="K152" s="52"/>
      <c r="L152" s="46"/>
      <c r="M152" s="52"/>
      <c r="N152" s="53"/>
      <c r="O152" s="25"/>
      <c r="P152" s="55"/>
      <c r="Q152" s="34"/>
      <c r="R152" s="54"/>
      <c r="S152" s="55"/>
      <c r="T152" s="25"/>
      <c r="U152" s="24" t="str">
        <f t="shared" si="17"/>
        <v>#DIV/0!</v>
      </c>
      <c r="V152" s="24" t="str">
        <f t="shared" si="18"/>
        <v>#DIV/0!</v>
      </c>
      <c r="W152" s="25"/>
      <c r="X152" s="25"/>
      <c r="Y152" s="25"/>
      <c r="Z152" s="25"/>
      <c r="AA152" s="25"/>
      <c r="AB152" s="25">
        <f t="shared" si="4"/>
        <v>0</v>
      </c>
      <c r="AC152" s="25"/>
      <c r="AD152" s="25"/>
      <c r="AE152" s="25"/>
      <c r="AF152" s="25"/>
      <c r="AG152" s="25"/>
    </row>
    <row r="153">
      <c r="A153" s="25"/>
      <c r="B153" s="25"/>
      <c r="C153" s="25"/>
      <c r="D153" s="25"/>
      <c r="E153" s="25"/>
      <c r="F153" s="25"/>
      <c r="G153" s="25"/>
      <c r="H153" s="46"/>
      <c r="I153" s="52"/>
      <c r="J153" s="46"/>
      <c r="K153" s="52"/>
      <c r="L153" s="46"/>
      <c r="M153" s="52"/>
      <c r="N153" s="53"/>
      <c r="O153" s="25"/>
      <c r="P153" s="55"/>
      <c r="Q153" s="34"/>
      <c r="R153" s="54"/>
      <c r="S153" s="55"/>
      <c r="T153" s="25"/>
      <c r="U153" s="24" t="str">
        <f t="shared" si="17"/>
        <v>#DIV/0!</v>
      </c>
      <c r="V153" s="24" t="str">
        <f t="shared" si="18"/>
        <v>#DIV/0!</v>
      </c>
      <c r="W153" s="25"/>
      <c r="X153" s="25"/>
      <c r="Y153" s="25"/>
      <c r="Z153" s="25"/>
      <c r="AA153" s="25"/>
      <c r="AB153" s="25">
        <f t="shared" si="4"/>
        <v>0</v>
      </c>
      <c r="AC153" s="25"/>
      <c r="AD153" s="25"/>
      <c r="AE153" s="25"/>
      <c r="AF153" s="25"/>
      <c r="AG153" s="25"/>
    </row>
    <row r="154">
      <c r="A154" s="25"/>
      <c r="B154" s="25"/>
      <c r="C154" s="25"/>
      <c r="D154" s="25"/>
      <c r="E154" s="25"/>
      <c r="F154" s="25"/>
      <c r="G154" s="25"/>
      <c r="H154" s="46"/>
      <c r="I154" s="52"/>
      <c r="J154" s="46"/>
      <c r="K154" s="52"/>
      <c r="L154" s="46"/>
      <c r="M154" s="52"/>
      <c r="N154" s="53"/>
      <c r="O154" s="25"/>
      <c r="P154" s="55"/>
      <c r="Q154" s="34"/>
      <c r="R154" s="54"/>
      <c r="S154" s="55"/>
      <c r="T154" s="25"/>
      <c r="U154" s="24" t="str">
        <f t="shared" si="17"/>
        <v>#DIV/0!</v>
      </c>
      <c r="V154" s="24" t="str">
        <f t="shared" si="18"/>
        <v>#DIV/0!</v>
      </c>
      <c r="W154" s="25"/>
      <c r="X154" s="25"/>
      <c r="Y154" s="25"/>
      <c r="Z154" s="25"/>
      <c r="AA154" s="25"/>
      <c r="AB154" s="25">
        <f t="shared" si="4"/>
        <v>0</v>
      </c>
      <c r="AC154" s="25"/>
      <c r="AD154" s="25"/>
      <c r="AE154" s="25"/>
      <c r="AF154" s="25"/>
      <c r="AG154" s="25"/>
    </row>
    <row r="155">
      <c r="A155" s="25"/>
      <c r="B155" s="25"/>
      <c r="C155" s="25"/>
      <c r="D155" s="25"/>
      <c r="E155" s="25"/>
      <c r="F155" s="25"/>
      <c r="G155" s="25"/>
      <c r="H155" s="46"/>
      <c r="I155" s="52"/>
      <c r="J155" s="46"/>
      <c r="K155" s="52"/>
      <c r="L155" s="46"/>
      <c r="M155" s="52"/>
      <c r="N155" s="53"/>
      <c r="O155" s="25"/>
      <c r="P155" s="55"/>
      <c r="Q155" s="34"/>
      <c r="R155" s="54"/>
      <c r="S155" s="55"/>
      <c r="T155" s="25"/>
      <c r="U155" s="24" t="str">
        <f t="shared" si="17"/>
        <v>#DIV/0!</v>
      </c>
      <c r="V155" s="24" t="str">
        <f t="shared" si="18"/>
        <v>#DIV/0!</v>
      </c>
      <c r="W155" s="25"/>
      <c r="X155" s="25"/>
      <c r="Y155" s="25"/>
      <c r="Z155" s="25"/>
      <c r="AA155" s="25"/>
      <c r="AB155" s="25">
        <f t="shared" si="4"/>
        <v>0</v>
      </c>
      <c r="AC155" s="25"/>
      <c r="AD155" s="25"/>
      <c r="AE155" s="25"/>
      <c r="AF155" s="25"/>
      <c r="AG155" s="25"/>
    </row>
    <row r="156">
      <c r="A156" s="25"/>
      <c r="B156" s="25"/>
      <c r="C156" s="25"/>
      <c r="D156" s="25"/>
      <c r="E156" s="25"/>
      <c r="F156" s="25"/>
      <c r="G156" s="25"/>
      <c r="H156" s="46"/>
      <c r="I156" s="52"/>
      <c r="J156" s="46"/>
      <c r="K156" s="52"/>
      <c r="L156" s="46"/>
      <c r="M156" s="52"/>
      <c r="N156" s="53"/>
      <c r="O156" s="25"/>
      <c r="P156" s="55"/>
      <c r="Q156" s="34"/>
      <c r="R156" s="54"/>
      <c r="S156" s="55"/>
      <c r="T156" s="25"/>
      <c r="U156" s="24" t="str">
        <f t="shared" si="17"/>
        <v>#DIV/0!</v>
      </c>
      <c r="V156" s="24" t="str">
        <f t="shared" si="18"/>
        <v>#DIV/0!</v>
      </c>
      <c r="W156" s="25"/>
      <c r="X156" s="25"/>
      <c r="Y156" s="25"/>
      <c r="Z156" s="25"/>
      <c r="AA156" s="25"/>
      <c r="AB156" s="25">
        <f t="shared" si="4"/>
        <v>0</v>
      </c>
      <c r="AC156" s="25"/>
      <c r="AD156" s="25"/>
      <c r="AE156" s="25"/>
      <c r="AF156" s="25"/>
      <c r="AG156" s="25"/>
    </row>
    <row r="157">
      <c r="A157" s="25"/>
      <c r="B157" s="25"/>
      <c r="C157" s="25"/>
      <c r="D157" s="25"/>
      <c r="E157" s="25"/>
      <c r="F157" s="25"/>
      <c r="G157" s="25"/>
      <c r="H157" s="46"/>
      <c r="I157" s="52"/>
      <c r="J157" s="46"/>
      <c r="K157" s="52"/>
      <c r="L157" s="46"/>
      <c r="M157" s="52"/>
      <c r="N157" s="53"/>
      <c r="O157" s="25"/>
      <c r="P157" s="55"/>
      <c r="Q157" s="34"/>
      <c r="R157" s="54"/>
      <c r="S157" s="55"/>
      <c r="T157" s="25"/>
      <c r="U157" s="24" t="str">
        <f t="shared" si="17"/>
        <v>#DIV/0!</v>
      </c>
      <c r="V157" s="24" t="str">
        <f t="shared" si="18"/>
        <v>#DIV/0!</v>
      </c>
      <c r="W157" s="25"/>
      <c r="X157" s="25"/>
      <c r="Y157" s="25"/>
      <c r="Z157" s="25"/>
      <c r="AA157" s="25"/>
      <c r="AB157" s="25">
        <f t="shared" si="4"/>
        <v>0</v>
      </c>
      <c r="AC157" s="25"/>
      <c r="AD157" s="25"/>
      <c r="AE157" s="25"/>
      <c r="AF157" s="25"/>
      <c r="AG157" s="25"/>
    </row>
    <row r="158">
      <c r="A158" s="25"/>
      <c r="B158" s="25"/>
      <c r="C158" s="25"/>
      <c r="D158" s="25"/>
      <c r="E158" s="25"/>
      <c r="F158" s="25"/>
      <c r="G158" s="25"/>
      <c r="H158" s="46"/>
      <c r="I158" s="52"/>
      <c r="J158" s="46"/>
      <c r="K158" s="52"/>
      <c r="L158" s="46"/>
      <c r="M158" s="52"/>
      <c r="N158" s="53"/>
      <c r="O158" s="25"/>
      <c r="P158" s="55"/>
      <c r="Q158" s="34"/>
      <c r="R158" s="54"/>
      <c r="S158" s="55"/>
      <c r="T158" s="25"/>
      <c r="U158" s="24" t="str">
        <f t="shared" si="17"/>
        <v>#DIV/0!</v>
      </c>
      <c r="V158" s="24" t="str">
        <f t="shared" si="18"/>
        <v>#DIV/0!</v>
      </c>
      <c r="W158" s="25"/>
      <c r="X158" s="25"/>
      <c r="Y158" s="25"/>
      <c r="Z158" s="25"/>
      <c r="AA158" s="25"/>
      <c r="AB158" s="25">
        <f t="shared" si="4"/>
        <v>0</v>
      </c>
      <c r="AC158" s="25"/>
      <c r="AD158" s="25"/>
      <c r="AE158" s="25"/>
      <c r="AF158" s="25"/>
      <c r="AG158" s="25"/>
    </row>
    <row r="159">
      <c r="A159" s="25"/>
      <c r="B159" s="25"/>
      <c r="C159" s="25"/>
      <c r="D159" s="25"/>
      <c r="E159" s="25"/>
      <c r="F159" s="25"/>
      <c r="G159" s="25"/>
      <c r="H159" s="46"/>
      <c r="I159" s="52"/>
      <c r="J159" s="46"/>
      <c r="K159" s="52"/>
      <c r="L159" s="46"/>
      <c r="M159" s="52"/>
      <c r="N159" s="53"/>
      <c r="O159" s="25"/>
      <c r="P159" s="55"/>
      <c r="Q159" s="34"/>
      <c r="R159" s="54"/>
      <c r="S159" s="55"/>
      <c r="T159" s="25"/>
      <c r="U159" s="24" t="str">
        <f t="shared" si="17"/>
        <v>#DIV/0!</v>
      </c>
      <c r="V159" s="24" t="str">
        <f t="shared" si="18"/>
        <v>#DIV/0!</v>
      </c>
      <c r="W159" s="25"/>
      <c r="X159" s="25"/>
      <c r="Y159" s="25"/>
      <c r="Z159" s="25"/>
      <c r="AA159" s="25"/>
      <c r="AB159" s="25">
        <f t="shared" si="4"/>
        <v>0</v>
      </c>
      <c r="AC159" s="25"/>
      <c r="AD159" s="25"/>
      <c r="AE159" s="25"/>
      <c r="AF159" s="25"/>
      <c r="AG159" s="25"/>
    </row>
    <row r="160">
      <c r="A160" s="25"/>
      <c r="B160" s="25"/>
      <c r="C160" s="25"/>
      <c r="D160" s="25"/>
      <c r="E160" s="25"/>
      <c r="F160" s="25"/>
      <c r="G160" s="25"/>
      <c r="H160" s="46"/>
      <c r="I160" s="52"/>
      <c r="J160" s="46"/>
      <c r="K160" s="52"/>
      <c r="L160" s="46"/>
      <c r="M160" s="52"/>
      <c r="N160" s="53"/>
      <c r="O160" s="25"/>
      <c r="P160" s="55"/>
      <c r="Q160" s="34"/>
      <c r="R160" s="54"/>
      <c r="S160" s="55"/>
      <c r="T160" s="25"/>
      <c r="U160" s="24" t="str">
        <f t="shared" si="17"/>
        <v>#DIV/0!</v>
      </c>
      <c r="V160" s="24" t="str">
        <f t="shared" si="18"/>
        <v>#DIV/0!</v>
      </c>
      <c r="W160" s="25"/>
      <c r="X160" s="25"/>
      <c r="Y160" s="25"/>
      <c r="Z160" s="25"/>
      <c r="AA160" s="25"/>
      <c r="AB160" s="25">
        <f t="shared" si="4"/>
        <v>0</v>
      </c>
      <c r="AC160" s="25"/>
      <c r="AD160" s="25"/>
      <c r="AE160" s="25"/>
      <c r="AF160" s="25"/>
      <c r="AG160" s="25"/>
    </row>
    <row r="161">
      <c r="A161" s="25"/>
      <c r="B161" s="25"/>
      <c r="C161" s="25"/>
      <c r="D161" s="25"/>
      <c r="E161" s="25"/>
      <c r="F161" s="25"/>
      <c r="G161" s="25"/>
      <c r="H161" s="46"/>
      <c r="I161" s="52"/>
      <c r="J161" s="46"/>
      <c r="K161" s="52"/>
      <c r="L161" s="46"/>
      <c r="M161" s="52"/>
      <c r="N161" s="53"/>
      <c r="O161" s="25"/>
      <c r="P161" s="55"/>
      <c r="Q161" s="34"/>
      <c r="R161" s="54"/>
      <c r="S161" s="55"/>
      <c r="T161" s="25"/>
      <c r="U161" s="24" t="str">
        <f t="shared" si="17"/>
        <v>#DIV/0!</v>
      </c>
      <c r="V161" s="24" t="str">
        <f t="shared" si="18"/>
        <v>#DIV/0!</v>
      </c>
      <c r="W161" s="25"/>
      <c r="X161" s="25"/>
      <c r="Y161" s="25"/>
      <c r="Z161" s="25"/>
      <c r="AA161" s="25"/>
      <c r="AB161" s="25">
        <f t="shared" si="4"/>
        <v>0</v>
      </c>
      <c r="AC161" s="25"/>
      <c r="AD161" s="25"/>
      <c r="AE161" s="25"/>
      <c r="AF161" s="25"/>
      <c r="AG161" s="25"/>
    </row>
    <row r="162">
      <c r="A162" s="25"/>
      <c r="B162" s="25"/>
      <c r="C162" s="25"/>
      <c r="D162" s="25"/>
      <c r="E162" s="25"/>
      <c r="F162" s="25"/>
      <c r="G162" s="25"/>
      <c r="H162" s="46"/>
      <c r="I162" s="52"/>
      <c r="J162" s="46"/>
      <c r="K162" s="52"/>
      <c r="L162" s="46"/>
      <c r="M162" s="52"/>
      <c r="N162" s="53"/>
      <c r="O162" s="25"/>
      <c r="P162" s="55"/>
      <c r="Q162" s="34"/>
      <c r="R162" s="54"/>
      <c r="S162" s="55"/>
      <c r="T162" s="25"/>
      <c r="U162" s="24" t="str">
        <f t="shared" si="17"/>
        <v>#DIV/0!</v>
      </c>
      <c r="V162" s="24" t="str">
        <f t="shared" si="18"/>
        <v>#DIV/0!</v>
      </c>
      <c r="W162" s="25"/>
      <c r="X162" s="25"/>
      <c r="Y162" s="25"/>
      <c r="Z162" s="25"/>
      <c r="AA162" s="25"/>
      <c r="AB162" s="25">
        <f t="shared" si="4"/>
        <v>0</v>
      </c>
      <c r="AC162" s="25"/>
      <c r="AD162" s="25"/>
      <c r="AE162" s="25"/>
      <c r="AF162" s="25"/>
      <c r="AG162" s="25"/>
    </row>
    <row r="163">
      <c r="A163" s="25"/>
      <c r="B163" s="25"/>
      <c r="C163" s="25"/>
      <c r="D163" s="25"/>
      <c r="E163" s="25"/>
      <c r="F163" s="25"/>
      <c r="G163" s="25"/>
      <c r="H163" s="46"/>
      <c r="I163" s="52"/>
      <c r="J163" s="46"/>
      <c r="K163" s="52"/>
      <c r="L163" s="46"/>
      <c r="M163" s="52"/>
      <c r="N163" s="53"/>
      <c r="O163" s="25"/>
      <c r="P163" s="55"/>
      <c r="Q163" s="34"/>
      <c r="R163" s="54"/>
      <c r="S163" s="55"/>
      <c r="T163" s="25"/>
      <c r="U163" s="24" t="str">
        <f t="shared" si="17"/>
        <v>#DIV/0!</v>
      </c>
      <c r="V163" s="24" t="str">
        <f t="shared" si="18"/>
        <v>#DIV/0!</v>
      </c>
      <c r="W163" s="25"/>
      <c r="X163" s="25"/>
      <c r="Y163" s="25"/>
      <c r="Z163" s="25"/>
      <c r="AA163" s="25"/>
      <c r="AB163" s="25">
        <f t="shared" si="4"/>
        <v>0</v>
      </c>
      <c r="AC163" s="25"/>
      <c r="AD163" s="25"/>
      <c r="AE163" s="25"/>
      <c r="AF163" s="25"/>
      <c r="AG163" s="25"/>
    </row>
    <row r="164">
      <c r="A164" s="25"/>
      <c r="B164" s="25"/>
      <c r="C164" s="25"/>
      <c r="D164" s="25"/>
      <c r="E164" s="25"/>
      <c r="F164" s="25"/>
      <c r="G164" s="25"/>
      <c r="H164" s="46"/>
      <c r="I164" s="52"/>
      <c r="J164" s="46"/>
      <c r="K164" s="52"/>
      <c r="L164" s="46"/>
      <c r="M164" s="52"/>
      <c r="N164" s="53"/>
      <c r="O164" s="25"/>
      <c r="P164" s="55"/>
      <c r="Q164" s="34"/>
      <c r="R164" s="54"/>
      <c r="S164" s="55"/>
      <c r="T164" s="25"/>
      <c r="U164" s="24" t="str">
        <f t="shared" si="17"/>
        <v>#DIV/0!</v>
      </c>
      <c r="V164" s="24" t="str">
        <f t="shared" si="18"/>
        <v>#DIV/0!</v>
      </c>
      <c r="W164" s="25"/>
      <c r="X164" s="25"/>
      <c r="Y164" s="25"/>
      <c r="Z164" s="25"/>
      <c r="AA164" s="25"/>
      <c r="AB164" s="25">
        <f t="shared" si="4"/>
        <v>0</v>
      </c>
      <c r="AC164" s="25"/>
      <c r="AD164" s="25"/>
      <c r="AE164" s="25"/>
      <c r="AF164" s="25"/>
      <c r="AG164" s="25"/>
    </row>
    <row r="165">
      <c r="A165" s="25"/>
      <c r="B165" s="25"/>
      <c r="C165" s="25"/>
      <c r="D165" s="25"/>
      <c r="E165" s="25"/>
      <c r="F165" s="25"/>
      <c r="G165" s="25"/>
      <c r="H165" s="46"/>
      <c r="I165" s="52"/>
      <c r="J165" s="46"/>
      <c r="K165" s="52"/>
      <c r="L165" s="46"/>
      <c r="M165" s="52"/>
      <c r="N165" s="53"/>
      <c r="O165" s="25"/>
      <c r="P165" s="55"/>
      <c r="Q165" s="34"/>
      <c r="R165" s="54"/>
      <c r="S165" s="55"/>
      <c r="T165" s="25"/>
      <c r="U165" s="24" t="str">
        <f t="shared" si="17"/>
        <v>#DIV/0!</v>
      </c>
      <c r="V165" s="24" t="str">
        <f t="shared" si="18"/>
        <v>#DIV/0!</v>
      </c>
      <c r="W165" s="25"/>
      <c r="X165" s="25"/>
      <c r="Y165" s="25"/>
      <c r="Z165" s="25"/>
      <c r="AA165" s="25"/>
      <c r="AB165" s="25">
        <f t="shared" si="4"/>
        <v>0</v>
      </c>
      <c r="AC165" s="25"/>
      <c r="AD165" s="25"/>
      <c r="AE165" s="25"/>
      <c r="AF165" s="25"/>
      <c r="AG165" s="25"/>
    </row>
    <row r="166">
      <c r="A166" s="25"/>
      <c r="B166" s="25"/>
      <c r="C166" s="25"/>
      <c r="D166" s="25"/>
      <c r="E166" s="25"/>
      <c r="F166" s="25"/>
      <c r="G166" s="25"/>
      <c r="H166" s="46"/>
      <c r="I166" s="52"/>
      <c r="J166" s="46"/>
      <c r="K166" s="52"/>
      <c r="L166" s="46"/>
      <c r="M166" s="52"/>
      <c r="N166" s="53"/>
      <c r="O166" s="25"/>
      <c r="P166" s="55"/>
      <c r="Q166" s="34"/>
      <c r="R166" s="54"/>
      <c r="S166" s="55"/>
      <c r="T166" s="25"/>
      <c r="U166" s="24" t="str">
        <f t="shared" si="17"/>
        <v>#DIV/0!</v>
      </c>
      <c r="V166" s="24" t="str">
        <f t="shared" si="18"/>
        <v>#DIV/0!</v>
      </c>
      <c r="W166" s="25"/>
      <c r="X166" s="25"/>
      <c r="Y166" s="25"/>
      <c r="Z166" s="25"/>
      <c r="AA166" s="25"/>
      <c r="AB166" s="25">
        <f t="shared" si="4"/>
        <v>0</v>
      </c>
      <c r="AC166" s="25"/>
      <c r="AD166" s="25"/>
      <c r="AE166" s="25"/>
      <c r="AF166" s="25"/>
      <c r="AG166" s="25"/>
    </row>
    <row r="167">
      <c r="A167" s="25"/>
      <c r="B167" s="25"/>
      <c r="C167" s="25"/>
      <c r="D167" s="25"/>
      <c r="E167" s="25"/>
      <c r="F167" s="25"/>
      <c r="G167" s="25"/>
      <c r="H167" s="46"/>
      <c r="I167" s="52"/>
      <c r="J167" s="46"/>
      <c r="K167" s="52"/>
      <c r="L167" s="46"/>
      <c r="M167" s="52"/>
      <c r="N167" s="53"/>
      <c r="O167" s="25"/>
      <c r="P167" s="55"/>
      <c r="Q167" s="34"/>
      <c r="R167" s="54"/>
      <c r="S167" s="55"/>
      <c r="T167" s="25"/>
      <c r="U167" s="24" t="str">
        <f t="shared" si="17"/>
        <v>#DIV/0!</v>
      </c>
      <c r="V167" s="24" t="str">
        <f t="shared" si="18"/>
        <v>#DIV/0!</v>
      </c>
      <c r="W167" s="25"/>
      <c r="X167" s="25"/>
      <c r="Y167" s="25"/>
      <c r="Z167" s="25"/>
      <c r="AA167" s="25"/>
      <c r="AB167" s="25">
        <f t="shared" si="4"/>
        <v>0</v>
      </c>
      <c r="AC167" s="25"/>
      <c r="AD167" s="25"/>
      <c r="AE167" s="25"/>
      <c r="AF167" s="25"/>
      <c r="AG167" s="25"/>
    </row>
    <row r="168">
      <c r="A168" s="25"/>
      <c r="B168" s="25"/>
      <c r="C168" s="25"/>
      <c r="D168" s="25"/>
      <c r="E168" s="25"/>
      <c r="F168" s="25"/>
      <c r="G168" s="25"/>
      <c r="H168" s="46"/>
      <c r="I168" s="52"/>
      <c r="J168" s="46"/>
      <c r="K168" s="52"/>
      <c r="L168" s="46"/>
      <c r="M168" s="52"/>
      <c r="N168" s="53"/>
      <c r="O168" s="25"/>
      <c r="P168" s="55"/>
      <c r="Q168" s="34"/>
      <c r="R168" s="54"/>
      <c r="S168" s="55"/>
      <c r="T168" s="25"/>
      <c r="U168" s="24" t="str">
        <f t="shared" si="17"/>
        <v>#DIV/0!</v>
      </c>
      <c r="V168" s="24" t="str">
        <f t="shared" si="18"/>
        <v>#DIV/0!</v>
      </c>
      <c r="W168" s="25"/>
      <c r="X168" s="25"/>
      <c r="Y168" s="25"/>
      <c r="Z168" s="25"/>
      <c r="AA168" s="25"/>
      <c r="AB168" s="25">
        <f t="shared" si="4"/>
        <v>0</v>
      </c>
      <c r="AC168" s="25"/>
      <c r="AD168" s="25"/>
      <c r="AE168" s="25"/>
      <c r="AF168" s="25"/>
      <c r="AG168" s="25"/>
    </row>
    <row r="169">
      <c r="A169" s="25"/>
      <c r="B169" s="25"/>
      <c r="C169" s="25"/>
      <c r="D169" s="25"/>
      <c r="E169" s="25"/>
      <c r="F169" s="25"/>
      <c r="G169" s="25"/>
      <c r="H169" s="46"/>
      <c r="I169" s="52"/>
      <c r="J169" s="46"/>
      <c r="K169" s="52"/>
      <c r="L169" s="46"/>
      <c r="M169" s="52"/>
      <c r="N169" s="53"/>
      <c r="O169" s="25"/>
      <c r="P169" s="55"/>
      <c r="Q169" s="34"/>
      <c r="R169" s="54"/>
      <c r="S169" s="55"/>
      <c r="T169" s="25"/>
      <c r="U169" s="24" t="str">
        <f t="shared" si="17"/>
        <v>#DIV/0!</v>
      </c>
      <c r="V169" s="24" t="str">
        <f t="shared" si="18"/>
        <v>#DIV/0!</v>
      </c>
      <c r="W169" s="25"/>
      <c r="X169" s="25"/>
      <c r="Y169" s="25"/>
      <c r="Z169" s="25"/>
      <c r="AA169" s="25"/>
      <c r="AB169" s="25">
        <f t="shared" si="4"/>
        <v>0</v>
      </c>
      <c r="AC169" s="25"/>
      <c r="AD169" s="25"/>
      <c r="AE169" s="25"/>
      <c r="AF169" s="25"/>
      <c r="AG169" s="25"/>
    </row>
    <row r="170">
      <c r="A170" s="25"/>
      <c r="B170" s="25"/>
      <c r="C170" s="25"/>
      <c r="D170" s="25"/>
      <c r="E170" s="25"/>
      <c r="F170" s="25"/>
      <c r="G170" s="25"/>
      <c r="H170" s="46"/>
      <c r="I170" s="52"/>
      <c r="J170" s="46"/>
      <c r="K170" s="52"/>
      <c r="L170" s="46"/>
      <c r="M170" s="52"/>
      <c r="N170" s="53"/>
      <c r="O170" s="25"/>
      <c r="P170" s="55"/>
      <c r="Q170" s="34"/>
      <c r="R170" s="54"/>
      <c r="S170" s="55"/>
      <c r="T170" s="25"/>
      <c r="U170" s="24" t="str">
        <f t="shared" si="17"/>
        <v>#DIV/0!</v>
      </c>
      <c r="V170" s="24" t="str">
        <f t="shared" si="18"/>
        <v>#DIV/0!</v>
      </c>
      <c r="W170" s="25"/>
      <c r="X170" s="25"/>
      <c r="Y170" s="25"/>
      <c r="Z170" s="25"/>
      <c r="AA170" s="25"/>
      <c r="AB170" s="25">
        <f t="shared" si="4"/>
        <v>0</v>
      </c>
      <c r="AC170" s="25"/>
      <c r="AD170" s="25"/>
      <c r="AE170" s="25"/>
      <c r="AF170" s="25"/>
      <c r="AG170" s="25"/>
    </row>
    <row r="171">
      <c r="A171" s="25"/>
      <c r="B171" s="25"/>
      <c r="C171" s="25"/>
      <c r="D171" s="25"/>
      <c r="E171" s="25"/>
      <c r="F171" s="25"/>
      <c r="G171" s="25"/>
      <c r="H171" s="46"/>
      <c r="I171" s="52"/>
      <c r="J171" s="46"/>
      <c r="K171" s="52"/>
      <c r="L171" s="46"/>
      <c r="M171" s="52"/>
      <c r="N171" s="53"/>
      <c r="O171" s="25"/>
      <c r="P171" s="55"/>
      <c r="Q171" s="34"/>
      <c r="R171" s="54"/>
      <c r="S171" s="55"/>
      <c r="T171" s="25"/>
      <c r="U171" s="24" t="str">
        <f t="shared" si="17"/>
        <v>#DIV/0!</v>
      </c>
      <c r="V171" s="24" t="str">
        <f t="shared" si="18"/>
        <v>#DIV/0!</v>
      </c>
      <c r="W171" s="25"/>
      <c r="X171" s="25"/>
      <c r="Y171" s="25"/>
      <c r="Z171" s="25"/>
      <c r="AA171" s="25"/>
      <c r="AB171" s="25">
        <f t="shared" si="4"/>
        <v>0</v>
      </c>
      <c r="AC171" s="25"/>
      <c r="AD171" s="25"/>
      <c r="AE171" s="25"/>
      <c r="AF171" s="25"/>
      <c r="AG171" s="25"/>
    </row>
    <row r="172">
      <c r="A172" s="25"/>
      <c r="B172" s="25"/>
      <c r="C172" s="25"/>
      <c r="D172" s="25"/>
      <c r="E172" s="25"/>
      <c r="F172" s="25"/>
      <c r="G172" s="25"/>
      <c r="H172" s="46"/>
      <c r="I172" s="52"/>
      <c r="J172" s="46"/>
      <c r="K172" s="52"/>
      <c r="L172" s="46"/>
      <c r="M172" s="52"/>
      <c r="N172" s="53"/>
      <c r="O172" s="25"/>
      <c r="P172" s="55"/>
      <c r="Q172" s="34"/>
      <c r="R172" s="54"/>
      <c r="S172" s="55"/>
      <c r="T172" s="25"/>
      <c r="U172" s="24" t="str">
        <f t="shared" si="17"/>
        <v>#DIV/0!</v>
      </c>
      <c r="V172" s="24" t="str">
        <f t="shared" si="18"/>
        <v>#DIV/0!</v>
      </c>
      <c r="W172" s="25"/>
      <c r="X172" s="25"/>
      <c r="Y172" s="25"/>
      <c r="Z172" s="25"/>
      <c r="AA172" s="25"/>
      <c r="AB172" s="25">
        <f t="shared" si="4"/>
        <v>0</v>
      </c>
      <c r="AC172" s="25"/>
      <c r="AD172" s="25"/>
      <c r="AE172" s="25"/>
      <c r="AF172" s="25"/>
      <c r="AG172" s="25"/>
    </row>
    <row r="173">
      <c r="A173" s="25"/>
      <c r="B173" s="25"/>
      <c r="C173" s="25"/>
      <c r="D173" s="25"/>
      <c r="E173" s="25"/>
      <c r="F173" s="25"/>
      <c r="G173" s="25"/>
      <c r="H173" s="46"/>
      <c r="I173" s="52"/>
      <c r="J173" s="46"/>
      <c r="K173" s="52"/>
      <c r="L173" s="46"/>
      <c r="M173" s="52"/>
      <c r="N173" s="53"/>
      <c r="O173" s="25"/>
      <c r="P173" s="55"/>
      <c r="Q173" s="34"/>
      <c r="R173" s="54"/>
      <c r="S173" s="55"/>
      <c r="T173" s="25"/>
      <c r="U173" s="24" t="str">
        <f t="shared" si="17"/>
        <v>#DIV/0!</v>
      </c>
      <c r="V173" s="24" t="str">
        <f t="shared" si="18"/>
        <v>#DIV/0!</v>
      </c>
      <c r="W173" s="25"/>
      <c r="X173" s="25"/>
      <c r="Y173" s="25"/>
      <c r="Z173" s="25"/>
      <c r="AA173" s="25"/>
      <c r="AB173" s="25">
        <f t="shared" si="4"/>
        <v>0</v>
      </c>
      <c r="AC173" s="25"/>
      <c r="AD173" s="25"/>
      <c r="AE173" s="25"/>
      <c r="AF173" s="25"/>
      <c r="AG173" s="25"/>
    </row>
    <row r="174">
      <c r="A174" s="25"/>
      <c r="B174" s="25"/>
      <c r="C174" s="25"/>
      <c r="D174" s="25"/>
      <c r="E174" s="25"/>
      <c r="F174" s="25"/>
      <c r="G174" s="25"/>
      <c r="H174" s="46"/>
      <c r="I174" s="52"/>
      <c r="J174" s="46"/>
      <c r="K174" s="52"/>
      <c r="L174" s="46"/>
      <c r="M174" s="52"/>
      <c r="N174" s="53"/>
      <c r="O174" s="25"/>
      <c r="P174" s="55"/>
      <c r="Q174" s="34"/>
      <c r="R174" s="54"/>
      <c r="S174" s="55"/>
      <c r="T174" s="25"/>
      <c r="U174" s="24" t="str">
        <f t="shared" si="17"/>
        <v>#DIV/0!</v>
      </c>
      <c r="V174" s="24" t="str">
        <f t="shared" si="18"/>
        <v>#DIV/0!</v>
      </c>
      <c r="W174" s="25"/>
      <c r="X174" s="25"/>
      <c r="Y174" s="25"/>
      <c r="Z174" s="25"/>
      <c r="AA174" s="25"/>
      <c r="AB174" s="25">
        <f t="shared" si="4"/>
        <v>0</v>
      </c>
      <c r="AC174" s="25"/>
      <c r="AD174" s="25"/>
      <c r="AE174" s="25"/>
      <c r="AF174" s="25"/>
      <c r="AG174" s="25"/>
    </row>
    <row r="175">
      <c r="A175" s="25"/>
      <c r="B175" s="25"/>
      <c r="C175" s="25"/>
      <c r="D175" s="25"/>
      <c r="E175" s="25"/>
      <c r="F175" s="25"/>
      <c r="G175" s="25"/>
      <c r="H175" s="46"/>
      <c r="I175" s="52"/>
      <c r="J175" s="46"/>
      <c r="K175" s="52"/>
      <c r="L175" s="46"/>
      <c r="M175" s="52"/>
      <c r="N175" s="53"/>
      <c r="O175" s="25"/>
      <c r="P175" s="55"/>
      <c r="Q175" s="34"/>
      <c r="R175" s="54"/>
      <c r="S175" s="55"/>
      <c r="T175" s="25"/>
      <c r="U175" s="24" t="str">
        <f t="shared" si="17"/>
        <v>#DIV/0!</v>
      </c>
      <c r="V175" s="24" t="str">
        <f t="shared" si="18"/>
        <v>#DIV/0!</v>
      </c>
      <c r="W175" s="25"/>
      <c r="X175" s="25"/>
      <c r="Y175" s="25"/>
      <c r="Z175" s="25"/>
      <c r="AA175" s="25"/>
      <c r="AB175" s="25">
        <f t="shared" si="4"/>
        <v>0</v>
      </c>
      <c r="AC175" s="25"/>
      <c r="AD175" s="25"/>
      <c r="AE175" s="25"/>
      <c r="AF175" s="25"/>
      <c r="AG175" s="25"/>
    </row>
    <row r="176">
      <c r="A176" s="25"/>
      <c r="B176" s="25"/>
      <c r="C176" s="25"/>
      <c r="D176" s="25"/>
      <c r="E176" s="25"/>
      <c r="F176" s="25"/>
      <c r="G176" s="25"/>
      <c r="H176" s="46"/>
      <c r="I176" s="52"/>
      <c r="J176" s="46"/>
      <c r="K176" s="52"/>
      <c r="L176" s="46"/>
      <c r="M176" s="52"/>
      <c r="N176" s="53"/>
      <c r="O176" s="25"/>
      <c r="P176" s="55"/>
      <c r="Q176" s="34"/>
      <c r="R176" s="54"/>
      <c r="S176" s="55"/>
      <c r="T176" s="25"/>
      <c r="U176" s="24" t="str">
        <f t="shared" si="17"/>
        <v>#DIV/0!</v>
      </c>
      <c r="V176" s="24" t="str">
        <f t="shared" si="18"/>
        <v>#DIV/0!</v>
      </c>
      <c r="W176" s="25"/>
      <c r="X176" s="25"/>
      <c r="Y176" s="25"/>
      <c r="Z176" s="25"/>
      <c r="AA176" s="25"/>
      <c r="AB176" s="25">
        <f t="shared" si="4"/>
        <v>0</v>
      </c>
      <c r="AC176" s="25"/>
      <c r="AD176" s="25"/>
      <c r="AE176" s="25"/>
      <c r="AF176" s="25"/>
      <c r="AG176" s="25"/>
    </row>
    <row r="177">
      <c r="A177" s="25"/>
      <c r="B177" s="25"/>
      <c r="C177" s="25"/>
      <c r="D177" s="25"/>
      <c r="E177" s="25"/>
      <c r="F177" s="25"/>
      <c r="G177" s="25"/>
      <c r="H177" s="46"/>
      <c r="I177" s="52"/>
      <c r="J177" s="46"/>
      <c r="K177" s="52"/>
      <c r="L177" s="46"/>
      <c r="M177" s="52"/>
      <c r="N177" s="53"/>
      <c r="O177" s="25"/>
      <c r="P177" s="55"/>
      <c r="Q177" s="34"/>
      <c r="R177" s="54"/>
      <c r="S177" s="55"/>
      <c r="T177" s="25"/>
      <c r="U177" s="24" t="str">
        <f t="shared" si="17"/>
        <v>#DIV/0!</v>
      </c>
      <c r="V177" s="24" t="str">
        <f t="shared" si="18"/>
        <v>#DIV/0!</v>
      </c>
      <c r="W177" s="25"/>
      <c r="X177" s="25"/>
      <c r="Y177" s="25"/>
      <c r="Z177" s="25"/>
      <c r="AA177" s="25"/>
      <c r="AB177" s="25">
        <f t="shared" si="4"/>
        <v>0</v>
      </c>
      <c r="AC177" s="25"/>
      <c r="AD177" s="25"/>
      <c r="AE177" s="25"/>
      <c r="AF177" s="25"/>
      <c r="AG177" s="25"/>
    </row>
    <row r="178">
      <c r="A178" s="25"/>
      <c r="B178" s="25"/>
      <c r="C178" s="25"/>
      <c r="D178" s="25"/>
      <c r="E178" s="25"/>
      <c r="F178" s="25"/>
      <c r="G178" s="25"/>
      <c r="H178" s="46"/>
      <c r="I178" s="52"/>
      <c r="J178" s="46"/>
      <c r="K178" s="52"/>
      <c r="L178" s="46"/>
      <c r="M178" s="52"/>
      <c r="N178" s="53"/>
      <c r="O178" s="25"/>
      <c r="P178" s="55"/>
      <c r="Q178" s="34"/>
      <c r="R178" s="54"/>
      <c r="S178" s="55"/>
      <c r="T178" s="25"/>
      <c r="U178" s="24" t="str">
        <f t="shared" si="17"/>
        <v>#DIV/0!</v>
      </c>
      <c r="V178" s="24" t="str">
        <f t="shared" si="18"/>
        <v>#DIV/0!</v>
      </c>
      <c r="W178" s="25"/>
      <c r="X178" s="25"/>
      <c r="Y178" s="25"/>
      <c r="Z178" s="25"/>
      <c r="AA178" s="25"/>
      <c r="AB178" s="25">
        <f t="shared" si="4"/>
        <v>0</v>
      </c>
      <c r="AC178" s="25"/>
      <c r="AD178" s="25"/>
      <c r="AE178" s="25"/>
      <c r="AF178" s="25"/>
      <c r="AG178" s="25"/>
    </row>
    <row r="179">
      <c r="A179" s="25"/>
      <c r="B179" s="25"/>
      <c r="C179" s="25"/>
      <c r="D179" s="25"/>
      <c r="E179" s="25"/>
      <c r="F179" s="25"/>
      <c r="G179" s="25"/>
      <c r="H179" s="46"/>
      <c r="I179" s="52"/>
      <c r="J179" s="46"/>
      <c r="K179" s="52"/>
      <c r="L179" s="46"/>
      <c r="M179" s="52"/>
      <c r="N179" s="53"/>
      <c r="O179" s="25"/>
      <c r="P179" s="55"/>
      <c r="Q179" s="34"/>
      <c r="R179" s="54"/>
      <c r="S179" s="55"/>
      <c r="T179" s="25"/>
      <c r="U179" s="24" t="str">
        <f t="shared" si="17"/>
        <v>#DIV/0!</v>
      </c>
      <c r="V179" s="24" t="str">
        <f t="shared" si="18"/>
        <v>#DIV/0!</v>
      </c>
      <c r="W179" s="25"/>
      <c r="X179" s="25"/>
      <c r="Y179" s="25"/>
      <c r="Z179" s="25"/>
      <c r="AA179" s="25"/>
      <c r="AB179" s="25">
        <f t="shared" si="4"/>
        <v>0</v>
      </c>
      <c r="AC179" s="25"/>
      <c r="AD179" s="25"/>
      <c r="AE179" s="25"/>
      <c r="AF179" s="25"/>
      <c r="AG179" s="25"/>
    </row>
    <row r="180">
      <c r="A180" s="25"/>
      <c r="B180" s="25"/>
      <c r="C180" s="25"/>
      <c r="D180" s="25"/>
      <c r="E180" s="25"/>
      <c r="F180" s="25"/>
      <c r="G180" s="25"/>
      <c r="H180" s="46"/>
      <c r="I180" s="52"/>
      <c r="J180" s="46"/>
      <c r="K180" s="52"/>
      <c r="L180" s="46"/>
      <c r="M180" s="52"/>
      <c r="N180" s="53"/>
      <c r="O180" s="25"/>
      <c r="P180" s="55"/>
      <c r="Q180" s="34"/>
      <c r="R180" s="54"/>
      <c r="S180" s="55"/>
      <c r="T180" s="25"/>
      <c r="U180" s="24" t="str">
        <f t="shared" si="17"/>
        <v>#DIV/0!</v>
      </c>
      <c r="V180" s="24" t="str">
        <f t="shared" si="18"/>
        <v>#DIV/0!</v>
      </c>
      <c r="W180" s="25"/>
      <c r="X180" s="25"/>
      <c r="Y180" s="25"/>
      <c r="Z180" s="25"/>
      <c r="AA180" s="25"/>
      <c r="AB180" s="25">
        <f t="shared" si="4"/>
        <v>0</v>
      </c>
      <c r="AC180" s="25"/>
      <c r="AD180" s="25"/>
      <c r="AE180" s="25"/>
      <c r="AF180" s="25"/>
      <c r="AG180" s="25"/>
    </row>
    <row r="181">
      <c r="A181" s="25"/>
      <c r="B181" s="25"/>
      <c r="C181" s="25"/>
      <c r="D181" s="25"/>
      <c r="E181" s="25"/>
      <c r="F181" s="25"/>
      <c r="G181" s="25"/>
      <c r="H181" s="46"/>
      <c r="I181" s="52"/>
      <c r="J181" s="46"/>
      <c r="K181" s="52"/>
      <c r="L181" s="46"/>
      <c r="M181" s="52"/>
      <c r="N181" s="53"/>
      <c r="O181" s="25"/>
      <c r="P181" s="55"/>
      <c r="Q181" s="34"/>
      <c r="R181" s="54"/>
      <c r="S181" s="55"/>
      <c r="T181" s="25"/>
      <c r="U181" s="24" t="str">
        <f t="shared" si="17"/>
        <v>#DIV/0!</v>
      </c>
      <c r="V181" s="24" t="str">
        <f t="shared" si="18"/>
        <v>#DIV/0!</v>
      </c>
      <c r="W181" s="25"/>
      <c r="X181" s="25"/>
      <c r="Y181" s="25"/>
      <c r="Z181" s="25"/>
      <c r="AA181" s="25"/>
      <c r="AB181" s="25">
        <f t="shared" si="4"/>
        <v>0</v>
      </c>
      <c r="AC181" s="25"/>
      <c r="AD181" s="25"/>
      <c r="AE181" s="25"/>
      <c r="AF181" s="25"/>
      <c r="AG181" s="25"/>
    </row>
    <row r="182">
      <c r="A182" s="25"/>
      <c r="B182" s="25"/>
      <c r="C182" s="25"/>
      <c r="D182" s="25"/>
      <c r="E182" s="25"/>
      <c r="F182" s="25"/>
      <c r="G182" s="25"/>
      <c r="H182" s="46"/>
      <c r="I182" s="52"/>
      <c r="J182" s="46"/>
      <c r="K182" s="52"/>
      <c r="L182" s="46"/>
      <c r="M182" s="52"/>
      <c r="N182" s="53"/>
      <c r="O182" s="25"/>
      <c r="P182" s="55"/>
      <c r="Q182" s="34"/>
      <c r="R182" s="54"/>
      <c r="S182" s="55"/>
      <c r="T182" s="25"/>
      <c r="U182" s="24" t="str">
        <f t="shared" si="17"/>
        <v>#DIV/0!</v>
      </c>
      <c r="V182" s="24" t="str">
        <f t="shared" si="18"/>
        <v>#DIV/0!</v>
      </c>
      <c r="W182" s="25"/>
      <c r="X182" s="25"/>
      <c r="Y182" s="25"/>
      <c r="Z182" s="25"/>
      <c r="AA182" s="25"/>
      <c r="AB182" s="25">
        <f t="shared" si="4"/>
        <v>0</v>
      </c>
      <c r="AC182" s="25"/>
      <c r="AD182" s="25"/>
      <c r="AE182" s="25"/>
      <c r="AF182" s="25"/>
      <c r="AG182" s="25"/>
    </row>
    <row r="183">
      <c r="A183" s="25"/>
      <c r="B183" s="25"/>
      <c r="C183" s="25"/>
      <c r="D183" s="25"/>
      <c r="E183" s="25"/>
      <c r="F183" s="25"/>
      <c r="G183" s="25"/>
      <c r="H183" s="46"/>
      <c r="I183" s="52"/>
      <c r="J183" s="46"/>
      <c r="K183" s="52"/>
      <c r="L183" s="46"/>
      <c r="M183" s="52"/>
      <c r="N183" s="53"/>
      <c r="O183" s="25"/>
      <c r="P183" s="55"/>
      <c r="Q183" s="34"/>
      <c r="R183" s="54"/>
      <c r="S183" s="55"/>
      <c r="T183" s="25"/>
      <c r="U183" s="24" t="str">
        <f t="shared" si="17"/>
        <v>#DIV/0!</v>
      </c>
      <c r="V183" s="24" t="str">
        <f t="shared" si="18"/>
        <v>#DIV/0!</v>
      </c>
      <c r="W183" s="25"/>
      <c r="X183" s="25"/>
      <c r="Y183" s="25"/>
      <c r="Z183" s="25"/>
      <c r="AA183" s="25"/>
      <c r="AB183" s="25">
        <f t="shared" si="4"/>
        <v>0</v>
      </c>
      <c r="AC183" s="25"/>
      <c r="AD183" s="25"/>
      <c r="AE183" s="25"/>
      <c r="AF183" s="25"/>
      <c r="AG183" s="25"/>
    </row>
    <row r="184">
      <c r="A184" s="25"/>
      <c r="B184" s="25"/>
      <c r="C184" s="25"/>
      <c r="D184" s="25"/>
      <c r="E184" s="25"/>
      <c r="F184" s="25"/>
      <c r="G184" s="25"/>
      <c r="H184" s="46"/>
      <c r="I184" s="52"/>
      <c r="J184" s="46"/>
      <c r="K184" s="52"/>
      <c r="L184" s="46"/>
      <c r="M184" s="52"/>
      <c r="N184" s="53"/>
      <c r="O184" s="25"/>
      <c r="P184" s="55"/>
      <c r="Q184" s="34"/>
      <c r="R184" s="54"/>
      <c r="S184" s="55"/>
      <c r="T184" s="25"/>
      <c r="U184" s="24" t="str">
        <f t="shared" si="17"/>
        <v>#DIV/0!</v>
      </c>
      <c r="V184" s="24" t="str">
        <f t="shared" si="18"/>
        <v>#DIV/0!</v>
      </c>
      <c r="W184" s="25"/>
      <c r="X184" s="25"/>
      <c r="Y184" s="25"/>
      <c r="Z184" s="25"/>
      <c r="AA184" s="25"/>
      <c r="AB184" s="25">
        <f t="shared" si="4"/>
        <v>0</v>
      </c>
      <c r="AC184" s="25"/>
      <c r="AD184" s="25"/>
      <c r="AE184" s="25"/>
      <c r="AF184" s="25"/>
      <c r="AG184" s="25"/>
    </row>
    <row r="185">
      <c r="A185" s="25"/>
      <c r="B185" s="25"/>
      <c r="C185" s="25"/>
      <c r="D185" s="25"/>
      <c r="E185" s="25"/>
      <c r="F185" s="25"/>
      <c r="G185" s="25"/>
      <c r="H185" s="46"/>
      <c r="I185" s="52"/>
      <c r="J185" s="46"/>
      <c r="K185" s="52"/>
      <c r="L185" s="46"/>
      <c r="M185" s="52"/>
      <c r="N185" s="53"/>
      <c r="O185" s="25"/>
      <c r="P185" s="55"/>
      <c r="Q185" s="34"/>
      <c r="R185" s="54"/>
      <c r="S185" s="55"/>
      <c r="T185" s="25"/>
      <c r="U185" s="24" t="str">
        <f t="shared" si="17"/>
        <v>#DIV/0!</v>
      </c>
      <c r="V185" s="24" t="str">
        <f t="shared" si="18"/>
        <v>#DIV/0!</v>
      </c>
      <c r="W185" s="25"/>
      <c r="X185" s="25"/>
      <c r="Y185" s="25"/>
      <c r="Z185" s="25"/>
      <c r="AA185" s="25"/>
      <c r="AB185" s="25">
        <f t="shared" si="4"/>
        <v>0</v>
      </c>
      <c r="AC185" s="25"/>
      <c r="AD185" s="25"/>
      <c r="AE185" s="25"/>
      <c r="AF185" s="25"/>
      <c r="AG185" s="25"/>
    </row>
    <row r="186">
      <c r="A186" s="25"/>
      <c r="B186" s="25"/>
      <c r="C186" s="25"/>
      <c r="D186" s="25"/>
      <c r="E186" s="25"/>
      <c r="F186" s="25"/>
      <c r="G186" s="25"/>
      <c r="H186" s="46"/>
      <c r="I186" s="52"/>
      <c r="J186" s="46"/>
      <c r="K186" s="52"/>
      <c r="L186" s="46"/>
      <c r="M186" s="52"/>
      <c r="N186" s="53"/>
      <c r="O186" s="25"/>
      <c r="P186" s="55"/>
      <c r="Q186" s="34"/>
      <c r="R186" s="54"/>
      <c r="S186" s="55"/>
      <c r="T186" s="25"/>
      <c r="U186" s="24" t="str">
        <f t="shared" si="17"/>
        <v>#DIV/0!</v>
      </c>
      <c r="V186" s="24" t="str">
        <f t="shared" si="18"/>
        <v>#DIV/0!</v>
      </c>
      <c r="W186" s="25"/>
      <c r="X186" s="25"/>
      <c r="Y186" s="25"/>
      <c r="Z186" s="25"/>
      <c r="AA186" s="25"/>
      <c r="AB186" s="25">
        <f t="shared" si="4"/>
        <v>0</v>
      </c>
      <c r="AC186" s="25"/>
      <c r="AD186" s="25"/>
      <c r="AE186" s="25"/>
      <c r="AF186" s="25"/>
      <c r="AG186" s="25"/>
    </row>
    <row r="187">
      <c r="A187" s="25"/>
      <c r="B187" s="25"/>
      <c r="C187" s="25"/>
      <c r="D187" s="25"/>
      <c r="E187" s="25"/>
      <c r="F187" s="25"/>
      <c r="G187" s="25"/>
      <c r="H187" s="46"/>
      <c r="I187" s="52"/>
      <c r="J187" s="46"/>
      <c r="K187" s="52"/>
      <c r="L187" s="46"/>
      <c r="M187" s="52"/>
      <c r="N187" s="53"/>
      <c r="O187" s="25"/>
      <c r="P187" s="55"/>
      <c r="Q187" s="34"/>
      <c r="R187" s="54"/>
      <c r="S187" s="55"/>
      <c r="T187" s="25"/>
      <c r="U187" s="24" t="str">
        <f t="shared" si="17"/>
        <v>#DIV/0!</v>
      </c>
      <c r="V187" s="24" t="str">
        <f t="shared" si="18"/>
        <v>#DIV/0!</v>
      </c>
      <c r="W187" s="25"/>
      <c r="X187" s="25"/>
      <c r="Y187" s="25"/>
      <c r="Z187" s="25"/>
      <c r="AA187" s="25"/>
      <c r="AB187" s="25">
        <f t="shared" si="4"/>
        <v>0</v>
      </c>
      <c r="AC187" s="25"/>
      <c r="AD187" s="25"/>
      <c r="AE187" s="25"/>
      <c r="AF187" s="25"/>
      <c r="AG187" s="25"/>
    </row>
    <row r="188">
      <c r="A188" s="25"/>
      <c r="B188" s="25"/>
      <c r="C188" s="25"/>
      <c r="D188" s="25"/>
      <c r="E188" s="25"/>
      <c r="F188" s="25"/>
      <c r="G188" s="25"/>
      <c r="H188" s="46"/>
      <c r="I188" s="52"/>
      <c r="J188" s="46"/>
      <c r="K188" s="52"/>
      <c r="L188" s="46"/>
      <c r="M188" s="52"/>
      <c r="N188" s="53"/>
      <c r="O188" s="25"/>
      <c r="P188" s="55"/>
      <c r="Q188" s="34"/>
      <c r="R188" s="54"/>
      <c r="S188" s="55"/>
      <c r="T188" s="25"/>
      <c r="U188" s="24" t="str">
        <f t="shared" si="17"/>
        <v>#DIV/0!</v>
      </c>
      <c r="V188" s="24" t="str">
        <f t="shared" si="18"/>
        <v>#DIV/0!</v>
      </c>
      <c r="W188" s="25"/>
      <c r="X188" s="25"/>
      <c r="Y188" s="25"/>
      <c r="Z188" s="25"/>
      <c r="AA188" s="25"/>
      <c r="AB188" s="25">
        <f t="shared" si="4"/>
        <v>0</v>
      </c>
      <c r="AC188" s="25"/>
      <c r="AD188" s="25"/>
      <c r="AE188" s="25"/>
      <c r="AF188" s="25"/>
      <c r="AG188" s="25"/>
    </row>
    <row r="189">
      <c r="A189" s="25"/>
      <c r="B189" s="25"/>
      <c r="C189" s="25"/>
      <c r="D189" s="25"/>
      <c r="E189" s="25"/>
      <c r="F189" s="25"/>
      <c r="G189" s="25"/>
      <c r="H189" s="46"/>
      <c r="I189" s="52"/>
      <c r="J189" s="46"/>
      <c r="K189" s="52"/>
      <c r="L189" s="46"/>
      <c r="M189" s="52"/>
      <c r="N189" s="53"/>
      <c r="O189" s="25"/>
      <c r="P189" s="55"/>
      <c r="Q189" s="34"/>
      <c r="R189" s="54"/>
      <c r="S189" s="55"/>
      <c r="T189" s="25"/>
      <c r="U189" s="24" t="str">
        <f t="shared" si="17"/>
        <v>#DIV/0!</v>
      </c>
      <c r="V189" s="24" t="str">
        <f t="shared" si="18"/>
        <v>#DIV/0!</v>
      </c>
      <c r="W189" s="25"/>
      <c r="X189" s="25"/>
      <c r="Y189" s="25"/>
      <c r="Z189" s="25"/>
      <c r="AA189" s="25"/>
      <c r="AB189" s="25">
        <f t="shared" si="4"/>
        <v>0</v>
      </c>
      <c r="AC189" s="25"/>
      <c r="AD189" s="25"/>
      <c r="AE189" s="25"/>
      <c r="AF189" s="25"/>
      <c r="AG189" s="25"/>
    </row>
    <row r="190">
      <c r="A190" s="25"/>
      <c r="B190" s="25"/>
      <c r="C190" s="25"/>
      <c r="D190" s="25"/>
      <c r="E190" s="25"/>
      <c r="F190" s="25"/>
      <c r="G190" s="25"/>
      <c r="H190" s="46"/>
      <c r="I190" s="52"/>
      <c r="J190" s="46"/>
      <c r="K190" s="52"/>
      <c r="L190" s="46"/>
      <c r="M190" s="52"/>
      <c r="N190" s="53"/>
      <c r="O190" s="25"/>
      <c r="P190" s="55"/>
      <c r="Q190" s="34"/>
      <c r="R190" s="54"/>
      <c r="S190" s="55"/>
      <c r="T190" s="25"/>
      <c r="U190" s="24" t="str">
        <f t="shared" si="17"/>
        <v>#DIV/0!</v>
      </c>
      <c r="V190" s="24" t="str">
        <f t="shared" si="18"/>
        <v>#DIV/0!</v>
      </c>
      <c r="W190" s="25"/>
      <c r="X190" s="25"/>
      <c r="Y190" s="25"/>
      <c r="Z190" s="25"/>
      <c r="AA190" s="25"/>
      <c r="AB190" s="25">
        <f t="shared" si="4"/>
        <v>0</v>
      </c>
      <c r="AC190" s="25"/>
      <c r="AD190" s="25"/>
      <c r="AE190" s="25"/>
      <c r="AF190" s="25"/>
      <c r="AG190" s="25"/>
    </row>
    <row r="191">
      <c r="A191" s="25"/>
      <c r="B191" s="25"/>
      <c r="C191" s="25"/>
      <c r="D191" s="25"/>
      <c r="E191" s="25"/>
      <c r="F191" s="25"/>
      <c r="G191" s="25"/>
      <c r="H191" s="46"/>
      <c r="I191" s="52"/>
      <c r="J191" s="46"/>
      <c r="K191" s="52"/>
      <c r="L191" s="46"/>
      <c r="M191" s="52"/>
      <c r="N191" s="53"/>
      <c r="O191" s="25"/>
      <c r="P191" s="55"/>
      <c r="Q191" s="34"/>
      <c r="R191" s="54"/>
      <c r="S191" s="55"/>
      <c r="T191" s="25"/>
      <c r="U191" s="24" t="str">
        <f t="shared" si="17"/>
        <v>#DIV/0!</v>
      </c>
      <c r="V191" s="24" t="str">
        <f t="shared" si="18"/>
        <v>#DIV/0!</v>
      </c>
      <c r="W191" s="25"/>
      <c r="X191" s="25"/>
      <c r="Y191" s="25"/>
      <c r="Z191" s="25"/>
      <c r="AA191" s="25"/>
      <c r="AB191" s="25">
        <f t="shared" si="4"/>
        <v>0</v>
      </c>
      <c r="AC191" s="25"/>
      <c r="AD191" s="25"/>
      <c r="AE191" s="25"/>
      <c r="AF191" s="25"/>
      <c r="AG191" s="25"/>
    </row>
    <row r="192">
      <c r="A192" s="25"/>
      <c r="B192" s="25"/>
      <c r="C192" s="25"/>
      <c r="D192" s="25"/>
      <c r="E192" s="25"/>
      <c r="F192" s="25"/>
      <c r="G192" s="25"/>
      <c r="H192" s="46"/>
      <c r="I192" s="52"/>
      <c r="J192" s="46"/>
      <c r="K192" s="52"/>
      <c r="L192" s="46"/>
      <c r="M192" s="52"/>
      <c r="N192" s="53"/>
      <c r="O192" s="25"/>
      <c r="P192" s="55"/>
      <c r="Q192" s="34"/>
      <c r="R192" s="54"/>
      <c r="S192" s="55"/>
      <c r="T192" s="25"/>
      <c r="U192" s="24" t="str">
        <f t="shared" si="17"/>
        <v>#DIV/0!</v>
      </c>
      <c r="V192" s="24" t="str">
        <f t="shared" si="18"/>
        <v>#DIV/0!</v>
      </c>
      <c r="W192" s="25"/>
      <c r="X192" s="25"/>
      <c r="Y192" s="25"/>
      <c r="Z192" s="25"/>
      <c r="AA192" s="25"/>
      <c r="AB192" s="25">
        <f t="shared" si="4"/>
        <v>0</v>
      </c>
      <c r="AC192" s="25"/>
      <c r="AD192" s="25"/>
      <c r="AE192" s="25"/>
      <c r="AF192" s="25"/>
      <c r="AG192" s="25"/>
    </row>
    <row r="193">
      <c r="A193" s="25"/>
      <c r="B193" s="25"/>
      <c r="C193" s="25"/>
      <c r="D193" s="25"/>
      <c r="E193" s="25"/>
      <c r="F193" s="25"/>
      <c r="G193" s="25"/>
      <c r="H193" s="46"/>
      <c r="I193" s="52"/>
      <c r="J193" s="46"/>
      <c r="K193" s="52"/>
      <c r="L193" s="46"/>
      <c r="M193" s="52"/>
      <c r="N193" s="53"/>
      <c r="O193" s="25"/>
      <c r="P193" s="55"/>
      <c r="Q193" s="34"/>
      <c r="R193" s="54"/>
      <c r="S193" s="55"/>
      <c r="T193" s="25"/>
      <c r="U193" s="24" t="str">
        <f t="shared" si="17"/>
        <v>#DIV/0!</v>
      </c>
      <c r="V193" s="24" t="str">
        <f t="shared" si="18"/>
        <v>#DIV/0!</v>
      </c>
      <c r="W193" s="25"/>
      <c r="X193" s="25"/>
      <c r="Y193" s="25"/>
      <c r="Z193" s="25"/>
      <c r="AA193" s="25"/>
      <c r="AB193" s="25">
        <f t="shared" si="4"/>
        <v>0</v>
      </c>
      <c r="AC193" s="25"/>
      <c r="AD193" s="25"/>
      <c r="AE193" s="25"/>
      <c r="AF193" s="25"/>
      <c r="AG193" s="25"/>
    </row>
    <row r="194">
      <c r="A194" s="25"/>
      <c r="B194" s="25"/>
      <c r="C194" s="25"/>
      <c r="D194" s="25"/>
      <c r="E194" s="25"/>
      <c r="F194" s="25"/>
      <c r="G194" s="25"/>
      <c r="H194" s="46"/>
      <c r="I194" s="52"/>
      <c r="J194" s="46"/>
      <c r="K194" s="52"/>
      <c r="L194" s="46"/>
      <c r="M194" s="52"/>
      <c r="N194" s="53"/>
      <c r="O194" s="25"/>
      <c r="P194" s="55"/>
      <c r="Q194" s="34"/>
      <c r="R194" s="54"/>
      <c r="S194" s="55"/>
      <c r="T194" s="25"/>
      <c r="U194" s="24" t="str">
        <f t="shared" si="17"/>
        <v>#DIV/0!</v>
      </c>
      <c r="V194" s="24" t="str">
        <f t="shared" si="18"/>
        <v>#DIV/0!</v>
      </c>
      <c r="W194" s="25"/>
      <c r="X194" s="25"/>
      <c r="Y194" s="25"/>
      <c r="Z194" s="25"/>
      <c r="AA194" s="25"/>
      <c r="AB194" s="25">
        <f t="shared" si="4"/>
        <v>0</v>
      </c>
      <c r="AC194" s="25"/>
      <c r="AD194" s="25"/>
      <c r="AE194" s="25"/>
      <c r="AF194" s="25"/>
      <c r="AG194" s="25"/>
    </row>
    <row r="195">
      <c r="A195" s="25"/>
      <c r="B195" s="25"/>
      <c r="C195" s="25"/>
      <c r="D195" s="25"/>
      <c r="E195" s="25"/>
      <c r="F195" s="25"/>
      <c r="G195" s="25"/>
      <c r="H195" s="46"/>
      <c r="I195" s="52"/>
      <c r="J195" s="46"/>
      <c r="K195" s="52"/>
      <c r="L195" s="46"/>
      <c r="M195" s="52"/>
      <c r="N195" s="53"/>
      <c r="O195" s="25"/>
      <c r="P195" s="55"/>
      <c r="Q195" s="34"/>
      <c r="R195" s="54"/>
      <c r="S195" s="55"/>
      <c r="T195" s="25"/>
      <c r="U195" s="24" t="str">
        <f t="shared" si="17"/>
        <v>#DIV/0!</v>
      </c>
      <c r="V195" s="24" t="str">
        <f t="shared" si="18"/>
        <v>#DIV/0!</v>
      </c>
      <c r="W195" s="25"/>
      <c r="X195" s="25"/>
      <c r="Y195" s="25"/>
      <c r="Z195" s="25"/>
      <c r="AA195" s="25"/>
      <c r="AB195" s="25">
        <f t="shared" si="4"/>
        <v>0</v>
      </c>
      <c r="AC195" s="25"/>
      <c r="AD195" s="25"/>
      <c r="AE195" s="25"/>
      <c r="AF195" s="25"/>
      <c r="AG195" s="25"/>
    </row>
    <row r="196">
      <c r="A196" s="25"/>
      <c r="B196" s="25"/>
      <c r="C196" s="25"/>
      <c r="D196" s="25"/>
      <c r="E196" s="25"/>
      <c r="F196" s="25"/>
      <c r="G196" s="25"/>
      <c r="H196" s="46"/>
      <c r="I196" s="52"/>
      <c r="J196" s="46"/>
      <c r="K196" s="52"/>
      <c r="L196" s="46"/>
      <c r="M196" s="52"/>
      <c r="N196" s="53"/>
      <c r="O196" s="25"/>
      <c r="P196" s="55"/>
      <c r="Q196" s="34"/>
      <c r="R196" s="54"/>
      <c r="S196" s="55"/>
      <c r="T196" s="25"/>
      <c r="U196" s="24" t="str">
        <f t="shared" si="17"/>
        <v>#DIV/0!</v>
      </c>
      <c r="V196" s="24" t="str">
        <f t="shared" si="18"/>
        <v>#DIV/0!</v>
      </c>
      <c r="W196" s="25"/>
      <c r="X196" s="25"/>
      <c r="Y196" s="25"/>
      <c r="Z196" s="25"/>
      <c r="AA196" s="25"/>
      <c r="AB196" s="25">
        <f t="shared" si="4"/>
        <v>0</v>
      </c>
      <c r="AC196" s="25"/>
      <c r="AD196" s="25"/>
      <c r="AE196" s="25"/>
      <c r="AF196" s="25"/>
      <c r="AG196" s="25"/>
    </row>
    <row r="197">
      <c r="A197" s="25"/>
      <c r="B197" s="25"/>
      <c r="C197" s="25"/>
      <c r="D197" s="25"/>
      <c r="E197" s="25"/>
      <c r="F197" s="25"/>
      <c r="G197" s="25"/>
      <c r="H197" s="46"/>
      <c r="I197" s="52"/>
      <c r="J197" s="46"/>
      <c r="K197" s="52"/>
      <c r="L197" s="46"/>
      <c r="M197" s="52"/>
      <c r="N197" s="53"/>
      <c r="O197" s="25"/>
      <c r="P197" s="55"/>
      <c r="Q197" s="34"/>
      <c r="R197" s="54"/>
      <c r="S197" s="55"/>
      <c r="T197" s="25"/>
      <c r="U197" s="24" t="str">
        <f t="shared" si="17"/>
        <v>#DIV/0!</v>
      </c>
      <c r="V197" s="24" t="str">
        <f t="shared" si="18"/>
        <v>#DIV/0!</v>
      </c>
      <c r="W197" s="25"/>
      <c r="X197" s="25"/>
      <c r="Y197" s="25"/>
      <c r="Z197" s="25"/>
      <c r="AA197" s="25"/>
      <c r="AB197" s="25">
        <f t="shared" si="4"/>
        <v>0</v>
      </c>
      <c r="AC197" s="25"/>
      <c r="AD197" s="25"/>
      <c r="AE197" s="25"/>
      <c r="AF197" s="25"/>
      <c r="AG197" s="25"/>
    </row>
    <row r="198">
      <c r="A198" s="25"/>
      <c r="B198" s="25"/>
      <c r="C198" s="25"/>
      <c r="D198" s="25"/>
      <c r="E198" s="25"/>
      <c r="F198" s="25"/>
      <c r="G198" s="25"/>
      <c r="H198" s="46"/>
      <c r="I198" s="52"/>
      <c r="J198" s="46"/>
      <c r="K198" s="52"/>
      <c r="L198" s="46"/>
      <c r="M198" s="52"/>
      <c r="N198" s="53"/>
      <c r="O198" s="25"/>
      <c r="P198" s="55"/>
      <c r="Q198" s="34"/>
      <c r="R198" s="54"/>
      <c r="S198" s="55"/>
      <c r="T198" s="25"/>
      <c r="U198" s="24" t="str">
        <f t="shared" si="17"/>
        <v>#DIV/0!</v>
      </c>
      <c r="V198" s="24" t="str">
        <f t="shared" si="18"/>
        <v>#DIV/0!</v>
      </c>
      <c r="W198" s="25"/>
      <c r="X198" s="25"/>
      <c r="Y198" s="25"/>
      <c r="Z198" s="25"/>
      <c r="AA198" s="25"/>
      <c r="AB198" s="25">
        <f t="shared" si="4"/>
        <v>0</v>
      </c>
      <c r="AC198" s="25"/>
      <c r="AD198" s="25"/>
      <c r="AE198" s="25"/>
      <c r="AF198" s="25"/>
      <c r="AG198" s="25"/>
    </row>
    <row r="199">
      <c r="A199" s="25"/>
      <c r="B199" s="25"/>
      <c r="C199" s="25"/>
      <c r="D199" s="25"/>
      <c r="E199" s="25"/>
      <c r="F199" s="25"/>
      <c r="G199" s="25"/>
      <c r="H199" s="46"/>
      <c r="I199" s="52"/>
      <c r="J199" s="46"/>
      <c r="K199" s="52"/>
      <c r="L199" s="46"/>
      <c r="M199" s="52"/>
      <c r="N199" s="53"/>
      <c r="O199" s="25"/>
      <c r="P199" s="55"/>
      <c r="Q199" s="34"/>
      <c r="R199" s="54"/>
      <c r="S199" s="55"/>
      <c r="T199" s="25"/>
      <c r="U199" s="24" t="str">
        <f t="shared" si="17"/>
        <v>#DIV/0!</v>
      </c>
      <c r="V199" s="24" t="str">
        <f t="shared" si="18"/>
        <v>#DIV/0!</v>
      </c>
      <c r="W199" s="25"/>
      <c r="X199" s="25"/>
      <c r="Y199" s="25"/>
      <c r="Z199" s="25"/>
      <c r="AA199" s="25"/>
      <c r="AB199" s="25">
        <f t="shared" si="4"/>
        <v>0</v>
      </c>
      <c r="AC199" s="25"/>
      <c r="AD199" s="25"/>
      <c r="AE199" s="25"/>
      <c r="AF199" s="25"/>
      <c r="AG199" s="25"/>
    </row>
    <row r="200">
      <c r="A200" s="25"/>
      <c r="B200" s="25"/>
      <c r="C200" s="25"/>
      <c r="D200" s="25"/>
      <c r="E200" s="25"/>
      <c r="F200" s="25"/>
      <c r="G200" s="25"/>
      <c r="H200" s="46"/>
      <c r="I200" s="52"/>
      <c r="J200" s="46"/>
      <c r="K200" s="52"/>
      <c r="L200" s="46"/>
      <c r="M200" s="52"/>
      <c r="N200" s="53"/>
      <c r="O200" s="25"/>
      <c r="P200" s="55"/>
      <c r="Q200" s="34"/>
      <c r="R200" s="54"/>
      <c r="S200" s="55"/>
      <c r="T200" s="25"/>
      <c r="U200" s="24" t="str">
        <f t="shared" si="17"/>
        <v>#DIV/0!</v>
      </c>
      <c r="V200" s="24" t="str">
        <f t="shared" si="18"/>
        <v>#DIV/0!</v>
      </c>
      <c r="W200" s="25"/>
      <c r="X200" s="25"/>
      <c r="Y200" s="25"/>
      <c r="Z200" s="25"/>
      <c r="AA200" s="25"/>
      <c r="AB200" s="25">
        <f t="shared" si="4"/>
        <v>0</v>
      </c>
      <c r="AC200" s="25"/>
      <c r="AD200" s="25"/>
      <c r="AE200" s="25"/>
      <c r="AF200" s="25"/>
      <c r="AG200" s="25"/>
    </row>
    <row r="201">
      <c r="A201" s="25"/>
      <c r="B201" s="25"/>
      <c r="C201" s="25"/>
      <c r="D201" s="25"/>
      <c r="E201" s="25"/>
      <c r="F201" s="25"/>
      <c r="G201" s="25"/>
      <c r="H201" s="46"/>
      <c r="I201" s="52"/>
      <c r="J201" s="46"/>
      <c r="K201" s="52"/>
      <c r="L201" s="46"/>
      <c r="M201" s="52"/>
      <c r="N201" s="53"/>
      <c r="O201" s="25"/>
      <c r="P201" s="55"/>
      <c r="Q201" s="34"/>
      <c r="R201" s="54"/>
      <c r="S201" s="55"/>
      <c r="T201" s="25"/>
      <c r="U201" s="24" t="str">
        <f t="shared" si="17"/>
        <v>#DIV/0!</v>
      </c>
      <c r="V201" s="24" t="str">
        <f t="shared" si="18"/>
        <v>#DIV/0!</v>
      </c>
      <c r="W201" s="25"/>
      <c r="X201" s="25"/>
      <c r="Y201" s="25"/>
      <c r="Z201" s="25"/>
      <c r="AA201" s="25"/>
      <c r="AB201" s="25">
        <f t="shared" si="4"/>
        <v>0</v>
      </c>
      <c r="AC201" s="25"/>
      <c r="AD201" s="25"/>
      <c r="AE201" s="25"/>
      <c r="AF201" s="25"/>
      <c r="AG201" s="25"/>
    </row>
    <row r="202">
      <c r="A202" s="25"/>
      <c r="B202" s="25"/>
      <c r="C202" s="25"/>
      <c r="D202" s="25"/>
      <c r="E202" s="25"/>
      <c r="F202" s="25"/>
      <c r="G202" s="25"/>
      <c r="H202" s="46"/>
      <c r="I202" s="52"/>
      <c r="J202" s="46"/>
      <c r="K202" s="52"/>
      <c r="L202" s="46"/>
      <c r="M202" s="52"/>
      <c r="N202" s="53"/>
      <c r="O202" s="25"/>
      <c r="P202" s="55"/>
      <c r="Q202" s="34"/>
      <c r="R202" s="54"/>
      <c r="S202" s="55"/>
      <c r="T202" s="25"/>
      <c r="U202" s="24" t="str">
        <f t="shared" si="17"/>
        <v>#DIV/0!</v>
      </c>
      <c r="V202" s="24" t="str">
        <f t="shared" si="18"/>
        <v>#DIV/0!</v>
      </c>
      <c r="W202" s="25"/>
      <c r="X202" s="25"/>
      <c r="Y202" s="25"/>
      <c r="Z202" s="25"/>
      <c r="AA202" s="25"/>
      <c r="AB202" s="25">
        <f t="shared" si="4"/>
        <v>0</v>
      </c>
      <c r="AC202" s="25"/>
      <c r="AD202" s="25"/>
      <c r="AE202" s="25"/>
      <c r="AF202" s="25"/>
      <c r="AG202" s="25"/>
    </row>
    <row r="203">
      <c r="A203" s="25"/>
      <c r="B203" s="25"/>
      <c r="C203" s="25"/>
      <c r="D203" s="25"/>
      <c r="E203" s="25"/>
      <c r="F203" s="25"/>
      <c r="G203" s="25"/>
      <c r="H203" s="46"/>
      <c r="I203" s="52"/>
      <c r="J203" s="46"/>
      <c r="K203" s="52"/>
      <c r="L203" s="46"/>
      <c r="M203" s="52"/>
      <c r="N203" s="53"/>
      <c r="O203" s="25"/>
      <c r="P203" s="55"/>
      <c r="Q203" s="34"/>
      <c r="R203" s="54"/>
      <c r="S203" s="55"/>
      <c r="T203" s="25"/>
      <c r="U203" s="24" t="str">
        <f t="shared" si="17"/>
        <v>#DIV/0!</v>
      </c>
      <c r="V203" s="24" t="str">
        <f t="shared" si="18"/>
        <v>#DIV/0!</v>
      </c>
      <c r="W203" s="25"/>
      <c r="X203" s="25"/>
      <c r="Y203" s="25"/>
      <c r="Z203" s="25"/>
      <c r="AA203" s="25"/>
      <c r="AB203" s="25">
        <f t="shared" si="4"/>
        <v>0</v>
      </c>
      <c r="AC203" s="25"/>
      <c r="AD203" s="25"/>
      <c r="AE203" s="25"/>
      <c r="AF203" s="25"/>
      <c r="AG203" s="25"/>
    </row>
    <row r="204">
      <c r="A204" s="25"/>
      <c r="B204" s="25"/>
      <c r="C204" s="25"/>
      <c r="D204" s="25"/>
      <c r="E204" s="25"/>
      <c r="F204" s="25"/>
      <c r="G204" s="25"/>
      <c r="H204" s="46"/>
      <c r="I204" s="52"/>
      <c r="J204" s="46"/>
      <c r="K204" s="52"/>
      <c r="L204" s="46"/>
      <c r="M204" s="52"/>
      <c r="N204" s="53"/>
      <c r="O204" s="25"/>
      <c r="P204" s="55"/>
      <c r="Q204" s="34"/>
      <c r="R204" s="54"/>
      <c r="S204" s="55"/>
      <c r="T204" s="25"/>
      <c r="U204" s="24" t="str">
        <f t="shared" si="17"/>
        <v>#DIV/0!</v>
      </c>
      <c r="V204" s="24" t="str">
        <f t="shared" si="18"/>
        <v>#DIV/0!</v>
      </c>
      <c r="W204" s="25"/>
      <c r="X204" s="25"/>
      <c r="Y204" s="25"/>
      <c r="Z204" s="25"/>
      <c r="AA204" s="25"/>
      <c r="AB204" s="25">
        <f t="shared" si="4"/>
        <v>0</v>
      </c>
      <c r="AC204" s="25"/>
      <c r="AD204" s="25"/>
      <c r="AE204" s="25"/>
      <c r="AF204" s="25"/>
      <c r="AG204" s="25"/>
    </row>
    <row r="205">
      <c r="A205" s="25"/>
      <c r="B205" s="25"/>
      <c r="C205" s="25"/>
      <c r="D205" s="25"/>
      <c r="E205" s="25"/>
      <c r="F205" s="25"/>
      <c r="G205" s="25"/>
      <c r="H205" s="46"/>
      <c r="I205" s="52"/>
      <c r="J205" s="46"/>
      <c r="K205" s="52"/>
      <c r="L205" s="46"/>
      <c r="M205" s="52"/>
      <c r="N205" s="53"/>
      <c r="O205" s="25"/>
      <c r="P205" s="55"/>
      <c r="Q205" s="34"/>
      <c r="R205" s="54"/>
      <c r="S205" s="55"/>
      <c r="T205" s="25"/>
      <c r="U205" s="24" t="str">
        <f t="shared" si="17"/>
        <v>#DIV/0!</v>
      </c>
      <c r="V205" s="24" t="str">
        <f t="shared" si="18"/>
        <v>#DIV/0!</v>
      </c>
      <c r="W205" s="25"/>
      <c r="X205" s="25"/>
      <c r="Y205" s="25"/>
      <c r="Z205" s="25"/>
      <c r="AA205" s="25"/>
      <c r="AB205" s="25">
        <f t="shared" si="4"/>
        <v>0</v>
      </c>
      <c r="AC205" s="25"/>
      <c r="AD205" s="25"/>
      <c r="AE205" s="25"/>
      <c r="AF205" s="25"/>
      <c r="AG205" s="25"/>
    </row>
    <row r="206">
      <c r="A206" s="25"/>
      <c r="B206" s="25"/>
      <c r="C206" s="25"/>
      <c r="D206" s="25"/>
      <c r="E206" s="25"/>
      <c r="F206" s="25"/>
      <c r="G206" s="25"/>
      <c r="H206" s="46"/>
      <c r="I206" s="52"/>
      <c r="J206" s="46"/>
      <c r="K206" s="52"/>
      <c r="L206" s="46"/>
      <c r="M206" s="52"/>
      <c r="N206" s="53"/>
      <c r="O206" s="25"/>
      <c r="P206" s="55"/>
      <c r="Q206" s="34"/>
      <c r="R206" s="54"/>
      <c r="S206" s="55"/>
      <c r="T206" s="25"/>
      <c r="U206" s="24" t="str">
        <f t="shared" si="17"/>
        <v>#DIV/0!</v>
      </c>
      <c r="V206" s="24" t="str">
        <f t="shared" si="18"/>
        <v>#DIV/0!</v>
      </c>
      <c r="W206" s="25"/>
      <c r="X206" s="25"/>
      <c r="Y206" s="25"/>
      <c r="Z206" s="25"/>
      <c r="AA206" s="25"/>
      <c r="AB206" s="25">
        <f t="shared" si="4"/>
        <v>0</v>
      </c>
      <c r="AC206" s="25"/>
      <c r="AD206" s="25"/>
      <c r="AE206" s="25"/>
      <c r="AF206" s="25"/>
      <c r="AG206" s="25"/>
    </row>
    <row r="207">
      <c r="A207" s="25"/>
      <c r="B207" s="25"/>
      <c r="C207" s="25"/>
      <c r="D207" s="25"/>
      <c r="E207" s="25"/>
      <c r="F207" s="25"/>
      <c r="G207" s="25"/>
      <c r="H207" s="46"/>
      <c r="I207" s="52"/>
      <c r="J207" s="46"/>
      <c r="K207" s="52"/>
      <c r="L207" s="46"/>
      <c r="M207" s="52"/>
      <c r="N207" s="53"/>
      <c r="O207" s="25"/>
      <c r="P207" s="55"/>
      <c r="Q207" s="34"/>
      <c r="R207" s="54"/>
      <c r="S207" s="55"/>
      <c r="T207" s="25"/>
      <c r="U207" s="24" t="str">
        <f t="shared" si="17"/>
        <v>#DIV/0!</v>
      </c>
      <c r="V207" s="24" t="str">
        <f t="shared" si="18"/>
        <v>#DIV/0!</v>
      </c>
      <c r="W207" s="25"/>
      <c r="X207" s="25"/>
      <c r="Y207" s="25"/>
      <c r="Z207" s="25"/>
      <c r="AA207" s="25"/>
      <c r="AB207" s="25">
        <f t="shared" si="4"/>
        <v>0</v>
      </c>
      <c r="AC207" s="25"/>
      <c r="AD207" s="25"/>
      <c r="AE207" s="25"/>
      <c r="AF207" s="25"/>
      <c r="AG207" s="25"/>
    </row>
    <row r="208">
      <c r="A208" s="25"/>
      <c r="B208" s="25"/>
      <c r="C208" s="25"/>
      <c r="D208" s="25"/>
      <c r="E208" s="25"/>
      <c r="F208" s="25"/>
      <c r="G208" s="25"/>
      <c r="H208" s="46"/>
      <c r="I208" s="52"/>
      <c r="J208" s="46"/>
      <c r="K208" s="52"/>
      <c r="L208" s="46"/>
      <c r="M208" s="52"/>
      <c r="N208" s="53"/>
      <c r="O208" s="25"/>
      <c r="P208" s="55"/>
      <c r="Q208" s="34"/>
      <c r="R208" s="54"/>
      <c r="S208" s="55"/>
      <c r="T208" s="25"/>
      <c r="U208" s="24" t="str">
        <f t="shared" si="17"/>
        <v>#DIV/0!</v>
      </c>
      <c r="V208" s="24" t="str">
        <f t="shared" si="18"/>
        <v>#DIV/0!</v>
      </c>
      <c r="W208" s="25"/>
      <c r="X208" s="25"/>
      <c r="Y208" s="25"/>
      <c r="Z208" s="25"/>
      <c r="AA208" s="25"/>
      <c r="AB208" s="25">
        <f t="shared" si="4"/>
        <v>0</v>
      </c>
      <c r="AC208" s="25"/>
      <c r="AD208" s="25"/>
      <c r="AE208" s="25"/>
      <c r="AF208" s="25"/>
      <c r="AG208" s="25"/>
    </row>
    <row r="209">
      <c r="A209" s="25"/>
      <c r="B209" s="25"/>
      <c r="C209" s="25"/>
      <c r="D209" s="25"/>
      <c r="E209" s="25"/>
      <c r="F209" s="25"/>
      <c r="G209" s="25"/>
      <c r="H209" s="46"/>
      <c r="I209" s="52"/>
      <c r="J209" s="46"/>
      <c r="K209" s="52"/>
      <c r="L209" s="46"/>
      <c r="M209" s="52"/>
      <c r="N209" s="53"/>
      <c r="O209" s="25"/>
      <c r="P209" s="55"/>
      <c r="Q209" s="34"/>
      <c r="R209" s="54"/>
      <c r="S209" s="55"/>
      <c r="T209" s="25"/>
      <c r="U209" s="24" t="str">
        <f t="shared" si="17"/>
        <v>#DIV/0!</v>
      </c>
      <c r="V209" s="24" t="str">
        <f t="shared" si="18"/>
        <v>#DIV/0!</v>
      </c>
      <c r="W209" s="25"/>
      <c r="X209" s="25"/>
      <c r="Y209" s="25"/>
      <c r="Z209" s="25"/>
      <c r="AA209" s="25"/>
      <c r="AB209" s="25">
        <f t="shared" si="4"/>
        <v>0</v>
      </c>
      <c r="AC209" s="25"/>
      <c r="AD209" s="25"/>
      <c r="AE209" s="25"/>
      <c r="AF209" s="25"/>
      <c r="AG209" s="25"/>
    </row>
    <row r="210">
      <c r="A210" s="25"/>
      <c r="B210" s="25"/>
      <c r="C210" s="25"/>
      <c r="D210" s="25"/>
      <c r="E210" s="25"/>
      <c r="F210" s="25"/>
      <c r="G210" s="25"/>
      <c r="H210" s="46"/>
      <c r="I210" s="52"/>
      <c r="J210" s="46"/>
      <c r="K210" s="52"/>
      <c r="L210" s="46"/>
      <c r="M210" s="52"/>
      <c r="N210" s="53"/>
      <c r="O210" s="25"/>
      <c r="P210" s="55"/>
      <c r="Q210" s="34"/>
      <c r="R210" s="54"/>
      <c r="S210" s="55"/>
      <c r="T210" s="25"/>
      <c r="U210" s="24" t="str">
        <f t="shared" si="17"/>
        <v>#DIV/0!</v>
      </c>
      <c r="V210" s="24" t="str">
        <f t="shared" si="18"/>
        <v>#DIV/0!</v>
      </c>
      <c r="W210" s="25"/>
      <c r="X210" s="25"/>
      <c r="Y210" s="25"/>
      <c r="Z210" s="25"/>
      <c r="AA210" s="25"/>
      <c r="AB210" s="25">
        <f t="shared" si="4"/>
        <v>0</v>
      </c>
      <c r="AC210" s="25"/>
      <c r="AD210" s="25"/>
      <c r="AE210" s="25"/>
      <c r="AF210" s="25"/>
      <c r="AG210" s="25"/>
    </row>
    <row r="211">
      <c r="A211" s="25"/>
      <c r="B211" s="25"/>
      <c r="C211" s="25"/>
      <c r="D211" s="25"/>
      <c r="E211" s="25"/>
      <c r="F211" s="25"/>
      <c r="G211" s="25"/>
      <c r="H211" s="46"/>
      <c r="I211" s="52"/>
      <c r="J211" s="46"/>
      <c r="K211" s="52"/>
      <c r="L211" s="46"/>
      <c r="M211" s="52"/>
      <c r="N211" s="53"/>
      <c r="O211" s="25"/>
      <c r="P211" s="55"/>
      <c r="Q211" s="34"/>
      <c r="R211" s="54"/>
      <c r="S211" s="55"/>
      <c r="T211" s="25"/>
      <c r="U211" s="24" t="str">
        <f t="shared" si="17"/>
        <v>#DIV/0!</v>
      </c>
      <c r="V211" s="24" t="str">
        <f t="shared" si="18"/>
        <v>#DIV/0!</v>
      </c>
      <c r="W211" s="25"/>
      <c r="X211" s="25"/>
      <c r="Y211" s="25"/>
      <c r="Z211" s="25"/>
      <c r="AA211" s="25"/>
      <c r="AB211" s="25">
        <f t="shared" si="4"/>
        <v>0</v>
      </c>
      <c r="AC211" s="25"/>
      <c r="AD211" s="25"/>
      <c r="AE211" s="25"/>
      <c r="AF211" s="25"/>
      <c r="AG211" s="25"/>
    </row>
    <row r="212">
      <c r="A212" s="25"/>
      <c r="B212" s="25"/>
      <c r="C212" s="25"/>
      <c r="D212" s="25"/>
      <c r="E212" s="25"/>
      <c r="F212" s="25"/>
      <c r="G212" s="25"/>
      <c r="H212" s="46"/>
      <c r="I212" s="52"/>
      <c r="J212" s="46"/>
      <c r="K212" s="52"/>
      <c r="L212" s="46"/>
      <c r="M212" s="52"/>
      <c r="N212" s="53"/>
      <c r="O212" s="25"/>
      <c r="P212" s="55"/>
      <c r="Q212" s="34"/>
      <c r="R212" s="54"/>
      <c r="S212" s="55"/>
      <c r="T212" s="25"/>
      <c r="U212" s="24" t="str">
        <f t="shared" si="17"/>
        <v>#DIV/0!</v>
      </c>
      <c r="V212" s="24" t="str">
        <f t="shared" si="18"/>
        <v>#DIV/0!</v>
      </c>
      <c r="W212" s="25"/>
      <c r="X212" s="25"/>
      <c r="Y212" s="25"/>
      <c r="Z212" s="25"/>
      <c r="AA212" s="25"/>
      <c r="AB212" s="25">
        <f t="shared" si="4"/>
        <v>0</v>
      </c>
      <c r="AC212" s="25"/>
      <c r="AD212" s="25"/>
      <c r="AE212" s="25"/>
      <c r="AF212" s="25"/>
      <c r="AG212" s="25"/>
    </row>
    <row r="213">
      <c r="A213" s="25"/>
      <c r="B213" s="25"/>
      <c r="C213" s="25"/>
      <c r="D213" s="25"/>
      <c r="E213" s="25"/>
      <c r="F213" s="25"/>
      <c r="G213" s="25"/>
      <c r="H213" s="46"/>
      <c r="I213" s="52"/>
      <c r="J213" s="46"/>
      <c r="K213" s="52"/>
      <c r="L213" s="46"/>
      <c r="M213" s="52"/>
      <c r="N213" s="53"/>
      <c r="O213" s="25"/>
      <c r="P213" s="55"/>
      <c r="Q213" s="34"/>
      <c r="R213" s="54"/>
      <c r="S213" s="55"/>
      <c r="T213" s="25"/>
      <c r="U213" s="24" t="str">
        <f t="shared" si="17"/>
        <v>#DIV/0!</v>
      </c>
      <c r="V213" s="24" t="str">
        <f t="shared" si="18"/>
        <v>#DIV/0!</v>
      </c>
      <c r="W213" s="25"/>
      <c r="X213" s="25"/>
      <c r="Y213" s="25"/>
      <c r="Z213" s="25"/>
      <c r="AA213" s="25"/>
      <c r="AB213" s="25">
        <f t="shared" si="4"/>
        <v>0</v>
      </c>
      <c r="AC213" s="25"/>
      <c r="AD213" s="25"/>
      <c r="AE213" s="25"/>
      <c r="AF213" s="25"/>
      <c r="AG213" s="25"/>
    </row>
    <row r="214">
      <c r="A214" s="25"/>
      <c r="B214" s="25"/>
      <c r="C214" s="25"/>
      <c r="D214" s="25"/>
      <c r="E214" s="25"/>
      <c r="F214" s="25"/>
      <c r="G214" s="25"/>
      <c r="H214" s="46"/>
      <c r="I214" s="52"/>
      <c r="J214" s="46"/>
      <c r="K214" s="52"/>
      <c r="L214" s="46"/>
      <c r="M214" s="52"/>
      <c r="N214" s="53"/>
      <c r="O214" s="25"/>
      <c r="P214" s="55"/>
      <c r="Q214" s="34"/>
      <c r="R214" s="54"/>
      <c r="S214" s="55"/>
      <c r="T214" s="25"/>
      <c r="U214" s="24" t="str">
        <f t="shared" si="17"/>
        <v>#DIV/0!</v>
      </c>
      <c r="V214" s="24" t="str">
        <f t="shared" si="18"/>
        <v>#DIV/0!</v>
      </c>
      <c r="W214" s="25"/>
      <c r="X214" s="25"/>
      <c r="Y214" s="25"/>
      <c r="Z214" s="25"/>
      <c r="AA214" s="25"/>
      <c r="AB214" s="25">
        <f t="shared" si="4"/>
        <v>0</v>
      </c>
      <c r="AC214" s="25"/>
      <c r="AD214" s="25"/>
      <c r="AE214" s="25"/>
      <c r="AF214" s="25"/>
      <c r="AG214" s="25"/>
    </row>
    <row r="215">
      <c r="A215" s="25"/>
      <c r="B215" s="25"/>
      <c r="C215" s="25"/>
      <c r="D215" s="25"/>
      <c r="E215" s="25"/>
      <c r="F215" s="25"/>
      <c r="G215" s="25"/>
      <c r="H215" s="46"/>
      <c r="I215" s="52"/>
      <c r="J215" s="46"/>
      <c r="K215" s="52"/>
      <c r="L215" s="46"/>
      <c r="M215" s="52"/>
      <c r="N215" s="53"/>
      <c r="O215" s="25"/>
      <c r="P215" s="55"/>
      <c r="Q215" s="34"/>
      <c r="R215" s="54"/>
      <c r="S215" s="55"/>
      <c r="T215" s="25"/>
      <c r="U215" s="24" t="str">
        <f t="shared" si="17"/>
        <v>#DIV/0!</v>
      </c>
      <c r="V215" s="24" t="str">
        <f t="shared" si="18"/>
        <v>#DIV/0!</v>
      </c>
      <c r="W215" s="25"/>
      <c r="X215" s="25"/>
      <c r="Y215" s="25"/>
      <c r="Z215" s="25"/>
      <c r="AA215" s="25"/>
      <c r="AB215" s="25">
        <f t="shared" si="4"/>
        <v>0</v>
      </c>
      <c r="AC215" s="25"/>
      <c r="AD215" s="25"/>
      <c r="AE215" s="25"/>
      <c r="AF215" s="25"/>
      <c r="AG215" s="25"/>
    </row>
    <row r="216">
      <c r="A216" s="25"/>
      <c r="B216" s="25"/>
      <c r="C216" s="25"/>
      <c r="D216" s="25"/>
      <c r="E216" s="25"/>
      <c r="F216" s="25"/>
      <c r="G216" s="25"/>
      <c r="H216" s="46"/>
      <c r="I216" s="52"/>
      <c r="J216" s="46"/>
      <c r="K216" s="52"/>
      <c r="L216" s="46"/>
      <c r="M216" s="52"/>
      <c r="N216" s="53"/>
      <c r="O216" s="25"/>
      <c r="P216" s="55"/>
      <c r="Q216" s="34"/>
      <c r="R216" s="54"/>
      <c r="S216" s="55"/>
      <c r="T216" s="25"/>
      <c r="U216" s="24" t="str">
        <f t="shared" si="17"/>
        <v>#DIV/0!</v>
      </c>
      <c r="V216" s="24" t="str">
        <f t="shared" si="18"/>
        <v>#DIV/0!</v>
      </c>
      <c r="W216" s="25"/>
      <c r="X216" s="25"/>
      <c r="Y216" s="25"/>
      <c r="Z216" s="25"/>
      <c r="AA216" s="25"/>
      <c r="AB216" s="25">
        <f t="shared" si="4"/>
        <v>0</v>
      </c>
      <c r="AC216" s="25"/>
      <c r="AD216" s="25"/>
      <c r="AE216" s="25"/>
      <c r="AF216" s="25"/>
      <c r="AG216" s="25"/>
    </row>
    <row r="217">
      <c r="A217" s="25"/>
      <c r="B217" s="25"/>
      <c r="C217" s="25"/>
      <c r="D217" s="25"/>
      <c r="E217" s="25"/>
      <c r="F217" s="25"/>
      <c r="G217" s="25"/>
      <c r="H217" s="46"/>
      <c r="I217" s="52"/>
      <c r="J217" s="46"/>
      <c r="K217" s="52"/>
      <c r="L217" s="46"/>
      <c r="M217" s="52"/>
      <c r="N217" s="53"/>
      <c r="O217" s="25"/>
      <c r="P217" s="55"/>
      <c r="Q217" s="34"/>
      <c r="R217" s="54"/>
      <c r="S217" s="55"/>
      <c r="T217" s="25"/>
      <c r="U217" s="24" t="str">
        <f t="shared" si="17"/>
        <v>#DIV/0!</v>
      </c>
      <c r="V217" s="24" t="str">
        <f t="shared" si="18"/>
        <v>#DIV/0!</v>
      </c>
      <c r="W217" s="25"/>
      <c r="X217" s="25"/>
      <c r="Y217" s="25"/>
      <c r="Z217" s="25"/>
      <c r="AA217" s="25"/>
      <c r="AB217" s="25">
        <f t="shared" si="4"/>
        <v>0</v>
      </c>
      <c r="AC217" s="25"/>
      <c r="AD217" s="25"/>
      <c r="AE217" s="25"/>
      <c r="AF217" s="25"/>
      <c r="AG217" s="25"/>
    </row>
    <row r="218">
      <c r="A218" s="25"/>
      <c r="B218" s="25"/>
      <c r="C218" s="25"/>
      <c r="D218" s="25"/>
      <c r="E218" s="25"/>
      <c r="F218" s="25"/>
      <c r="G218" s="25"/>
      <c r="H218" s="46"/>
      <c r="I218" s="52"/>
      <c r="J218" s="46"/>
      <c r="K218" s="52"/>
      <c r="L218" s="46"/>
      <c r="M218" s="52"/>
      <c r="N218" s="53"/>
      <c r="O218" s="25"/>
      <c r="P218" s="55"/>
      <c r="Q218" s="34"/>
      <c r="R218" s="54"/>
      <c r="S218" s="55"/>
      <c r="T218" s="25"/>
      <c r="U218" s="24" t="str">
        <f t="shared" si="17"/>
        <v>#DIV/0!</v>
      </c>
      <c r="V218" s="24" t="str">
        <f t="shared" si="18"/>
        <v>#DIV/0!</v>
      </c>
      <c r="W218" s="25"/>
      <c r="X218" s="25"/>
      <c r="Y218" s="25"/>
      <c r="Z218" s="25"/>
      <c r="AA218" s="25"/>
      <c r="AB218" s="25">
        <f t="shared" si="4"/>
        <v>0</v>
      </c>
      <c r="AC218" s="25"/>
      <c r="AD218" s="25"/>
      <c r="AE218" s="25"/>
      <c r="AF218" s="25"/>
      <c r="AG218" s="25"/>
    </row>
    <row r="219">
      <c r="A219" s="25"/>
      <c r="B219" s="25"/>
      <c r="C219" s="25"/>
      <c r="D219" s="25"/>
      <c r="E219" s="25"/>
      <c r="F219" s="25"/>
      <c r="G219" s="25"/>
      <c r="H219" s="46"/>
      <c r="I219" s="52"/>
      <c r="J219" s="46"/>
      <c r="K219" s="52"/>
      <c r="L219" s="46"/>
      <c r="M219" s="52"/>
      <c r="N219" s="53"/>
      <c r="O219" s="25"/>
      <c r="P219" s="55"/>
      <c r="Q219" s="34"/>
      <c r="R219" s="54"/>
      <c r="S219" s="55"/>
      <c r="T219" s="25"/>
      <c r="U219" s="24" t="str">
        <f t="shared" si="17"/>
        <v>#DIV/0!</v>
      </c>
      <c r="V219" s="24" t="str">
        <f t="shared" si="18"/>
        <v>#DIV/0!</v>
      </c>
      <c r="W219" s="25"/>
      <c r="X219" s="25"/>
      <c r="Y219" s="25"/>
      <c r="Z219" s="25"/>
      <c r="AA219" s="25"/>
      <c r="AB219" s="25">
        <f t="shared" si="4"/>
        <v>0</v>
      </c>
      <c r="AC219" s="25"/>
      <c r="AD219" s="25"/>
      <c r="AE219" s="25"/>
      <c r="AF219" s="25"/>
      <c r="AG219" s="25"/>
    </row>
    <row r="220">
      <c r="A220" s="25"/>
      <c r="B220" s="25"/>
      <c r="C220" s="25"/>
      <c r="D220" s="25"/>
      <c r="E220" s="25"/>
      <c r="F220" s="25"/>
      <c r="G220" s="25"/>
      <c r="H220" s="46"/>
      <c r="I220" s="52"/>
      <c r="J220" s="46"/>
      <c r="K220" s="52"/>
      <c r="L220" s="46"/>
      <c r="M220" s="52"/>
      <c r="N220" s="53"/>
      <c r="O220" s="25"/>
      <c r="P220" s="55"/>
      <c r="Q220" s="34"/>
      <c r="R220" s="54"/>
      <c r="S220" s="55"/>
      <c r="T220" s="25"/>
      <c r="U220" s="24" t="str">
        <f t="shared" si="17"/>
        <v>#DIV/0!</v>
      </c>
      <c r="V220" s="24" t="str">
        <f t="shared" si="18"/>
        <v>#DIV/0!</v>
      </c>
      <c r="W220" s="25"/>
      <c r="X220" s="25"/>
      <c r="Y220" s="25"/>
      <c r="Z220" s="25"/>
      <c r="AA220" s="25"/>
      <c r="AB220" s="25">
        <f t="shared" si="4"/>
        <v>0</v>
      </c>
      <c r="AC220" s="25"/>
      <c r="AD220" s="25"/>
      <c r="AE220" s="25"/>
      <c r="AF220" s="25"/>
      <c r="AG220" s="25"/>
    </row>
    <row r="221">
      <c r="A221" s="25"/>
      <c r="B221" s="25"/>
      <c r="C221" s="25"/>
      <c r="D221" s="25"/>
      <c r="E221" s="25"/>
      <c r="F221" s="25"/>
      <c r="G221" s="25"/>
      <c r="H221" s="46"/>
      <c r="I221" s="52"/>
      <c r="J221" s="46"/>
      <c r="K221" s="52"/>
      <c r="L221" s="46"/>
      <c r="M221" s="52"/>
      <c r="N221" s="53"/>
      <c r="O221" s="25"/>
      <c r="P221" s="55"/>
      <c r="Q221" s="34"/>
      <c r="R221" s="54"/>
      <c r="S221" s="55"/>
      <c r="T221" s="25"/>
      <c r="U221" s="24" t="str">
        <f t="shared" si="17"/>
        <v>#DIV/0!</v>
      </c>
      <c r="V221" s="24" t="str">
        <f t="shared" si="18"/>
        <v>#DIV/0!</v>
      </c>
      <c r="W221" s="25"/>
      <c r="X221" s="25"/>
      <c r="Y221" s="25"/>
      <c r="Z221" s="25"/>
      <c r="AA221" s="25"/>
      <c r="AB221" s="25">
        <f t="shared" si="4"/>
        <v>0</v>
      </c>
      <c r="AC221" s="25"/>
      <c r="AD221" s="25"/>
      <c r="AE221" s="25"/>
      <c r="AF221" s="25"/>
      <c r="AG221" s="25"/>
    </row>
    <row r="222">
      <c r="A222" s="25"/>
      <c r="B222" s="25"/>
      <c r="C222" s="25"/>
      <c r="D222" s="25"/>
      <c r="E222" s="25"/>
      <c r="F222" s="25"/>
      <c r="G222" s="25"/>
      <c r="H222" s="46"/>
      <c r="I222" s="52"/>
      <c r="J222" s="46"/>
      <c r="K222" s="52"/>
      <c r="L222" s="46"/>
      <c r="M222" s="52"/>
      <c r="N222" s="53"/>
      <c r="O222" s="25"/>
      <c r="P222" s="55"/>
      <c r="Q222" s="34"/>
      <c r="R222" s="54"/>
      <c r="S222" s="55"/>
      <c r="T222" s="25"/>
      <c r="U222" s="24" t="str">
        <f t="shared" si="17"/>
        <v>#DIV/0!</v>
      </c>
      <c r="V222" s="24" t="str">
        <f t="shared" si="18"/>
        <v>#DIV/0!</v>
      </c>
      <c r="W222" s="25"/>
      <c r="X222" s="25"/>
      <c r="Y222" s="25"/>
      <c r="Z222" s="25"/>
      <c r="AA222" s="25"/>
      <c r="AB222" s="25">
        <f t="shared" si="4"/>
        <v>0</v>
      </c>
      <c r="AC222" s="25"/>
      <c r="AD222" s="25"/>
      <c r="AE222" s="25"/>
      <c r="AF222" s="25"/>
      <c r="AG222" s="25"/>
    </row>
    <row r="223">
      <c r="A223" s="25"/>
      <c r="B223" s="25"/>
      <c r="C223" s="25"/>
      <c r="D223" s="25"/>
      <c r="E223" s="25"/>
      <c r="F223" s="25"/>
      <c r="G223" s="25"/>
      <c r="H223" s="46"/>
      <c r="I223" s="52"/>
      <c r="J223" s="46"/>
      <c r="K223" s="52"/>
      <c r="L223" s="46"/>
      <c r="M223" s="52"/>
      <c r="N223" s="53"/>
      <c r="O223" s="25"/>
      <c r="P223" s="55"/>
      <c r="Q223" s="34"/>
      <c r="R223" s="54"/>
      <c r="S223" s="55"/>
      <c r="T223" s="25"/>
      <c r="U223" s="24" t="str">
        <f t="shared" si="17"/>
        <v>#DIV/0!</v>
      </c>
      <c r="V223" s="24" t="str">
        <f t="shared" si="18"/>
        <v>#DIV/0!</v>
      </c>
      <c r="W223" s="25"/>
      <c r="X223" s="25"/>
      <c r="Y223" s="25"/>
      <c r="Z223" s="25"/>
      <c r="AA223" s="25"/>
      <c r="AB223" s="25">
        <f t="shared" si="4"/>
        <v>0</v>
      </c>
      <c r="AC223" s="25"/>
      <c r="AD223" s="25"/>
      <c r="AE223" s="25"/>
      <c r="AF223" s="25"/>
      <c r="AG223" s="25"/>
    </row>
    <row r="224">
      <c r="A224" s="25"/>
      <c r="B224" s="25"/>
      <c r="C224" s="25"/>
      <c r="D224" s="25"/>
      <c r="E224" s="25"/>
      <c r="F224" s="25"/>
      <c r="G224" s="25"/>
      <c r="H224" s="46"/>
      <c r="I224" s="52"/>
      <c r="J224" s="46"/>
      <c r="K224" s="52"/>
      <c r="L224" s="46"/>
      <c r="M224" s="52"/>
      <c r="N224" s="53"/>
      <c r="O224" s="25"/>
      <c r="P224" s="55"/>
      <c r="Q224" s="34"/>
      <c r="R224" s="54"/>
      <c r="S224" s="55"/>
      <c r="T224" s="25"/>
      <c r="U224" s="24" t="str">
        <f t="shared" si="17"/>
        <v>#DIV/0!</v>
      </c>
      <c r="V224" s="24" t="str">
        <f t="shared" si="18"/>
        <v>#DIV/0!</v>
      </c>
      <c r="W224" s="25"/>
      <c r="X224" s="25"/>
      <c r="Y224" s="25"/>
      <c r="Z224" s="25"/>
      <c r="AA224" s="25"/>
      <c r="AB224" s="25">
        <f t="shared" si="4"/>
        <v>0</v>
      </c>
      <c r="AC224" s="25"/>
      <c r="AD224" s="25"/>
      <c r="AE224" s="25"/>
      <c r="AF224" s="25"/>
      <c r="AG224" s="25"/>
    </row>
    <row r="225">
      <c r="A225" s="25"/>
      <c r="B225" s="25"/>
      <c r="C225" s="25"/>
      <c r="D225" s="25"/>
      <c r="E225" s="25"/>
      <c r="F225" s="25"/>
      <c r="G225" s="25"/>
      <c r="H225" s="46"/>
      <c r="I225" s="52"/>
      <c r="J225" s="46"/>
      <c r="K225" s="52"/>
      <c r="L225" s="46"/>
      <c r="M225" s="52"/>
      <c r="N225" s="53"/>
      <c r="O225" s="25"/>
      <c r="P225" s="55"/>
      <c r="Q225" s="34"/>
      <c r="R225" s="54"/>
      <c r="S225" s="55"/>
      <c r="T225" s="25"/>
      <c r="U225" s="24" t="str">
        <f t="shared" si="17"/>
        <v>#DIV/0!</v>
      </c>
      <c r="V225" s="24" t="str">
        <f t="shared" si="18"/>
        <v>#DIV/0!</v>
      </c>
      <c r="W225" s="25"/>
      <c r="X225" s="25"/>
      <c r="Y225" s="25"/>
      <c r="Z225" s="25"/>
      <c r="AA225" s="25"/>
      <c r="AB225" s="25">
        <f t="shared" si="4"/>
        <v>0</v>
      </c>
      <c r="AC225" s="25"/>
      <c r="AD225" s="25"/>
      <c r="AE225" s="25"/>
      <c r="AF225" s="25"/>
      <c r="AG225" s="25"/>
    </row>
    <row r="226">
      <c r="A226" s="25"/>
      <c r="B226" s="25"/>
      <c r="C226" s="25"/>
      <c r="D226" s="25"/>
      <c r="E226" s="25"/>
      <c r="F226" s="25"/>
      <c r="G226" s="25"/>
      <c r="H226" s="46"/>
      <c r="I226" s="52"/>
      <c r="J226" s="46"/>
      <c r="K226" s="52"/>
      <c r="L226" s="46"/>
      <c r="M226" s="52"/>
      <c r="N226" s="53"/>
      <c r="O226" s="25"/>
      <c r="P226" s="55"/>
      <c r="Q226" s="34"/>
      <c r="R226" s="54"/>
      <c r="S226" s="55"/>
      <c r="T226" s="25"/>
      <c r="U226" s="25"/>
      <c r="V226" s="24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</row>
    <row r="227">
      <c r="A227" s="25"/>
      <c r="B227" s="25"/>
      <c r="C227" s="25"/>
      <c r="D227" s="25"/>
      <c r="E227" s="25"/>
      <c r="F227" s="25"/>
      <c r="G227" s="25"/>
      <c r="H227" s="46"/>
      <c r="I227" s="52"/>
      <c r="J227" s="46"/>
      <c r="K227" s="52"/>
      <c r="L227" s="46"/>
      <c r="M227" s="52"/>
      <c r="N227" s="53"/>
      <c r="O227" s="25"/>
      <c r="P227" s="55"/>
      <c r="Q227" s="34"/>
      <c r="R227" s="54"/>
      <c r="S227" s="55"/>
      <c r="T227" s="25"/>
      <c r="U227" s="25"/>
      <c r="V227" s="24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</row>
    <row r="228">
      <c r="A228" s="25"/>
      <c r="B228" s="25"/>
      <c r="C228" s="25"/>
      <c r="D228" s="25"/>
      <c r="E228" s="25"/>
      <c r="F228" s="25"/>
      <c r="G228" s="25"/>
      <c r="H228" s="46"/>
      <c r="I228" s="52"/>
      <c r="J228" s="46"/>
      <c r="K228" s="52"/>
      <c r="L228" s="46"/>
      <c r="M228" s="52"/>
      <c r="N228" s="53"/>
      <c r="O228" s="25"/>
      <c r="P228" s="55"/>
      <c r="Q228" s="34"/>
      <c r="R228" s="54"/>
      <c r="S228" s="55"/>
      <c r="T228" s="25"/>
      <c r="U228" s="25"/>
      <c r="V228" s="24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</row>
    <row r="229">
      <c r="A229" s="25"/>
      <c r="B229" s="25"/>
      <c r="C229" s="25"/>
      <c r="D229" s="25"/>
      <c r="E229" s="25"/>
      <c r="F229" s="25"/>
      <c r="G229" s="25"/>
      <c r="H229" s="46"/>
      <c r="I229" s="52"/>
      <c r="J229" s="46"/>
      <c r="K229" s="52"/>
      <c r="L229" s="46"/>
      <c r="M229" s="52"/>
      <c r="N229" s="53"/>
      <c r="O229" s="25"/>
      <c r="P229" s="55"/>
      <c r="Q229" s="34"/>
      <c r="R229" s="54"/>
      <c r="S229" s="55"/>
      <c r="T229" s="25"/>
      <c r="U229" s="25"/>
      <c r="V229" s="24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</row>
    <row r="230">
      <c r="A230" s="25"/>
      <c r="B230" s="25"/>
      <c r="C230" s="25"/>
      <c r="D230" s="25"/>
      <c r="E230" s="25"/>
      <c r="F230" s="25"/>
      <c r="G230" s="25"/>
      <c r="H230" s="46"/>
      <c r="I230" s="52"/>
      <c r="J230" s="46"/>
      <c r="K230" s="52"/>
      <c r="L230" s="46"/>
      <c r="M230" s="52"/>
      <c r="N230" s="53"/>
      <c r="O230" s="25"/>
      <c r="P230" s="55"/>
      <c r="Q230" s="34"/>
      <c r="R230" s="54"/>
      <c r="S230" s="55"/>
      <c r="T230" s="25"/>
      <c r="U230" s="25"/>
      <c r="V230" s="24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</row>
    <row r="231">
      <c r="A231" s="25"/>
      <c r="B231" s="25"/>
      <c r="C231" s="25"/>
      <c r="D231" s="25"/>
      <c r="E231" s="25"/>
      <c r="F231" s="25"/>
      <c r="G231" s="25"/>
      <c r="H231" s="46"/>
      <c r="I231" s="52"/>
      <c r="J231" s="46"/>
      <c r="K231" s="52"/>
      <c r="L231" s="46"/>
      <c r="M231" s="52"/>
      <c r="N231" s="53"/>
      <c r="O231" s="25"/>
      <c r="P231" s="55"/>
      <c r="Q231" s="34"/>
      <c r="R231" s="54"/>
      <c r="S231" s="55"/>
      <c r="T231" s="25"/>
      <c r="U231" s="25"/>
      <c r="V231" s="24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</row>
    <row r="232">
      <c r="A232" s="25"/>
      <c r="B232" s="25"/>
      <c r="C232" s="25"/>
      <c r="D232" s="25"/>
      <c r="E232" s="25"/>
      <c r="F232" s="25"/>
      <c r="G232" s="25"/>
      <c r="H232" s="46"/>
      <c r="I232" s="52"/>
      <c r="J232" s="46"/>
      <c r="K232" s="52"/>
      <c r="L232" s="46"/>
      <c r="M232" s="52"/>
      <c r="N232" s="53"/>
      <c r="O232" s="25"/>
      <c r="P232" s="55"/>
      <c r="Q232" s="34"/>
      <c r="R232" s="54"/>
      <c r="S232" s="55"/>
      <c r="T232" s="25"/>
      <c r="U232" s="25"/>
      <c r="V232" s="24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</row>
    <row r="233">
      <c r="A233" s="25"/>
      <c r="B233" s="25"/>
      <c r="C233" s="25"/>
      <c r="D233" s="25"/>
      <c r="E233" s="25"/>
      <c r="F233" s="25"/>
      <c r="G233" s="25"/>
      <c r="H233" s="46"/>
      <c r="I233" s="52"/>
      <c r="J233" s="46"/>
      <c r="K233" s="52"/>
      <c r="L233" s="46"/>
      <c r="M233" s="52"/>
      <c r="N233" s="53"/>
      <c r="O233" s="25"/>
      <c r="P233" s="55"/>
      <c r="Q233" s="34"/>
      <c r="R233" s="54"/>
      <c r="S233" s="55"/>
      <c r="T233" s="25"/>
      <c r="U233" s="25"/>
      <c r="V233" s="24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</row>
    <row r="234">
      <c r="A234" s="25"/>
      <c r="B234" s="25"/>
      <c r="C234" s="25"/>
      <c r="D234" s="25"/>
      <c r="E234" s="25"/>
      <c r="F234" s="25"/>
      <c r="G234" s="25"/>
      <c r="H234" s="46"/>
      <c r="I234" s="52"/>
      <c r="J234" s="46"/>
      <c r="K234" s="52"/>
      <c r="L234" s="46"/>
      <c r="M234" s="52"/>
      <c r="N234" s="53"/>
      <c r="O234" s="25"/>
      <c r="P234" s="55"/>
      <c r="Q234" s="34"/>
      <c r="R234" s="54"/>
      <c r="S234" s="55"/>
      <c r="T234" s="25"/>
      <c r="U234" s="25"/>
      <c r="V234" s="24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</row>
    <row r="235">
      <c r="A235" s="25"/>
      <c r="B235" s="25"/>
      <c r="C235" s="25"/>
      <c r="D235" s="25"/>
      <c r="E235" s="25"/>
      <c r="F235" s="25"/>
      <c r="G235" s="25"/>
      <c r="H235" s="46"/>
      <c r="I235" s="52"/>
      <c r="J235" s="46"/>
      <c r="K235" s="52"/>
      <c r="L235" s="46"/>
      <c r="M235" s="52"/>
      <c r="N235" s="53"/>
      <c r="O235" s="25"/>
      <c r="P235" s="55"/>
      <c r="Q235" s="34"/>
      <c r="R235" s="54"/>
      <c r="S235" s="55"/>
      <c r="T235" s="25"/>
      <c r="U235" s="25"/>
      <c r="V235" s="24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</row>
    <row r="236">
      <c r="A236" s="25"/>
      <c r="B236" s="25"/>
      <c r="C236" s="25"/>
      <c r="D236" s="25"/>
      <c r="E236" s="25"/>
      <c r="F236" s="25"/>
      <c r="G236" s="25"/>
      <c r="H236" s="46"/>
      <c r="I236" s="52"/>
      <c r="J236" s="46"/>
      <c r="K236" s="52"/>
      <c r="L236" s="46"/>
      <c r="M236" s="52"/>
      <c r="N236" s="53"/>
      <c r="O236" s="25"/>
      <c r="P236" s="55"/>
      <c r="Q236" s="34"/>
      <c r="R236" s="54"/>
      <c r="S236" s="55"/>
      <c r="T236" s="25"/>
      <c r="U236" s="25"/>
      <c r="V236" s="24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</row>
    <row r="237">
      <c r="A237" s="25"/>
      <c r="B237" s="25"/>
      <c r="C237" s="25"/>
      <c r="D237" s="25"/>
      <c r="E237" s="25"/>
      <c r="F237" s="25"/>
      <c r="G237" s="25"/>
      <c r="H237" s="46"/>
      <c r="I237" s="52"/>
      <c r="J237" s="46"/>
      <c r="K237" s="52"/>
      <c r="L237" s="46"/>
      <c r="M237" s="52"/>
      <c r="N237" s="53"/>
      <c r="O237" s="25"/>
      <c r="P237" s="55"/>
      <c r="Q237" s="34"/>
      <c r="R237" s="54"/>
      <c r="S237" s="55"/>
      <c r="T237" s="25"/>
      <c r="U237" s="25"/>
      <c r="V237" s="24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</row>
    <row r="238">
      <c r="A238" s="25"/>
      <c r="B238" s="25"/>
      <c r="C238" s="25"/>
      <c r="D238" s="25"/>
      <c r="E238" s="25"/>
      <c r="F238" s="25"/>
      <c r="G238" s="25"/>
      <c r="H238" s="46"/>
      <c r="I238" s="52"/>
      <c r="J238" s="46"/>
      <c r="K238" s="52"/>
      <c r="L238" s="46"/>
      <c r="M238" s="52"/>
      <c r="N238" s="53"/>
      <c r="O238" s="25"/>
      <c r="P238" s="55"/>
      <c r="Q238" s="34"/>
      <c r="R238" s="54"/>
      <c r="S238" s="55"/>
      <c r="T238" s="25"/>
      <c r="U238" s="25"/>
      <c r="V238" s="24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</row>
    <row r="239">
      <c r="A239" s="25"/>
      <c r="B239" s="25"/>
      <c r="C239" s="25"/>
      <c r="D239" s="25"/>
      <c r="E239" s="25"/>
      <c r="F239" s="25"/>
      <c r="G239" s="25"/>
      <c r="H239" s="46"/>
      <c r="I239" s="52"/>
      <c r="J239" s="46"/>
      <c r="K239" s="52"/>
      <c r="L239" s="46"/>
      <c r="M239" s="52"/>
      <c r="N239" s="53"/>
      <c r="O239" s="25"/>
      <c r="P239" s="55"/>
      <c r="Q239" s="34"/>
      <c r="R239" s="54"/>
      <c r="S239" s="55"/>
      <c r="T239" s="25"/>
      <c r="U239" s="25"/>
      <c r="V239" s="24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</row>
    <row r="240">
      <c r="A240" s="25"/>
      <c r="B240" s="25"/>
      <c r="C240" s="25"/>
      <c r="D240" s="25"/>
      <c r="E240" s="25"/>
      <c r="F240" s="25"/>
      <c r="G240" s="25"/>
      <c r="H240" s="46"/>
      <c r="I240" s="52"/>
      <c r="J240" s="46"/>
      <c r="K240" s="52"/>
      <c r="L240" s="46"/>
      <c r="M240" s="52"/>
      <c r="N240" s="53"/>
      <c r="O240" s="25"/>
      <c r="P240" s="55"/>
      <c r="Q240" s="34"/>
      <c r="R240" s="54"/>
      <c r="S240" s="55"/>
      <c r="T240" s="25"/>
      <c r="U240" s="25"/>
      <c r="V240" s="24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</row>
    <row r="241">
      <c r="A241" s="25"/>
      <c r="B241" s="25"/>
      <c r="C241" s="25"/>
      <c r="D241" s="25"/>
      <c r="E241" s="25"/>
      <c r="F241" s="25"/>
      <c r="G241" s="25"/>
      <c r="H241" s="46"/>
      <c r="I241" s="52"/>
      <c r="J241" s="46"/>
      <c r="K241" s="52"/>
      <c r="L241" s="46"/>
      <c r="M241" s="52"/>
      <c r="N241" s="53"/>
      <c r="O241" s="25"/>
      <c r="P241" s="55"/>
      <c r="Q241" s="34"/>
      <c r="R241" s="54"/>
      <c r="S241" s="55"/>
      <c r="T241" s="25"/>
      <c r="U241" s="25"/>
      <c r="V241" s="24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</row>
    <row r="242">
      <c r="A242" s="25"/>
      <c r="B242" s="25"/>
      <c r="C242" s="25"/>
      <c r="D242" s="25"/>
      <c r="E242" s="25"/>
      <c r="F242" s="25"/>
      <c r="G242" s="25"/>
      <c r="H242" s="46"/>
      <c r="I242" s="52"/>
      <c r="J242" s="46"/>
      <c r="K242" s="52"/>
      <c r="L242" s="46"/>
      <c r="M242" s="52"/>
      <c r="N242" s="53"/>
      <c r="O242" s="25"/>
      <c r="P242" s="55"/>
      <c r="Q242" s="34"/>
      <c r="R242" s="54"/>
      <c r="S242" s="55"/>
      <c r="T242" s="25"/>
      <c r="U242" s="25"/>
      <c r="V242" s="24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</row>
    <row r="243">
      <c r="A243" s="25"/>
      <c r="B243" s="25"/>
      <c r="C243" s="25"/>
      <c r="D243" s="25"/>
      <c r="E243" s="25"/>
      <c r="F243" s="25"/>
      <c r="G243" s="25"/>
      <c r="H243" s="46"/>
      <c r="I243" s="52"/>
      <c r="J243" s="46"/>
      <c r="K243" s="52"/>
      <c r="L243" s="46"/>
      <c r="M243" s="52"/>
      <c r="N243" s="53"/>
      <c r="O243" s="25"/>
      <c r="P243" s="55"/>
      <c r="Q243" s="34"/>
      <c r="R243" s="54"/>
      <c r="S243" s="55"/>
      <c r="T243" s="25"/>
      <c r="U243" s="25"/>
      <c r="V243" s="24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</row>
    <row r="244">
      <c r="A244" s="25"/>
      <c r="B244" s="25"/>
      <c r="C244" s="25"/>
      <c r="D244" s="25"/>
      <c r="E244" s="25"/>
      <c r="F244" s="25"/>
      <c r="G244" s="25"/>
      <c r="H244" s="46"/>
      <c r="I244" s="52"/>
      <c r="J244" s="46"/>
      <c r="K244" s="52"/>
      <c r="L244" s="46"/>
      <c r="M244" s="52"/>
      <c r="N244" s="53"/>
      <c r="O244" s="25"/>
      <c r="P244" s="55"/>
      <c r="Q244" s="34"/>
      <c r="R244" s="54"/>
      <c r="S244" s="55"/>
      <c r="T244" s="25"/>
      <c r="U244" s="25"/>
      <c r="V244" s="24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</row>
    <row r="245">
      <c r="A245" s="25"/>
      <c r="B245" s="25"/>
      <c r="C245" s="25"/>
      <c r="D245" s="25"/>
      <c r="E245" s="25"/>
      <c r="F245" s="25"/>
      <c r="G245" s="25"/>
      <c r="H245" s="46"/>
      <c r="I245" s="52"/>
      <c r="J245" s="46"/>
      <c r="K245" s="52"/>
      <c r="L245" s="46"/>
      <c r="M245" s="52"/>
      <c r="N245" s="53"/>
      <c r="O245" s="25"/>
      <c r="P245" s="55"/>
      <c r="Q245" s="34"/>
      <c r="R245" s="54"/>
      <c r="S245" s="55"/>
      <c r="T245" s="25"/>
      <c r="U245" s="25"/>
      <c r="V245" s="24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</row>
    <row r="246">
      <c r="A246" s="25"/>
      <c r="B246" s="25"/>
      <c r="C246" s="25"/>
      <c r="D246" s="25"/>
      <c r="E246" s="25"/>
      <c r="F246" s="25"/>
      <c r="G246" s="25"/>
      <c r="H246" s="46"/>
      <c r="I246" s="52"/>
      <c r="J246" s="46"/>
      <c r="K246" s="52"/>
      <c r="L246" s="46"/>
      <c r="M246" s="52"/>
      <c r="N246" s="53"/>
      <c r="O246" s="25"/>
      <c r="P246" s="55"/>
      <c r="Q246" s="34"/>
      <c r="R246" s="54"/>
      <c r="S246" s="55"/>
      <c r="T246" s="25"/>
      <c r="U246" s="25"/>
      <c r="V246" s="24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</row>
    <row r="247">
      <c r="A247" s="25"/>
      <c r="B247" s="25"/>
      <c r="C247" s="25"/>
      <c r="D247" s="25"/>
      <c r="E247" s="25"/>
      <c r="F247" s="25"/>
      <c r="G247" s="25"/>
      <c r="H247" s="46"/>
      <c r="I247" s="52"/>
      <c r="J247" s="46"/>
      <c r="K247" s="52"/>
      <c r="L247" s="46"/>
      <c r="M247" s="52"/>
      <c r="N247" s="53"/>
      <c r="O247" s="25"/>
      <c r="P247" s="55"/>
      <c r="Q247" s="34"/>
      <c r="R247" s="54"/>
      <c r="S247" s="55"/>
      <c r="T247" s="25"/>
      <c r="U247" s="25"/>
      <c r="V247" s="24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</row>
    <row r="248">
      <c r="A248" s="25"/>
      <c r="B248" s="25"/>
      <c r="C248" s="25"/>
      <c r="D248" s="25"/>
      <c r="E248" s="25"/>
      <c r="F248" s="25"/>
      <c r="G248" s="25"/>
      <c r="H248" s="46"/>
      <c r="I248" s="52"/>
      <c r="J248" s="46"/>
      <c r="K248" s="52"/>
      <c r="L248" s="46"/>
      <c r="M248" s="52"/>
      <c r="N248" s="53"/>
      <c r="O248" s="25"/>
      <c r="P248" s="55"/>
      <c r="Q248" s="34"/>
      <c r="R248" s="54"/>
      <c r="S248" s="55"/>
      <c r="T248" s="25"/>
      <c r="U248" s="25"/>
      <c r="V248" s="24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</row>
    <row r="249">
      <c r="A249" s="25"/>
      <c r="B249" s="25"/>
      <c r="C249" s="25"/>
      <c r="D249" s="25"/>
      <c r="E249" s="25"/>
      <c r="F249" s="25"/>
      <c r="G249" s="25"/>
      <c r="H249" s="46"/>
      <c r="I249" s="52"/>
      <c r="J249" s="46"/>
      <c r="K249" s="52"/>
      <c r="L249" s="46"/>
      <c r="M249" s="52"/>
      <c r="N249" s="53"/>
      <c r="O249" s="25"/>
      <c r="P249" s="55"/>
      <c r="Q249" s="34"/>
      <c r="R249" s="54"/>
      <c r="S249" s="55"/>
      <c r="T249" s="25"/>
      <c r="U249" s="25"/>
      <c r="V249" s="24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</row>
    <row r="250">
      <c r="A250" s="25"/>
      <c r="B250" s="25"/>
      <c r="C250" s="25"/>
      <c r="D250" s="25"/>
      <c r="E250" s="25"/>
      <c r="F250" s="25"/>
      <c r="G250" s="25"/>
      <c r="H250" s="46"/>
      <c r="I250" s="52"/>
      <c r="J250" s="46"/>
      <c r="K250" s="52"/>
      <c r="L250" s="46"/>
      <c r="M250" s="52"/>
      <c r="N250" s="53"/>
      <c r="O250" s="25"/>
      <c r="P250" s="55"/>
      <c r="Q250" s="34"/>
      <c r="R250" s="54"/>
      <c r="S250" s="55"/>
      <c r="T250" s="25"/>
      <c r="U250" s="25"/>
      <c r="V250" s="24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</row>
    <row r="251">
      <c r="A251" s="25"/>
      <c r="B251" s="25"/>
      <c r="C251" s="25"/>
      <c r="D251" s="25"/>
      <c r="E251" s="25"/>
      <c r="F251" s="25"/>
      <c r="G251" s="25"/>
      <c r="H251" s="46"/>
      <c r="I251" s="52"/>
      <c r="J251" s="46"/>
      <c r="K251" s="52"/>
      <c r="L251" s="46"/>
      <c r="M251" s="52"/>
      <c r="N251" s="53"/>
      <c r="O251" s="25"/>
      <c r="P251" s="55"/>
      <c r="Q251" s="34"/>
      <c r="R251" s="54"/>
      <c r="S251" s="55"/>
      <c r="T251" s="25"/>
      <c r="U251" s="25"/>
      <c r="V251" s="24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</row>
    <row r="252">
      <c r="A252" s="25"/>
      <c r="B252" s="25"/>
      <c r="C252" s="25"/>
      <c r="D252" s="25"/>
      <c r="E252" s="25"/>
      <c r="F252" s="25"/>
      <c r="G252" s="25"/>
      <c r="H252" s="46"/>
      <c r="I252" s="52"/>
      <c r="J252" s="46"/>
      <c r="K252" s="52"/>
      <c r="L252" s="46"/>
      <c r="M252" s="52"/>
      <c r="N252" s="53"/>
      <c r="O252" s="25"/>
      <c r="P252" s="55"/>
      <c r="Q252" s="34"/>
      <c r="R252" s="54"/>
      <c r="S252" s="55"/>
      <c r="T252" s="25"/>
      <c r="U252" s="25"/>
      <c r="V252" s="24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</row>
    <row r="253">
      <c r="A253" s="25"/>
      <c r="B253" s="25"/>
      <c r="C253" s="25"/>
      <c r="D253" s="25"/>
      <c r="E253" s="25"/>
      <c r="F253" s="25"/>
      <c r="G253" s="25"/>
      <c r="H253" s="46"/>
      <c r="I253" s="52"/>
      <c r="J253" s="46"/>
      <c r="K253" s="52"/>
      <c r="L253" s="46"/>
      <c r="M253" s="52"/>
      <c r="N253" s="53"/>
      <c r="O253" s="25"/>
      <c r="P253" s="55"/>
      <c r="Q253" s="34"/>
      <c r="R253" s="54"/>
      <c r="S253" s="55"/>
      <c r="T253" s="25"/>
      <c r="U253" s="25"/>
      <c r="V253" s="24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</row>
    <row r="254">
      <c r="A254" s="25"/>
      <c r="B254" s="25"/>
      <c r="C254" s="25"/>
      <c r="D254" s="25"/>
      <c r="E254" s="25"/>
      <c r="F254" s="25"/>
      <c r="G254" s="25"/>
      <c r="H254" s="46"/>
      <c r="I254" s="52"/>
      <c r="J254" s="46"/>
      <c r="K254" s="52"/>
      <c r="L254" s="46"/>
      <c r="M254" s="52"/>
      <c r="N254" s="53"/>
      <c r="O254" s="25"/>
      <c r="P254" s="55"/>
      <c r="Q254" s="34"/>
      <c r="R254" s="54"/>
      <c r="S254" s="55"/>
      <c r="T254" s="25"/>
      <c r="U254" s="25"/>
      <c r="V254" s="24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</row>
    <row r="255">
      <c r="A255" s="25"/>
      <c r="B255" s="25"/>
      <c r="C255" s="25"/>
      <c r="D255" s="25"/>
      <c r="E255" s="25"/>
      <c r="F255" s="25"/>
      <c r="G255" s="25"/>
      <c r="H255" s="46"/>
      <c r="I255" s="52"/>
      <c r="J255" s="46"/>
      <c r="K255" s="52"/>
      <c r="L255" s="46"/>
      <c r="M255" s="52"/>
      <c r="N255" s="53"/>
      <c r="O255" s="25"/>
      <c r="P255" s="55"/>
      <c r="Q255" s="34"/>
      <c r="R255" s="54"/>
      <c r="S255" s="55"/>
      <c r="T255" s="25"/>
      <c r="U255" s="25"/>
      <c r="V255" s="24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</row>
    <row r="256">
      <c r="A256" s="25"/>
      <c r="B256" s="25"/>
      <c r="C256" s="25"/>
      <c r="D256" s="25"/>
      <c r="E256" s="25"/>
      <c r="F256" s="25"/>
      <c r="G256" s="25"/>
      <c r="H256" s="46"/>
      <c r="I256" s="52"/>
      <c r="J256" s="46"/>
      <c r="K256" s="52"/>
      <c r="L256" s="46"/>
      <c r="M256" s="52"/>
      <c r="N256" s="53"/>
      <c r="O256" s="25"/>
      <c r="P256" s="55"/>
      <c r="Q256" s="34"/>
      <c r="R256" s="54"/>
      <c r="S256" s="55"/>
      <c r="T256" s="25"/>
      <c r="U256" s="25"/>
      <c r="V256" s="24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</row>
    <row r="257">
      <c r="A257" s="25"/>
      <c r="B257" s="25"/>
      <c r="C257" s="25"/>
      <c r="D257" s="25"/>
      <c r="E257" s="25"/>
      <c r="F257" s="25"/>
      <c r="G257" s="25"/>
      <c r="H257" s="46"/>
      <c r="I257" s="52"/>
      <c r="J257" s="46"/>
      <c r="K257" s="52"/>
      <c r="L257" s="46"/>
      <c r="M257" s="52"/>
      <c r="N257" s="53"/>
      <c r="O257" s="25"/>
      <c r="P257" s="55"/>
      <c r="Q257" s="34"/>
      <c r="R257" s="54"/>
      <c r="S257" s="55"/>
      <c r="T257" s="25"/>
      <c r="U257" s="25"/>
      <c r="V257" s="24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</row>
    <row r="258">
      <c r="A258" s="25"/>
      <c r="B258" s="25"/>
      <c r="C258" s="25"/>
      <c r="D258" s="25"/>
      <c r="E258" s="25"/>
      <c r="F258" s="25"/>
      <c r="G258" s="25"/>
      <c r="H258" s="46"/>
      <c r="I258" s="52"/>
      <c r="J258" s="46"/>
      <c r="K258" s="52"/>
      <c r="L258" s="46"/>
      <c r="M258" s="52"/>
      <c r="N258" s="53"/>
      <c r="O258" s="25"/>
      <c r="P258" s="55"/>
      <c r="Q258" s="34"/>
      <c r="R258" s="54"/>
      <c r="S258" s="55"/>
      <c r="T258" s="25"/>
      <c r="U258" s="25"/>
      <c r="V258" s="24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</row>
    <row r="259">
      <c r="A259" s="25"/>
      <c r="B259" s="25"/>
      <c r="C259" s="25"/>
      <c r="D259" s="25"/>
      <c r="E259" s="25"/>
      <c r="F259" s="25"/>
      <c r="G259" s="25"/>
      <c r="H259" s="46"/>
      <c r="I259" s="52"/>
      <c r="J259" s="46"/>
      <c r="K259" s="52"/>
      <c r="L259" s="46"/>
      <c r="M259" s="52"/>
      <c r="N259" s="53"/>
      <c r="O259" s="25"/>
      <c r="P259" s="55"/>
      <c r="Q259" s="34"/>
      <c r="R259" s="54"/>
      <c r="S259" s="55"/>
      <c r="T259" s="25"/>
      <c r="U259" s="25"/>
      <c r="V259" s="24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</row>
    <row r="260">
      <c r="A260" s="25"/>
      <c r="B260" s="25"/>
      <c r="C260" s="25"/>
      <c r="D260" s="25"/>
      <c r="E260" s="25"/>
      <c r="F260" s="25"/>
      <c r="G260" s="25"/>
      <c r="H260" s="46"/>
      <c r="I260" s="52"/>
      <c r="J260" s="46"/>
      <c r="K260" s="52"/>
      <c r="L260" s="46"/>
      <c r="M260" s="52"/>
      <c r="N260" s="53"/>
      <c r="O260" s="25"/>
      <c r="P260" s="55"/>
      <c r="Q260" s="34"/>
      <c r="R260" s="54"/>
      <c r="S260" s="55"/>
      <c r="T260" s="25"/>
      <c r="U260" s="25"/>
      <c r="V260" s="24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</row>
    <row r="261">
      <c r="A261" s="25"/>
      <c r="B261" s="25"/>
      <c r="C261" s="25"/>
      <c r="D261" s="25"/>
      <c r="E261" s="25"/>
      <c r="F261" s="25"/>
      <c r="G261" s="25"/>
      <c r="H261" s="46"/>
      <c r="I261" s="52"/>
      <c r="J261" s="46"/>
      <c r="K261" s="52"/>
      <c r="L261" s="46"/>
      <c r="M261" s="52"/>
      <c r="N261" s="53"/>
      <c r="O261" s="25"/>
      <c r="P261" s="55"/>
      <c r="Q261" s="34"/>
      <c r="R261" s="54"/>
      <c r="S261" s="55"/>
      <c r="T261" s="25"/>
      <c r="U261" s="25"/>
      <c r="V261" s="24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</row>
    <row r="262">
      <c r="A262" s="25"/>
      <c r="B262" s="25"/>
      <c r="C262" s="25"/>
      <c r="D262" s="25"/>
      <c r="E262" s="25"/>
      <c r="F262" s="25"/>
      <c r="G262" s="25"/>
      <c r="H262" s="46"/>
      <c r="I262" s="52"/>
      <c r="J262" s="46"/>
      <c r="K262" s="52"/>
      <c r="L262" s="46"/>
      <c r="M262" s="52"/>
      <c r="N262" s="53"/>
      <c r="O262" s="25"/>
      <c r="P262" s="55"/>
      <c r="Q262" s="34"/>
      <c r="R262" s="54"/>
      <c r="S262" s="55"/>
      <c r="T262" s="25"/>
      <c r="U262" s="25"/>
      <c r="V262" s="24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</row>
    <row r="263">
      <c r="A263" s="25"/>
      <c r="B263" s="25"/>
      <c r="C263" s="25"/>
      <c r="D263" s="25"/>
      <c r="E263" s="25"/>
      <c r="F263" s="25"/>
      <c r="G263" s="25"/>
      <c r="H263" s="46"/>
      <c r="I263" s="52"/>
      <c r="J263" s="46"/>
      <c r="K263" s="52"/>
      <c r="L263" s="46"/>
      <c r="M263" s="52"/>
      <c r="N263" s="53"/>
      <c r="O263" s="25"/>
      <c r="P263" s="55"/>
      <c r="Q263" s="34"/>
      <c r="R263" s="54"/>
      <c r="S263" s="55"/>
      <c r="T263" s="25"/>
      <c r="U263" s="25"/>
      <c r="V263" s="24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</row>
    <row r="264">
      <c r="A264" s="25"/>
      <c r="B264" s="25"/>
      <c r="C264" s="25"/>
      <c r="D264" s="25"/>
      <c r="E264" s="25"/>
      <c r="F264" s="25"/>
      <c r="G264" s="25"/>
      <c r="H264" s="46"/>
      <c r="I264" s="52"/>
      <c r="J264" s="46"/>
      <c r="K264" s="52"/>
      <c r="L264" s="46"/>
      <c r="M264" s="52"/>
      <c r="N264" s="53"/>
      <c r="O264" s="25"/>
      <c r="P264" s="55"/>
      <c r="Q264" s="34"/>
      <c r="R264" s="54"/>
      <c r="S264" s="55"/>
      <c r="T264" s="25"/>
      <c r="U264" s="25"/>
      <c r="V264" s="24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</row>
    <row r="265">
      <c r="A265" s="25"/>
      <c r="B265" s="25"/>
      <c r="C265" s="25"/>
      <c r="D265" s="25"/>
      <c r="E265" s="25"/>
      <c r="F265" s="25"/>
      <c r="G265" s="25"/>
      <c r="H265" s="46"/>
      <c r="I265" s="52"/>
      <c r="J265" s="46"/>
      <c r="K265" s="52"/>
      <c r="L265" s="46"/>
      <c r="M265" s="52"/>
      <c r="N265" s="53"/>
      <c r="O265" s="25"/>
      <c r="P265" s="55"/>
      <c r="Q265" s="34"/>
      <c r="R265" s="54"/>
      <c r="S265" s="55"/>
      <c r="T265" s="25"/>
      <c r="U265" s="25"/>
      <c r="V265" s="24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</row>
    <row r="266">
      <c r="A266" s="25"/>
      <c r="B266" s="25"/>
      <c r="C266" s="25"/>
      <c r="D266" s="25"/>
      <c r="E266" s="25"/>
      <c r="F266" s="25"/>
      <c r="G266" s="25"/>
      <c r="H266" s="46"/>
      <c r="I266" s="52"/>
      <c r="J266" s="46"/>
      <c r="K266" s="52"/>
      <c r="L266" s="46"/>
      <c r="M266" s="52"/>
      <c r="N266" s="53"/>
      <c r="O266" s="25"/>
      <c r="P266" s="55"/>
      <c r="Q266" s="34"/>
      <c r="R266" s="54"/>
      <c r="S266" s="55"/>
      <c r="T266" s="25"/>
      <c r="U266" s="25"/>
      <c r="V266" s="24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</row>
    <row r="267">
      <c r="A267" s="25"/>
      <c r="B267" s="25"/>
      <c r="C267" s="25"/>
      <c r="D267" s="25"/>
      <c r="E267" s="25"/>
      <c r="F267" s="25"/>
      <c r="G267" s="25"/>
      <c r="H267" s="46"/>
      <c r="I267" s="52"/>
      <c r="J267" s="46"/>
      <c r="K267" s="52"/>
      <c r="L267" s="46"/>
      <c r="M267" s="52"/>
      <c r="N267" s="53"/>
      <c r="O267" s="25"/>
      <c r="P267" s="55"/>
      <c r="Q267" s="34"/>
      <c r="R267" s="54"/>
      <c r="S267" s="55"/>
      <c r="T267" s="25"/>
      <c r="U267" s="25"/>
      <c r="V267" s="24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</row>
    <row r="268">
      <c r="A268" s="25"/>
      <c r="B268" s="25"/>
      <c r="C268" s="25"/>
      <c r="D268" s="25"/>
      <c r="E268" s="25"/>
      <c r="F268" s="25"/>
      <c r="G268" s="25"/>
      <c r="H268" s="46"/>
      <c r="I268" s="52"/>
      <c r="J268" s="46"/>
      <c r="K268" s="52"/>
      <c r="L268" s="46"/>
      <c r="M268" s="52"/>
      <c r="N268" s="53"/>
      <c r="O268" s="25"/>
      <c r="P268" s="55"/>
      <c r="Q268" s="34"/>
      <c r="R268" s="54"/>
      <c r="S268" s="55"/>
      <c r="T268" s="25"/>
      <c r="U268" s="25"/>
      <c r="V268" s="24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</row>
    <row r="269">
      <c r="A269" s="25"/>
      <c r="B269" s="25"/>
      <c r="C269" s="25"/>
      <c r="D269" s="25"/>
      <c r="E269" s="25"/>
      <c r="F269" s="25"/>
      <c r="G269" s="25"/>
      <c r="H269" s="46"/>
      <c r="I269" s="52"/>
      <c r="J269" s="46"/>
      <c r="K269" s="52"/>
      <c r="L269" s="46"/>
      <c r="M269" s="52"/>
      <c r="N269" s="53"/>
      <c r="O269" s="25"/>
      <c r="P269" s="55"/>
      <c r="Q269" s="34"/>
      <c r="R269" s="54"/>
      <c r="S269" s="55"/>
      <c r="T269" s="25"/>
      <c r="U269" s="25"/>
      <c r="V269" s="24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</row>
    <row r="270">
      <c r="A270" s="25"/>
      <c r="B270" s="25"/>
      <c r="C270" s="25"/>
      <c r="D270" s="25"/>
      <c r="E270" s="25"/>
      <c r="F270" s="25"/>
      <c r="G270" s="25"/>
      <c r="H270" s="46"/>
      <c r="I270" s="52"/>
      <c r="J270" s="46"/>
      <c r="K270" s="52"/>
      <c r="L270" s="46"/>
      <c r="M270" s="52"/>
      <c r="N270" s="53"/>
      <c r="O270" s="25"/>
      <c r="P270" s="55"/>
      <c r="Q270" s="34"/>
      <c r="R270" s="54"/>
      <c r="S270" s="55"/>
      <c r="T270" s="25"/>
      <c r="U270" s="25"/>
      <c r="V270" s="24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</row>
    <row r="271">
      <c r="A271" s="25"/>
      <c r="B271" s="25"/>
      <c r="C271" s="25"/>
      <c r="D271" s="25"/>
      <c r="E271" s="25"/>
      <c r="F271" s="25"/>
      <c r="G271" s="25"/>
      <c r="H271" s="46"/>
      <c r="I271" s="52"/>
      <c r="J271" s="46"/>
      <c r="K271" s="52"/>
      <c r="L271" s="46"/>
      <c r="M271" s="52"/>
      <c r="N271" s="53"/>
      <c r="O271" s="25"/>
      <c r="P271" s="55"/>
      <c r="Q271" s="34"/>
      <c r="R271" s="54"/>
      <c r="S271" s="55"/>
      <c r="T271" s="25"/>
      <c r="U271" s="25"/>
      <c r="V271" s="24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</row>
    <row r="272">
      <c r="A272" s="25"/>
      <c r="B272" s="25"/>
      <c r="C272" s="25"/>
      <c r="D272" s="25"/>
      <c r="E272" s="25"/>
      <c r="F272" s="25"/>
      <c r="G272" s="25"/>
      <c r="H272" s="46"/>
      <c r="I272" s="52"/>
      <c r="J272" s="46"/>
      <c r="K272" s="52"/>
      <c r="L272" s="46"/>
      <c r="M272" s="52"/>
      <c r="N272" s="53"/>
      <c r="O272" s="25"/>
      <c r="P272" s="55"/>
      <c r="Q272" s="34"/>
      <c r="R272" s="54"/>
      <c r="S272" s="55"/>
      <c r="T272" s="25"/>
      <c r="U272" s="25"/>
      <c r="V272" s="24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</row>
    <row r="273">
      <c r="A273" s="25"/>
      <c r="B273" s="25"/>
      <c r="C273" s="25"/>
      <c r="D273" s="25"/>
      <c r="E273" s="25"/>
      <c r="F273" s="25"/>
      <c r="G273" s="25"/>
      <c r="H273" s="46"/>
      <c r="I273" s="52"/>
      <c r="J273" s="46"/>
      <c r="K273" s="52"/>
      <c r="L273" s="46"/>
      <c r="M273" s="52"/>
      <c r="N273" s="53"/>
      <c r="O273" s="25"/>
      <c r="P273" s="55"/>
      <c r="Q273" s="34"/>
      <c r="R273" s="54"/>
      <c r="S273" s="55"/>
      <c r="T273" s="25"/>
      <c r="U273" s="25"/>
      <c r="V273" s="24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</row>
    <row r="274">
      <c r="A274" s="25"/>
      <c r="B274" s="25"/>
      <c r="C274" s="25"/>
      <c r="D274" s="25"/>
      <c r="E274" s="25"/>
      <c r="F274" s="25"/>
      <c r="G274" s="25"/>
      <c r="H274" s="46"/>
      <c r="I274" s="52"/>
      <c r="J274" s="46"/>
      <c r="K274" s="52"/>
      <c r="L274" s="46"/>
      <c r="M274" s="52"/>
      <c r="N274" s="53"/>
      <c r="O274" s="25"/>
      <c r="P274" s="55"/>
      <c r="Q274" s="34"/>
      <c r="R274" s="54"/>
      <c r="S274" s="55"/>
      <c r="T274" s="25"/>
      <c r="U274" s="25"/>
      <c r="V274" s="24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</row>
    <row r="275">
      <c r="A275" s="25"/>
      <c r="B275" s="25"/>
      <c r="C275" s="25"/>
      <c r="D275" s="25"/>
      <c r="E275" s="25"/>
      <c r="F275" s="25"/>
      <c r="G275" s="25"/>
      <c r="H275" s="46"/>
      <c r="I275" s="52"/>
      <c r="J275" s="46"/>
      <c r="K275" s="52"/>
      <c r="L275" s="46"/>
      <c r="M275" s="52"/>
      <c r="N275" s="53"/>
      <c r="O275" s="25"/>
      <c r="P275" s="55"/>
      <c r="Q275" s="34"/>
      <c r="R275" s="54"/>
      <c r="S275" s="55"/>
      <c r="T275" s="25"/>
      <c r="U275" s="25"/>
      <c r="V275" s="24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</row>
    <row r="276">
      <c r="A276" s="25"/>
      <c r="B276" s="25"/>
      <c r="C276" s="25"/>
      <c r="D276" s="25"/>
      <c r="E276" s="25"/>
      <c r="F276" s="25"/>
      <c r="G276" s="25"/>
      <c r="H276" s="46"/>
      <c r="I276" s="52"/>
      <c r="J276" s="46"/>
      <c r="K276" s="52"/>
      <c r="L276" s="46"/>
      <c r="M276" s="52"/>
      <c r="N276" s="53"/>
      <c r="O276" s="25"/>
      <c r="P276" s="55"/>
      <c r="Q276" s="34"/>
      <c r="R276" s="54"/>
      <c r="S276" s="55"/>
      <c r="T276" s="25"/>
      <c r="U276" s="25"/>
      <c r="V276" s="24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</row>
    <row r="277">
      <c r="A277" s="25"/>
      <c r="B277" s="25"/>
      <c r="C277" s="25"/>
      <c r="D277" s="25"/>
      <c r="E277" s="25"/>
      <c r="F277" s="25"/>
      <c r="G277" s="25"/>
      <c r="H277" s="46"/>
      <c r="I277" s="52"/>
      <c r="J277" s="46"/>
      <c r="K277" s="52"/>
      <c r="L277" s="46"/>
      <c r="M277" s="52"/>
      <c r="N277" s="53"/>
      <c r="O277" s="25"/>
      <c r="P277" s="55"/>
      <c r="Q277" s="34"/>
      <c r="R277" s="54"/>
      <c r="S277" s="55"/>
      <c r="T277" s="25"/>
      <c r="U277" s="25"/>
      <c r="V277" s="24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</row>
    <row r="278">
      <c r="A278" s="25"/>
      <c r="B278" s="25"/>
      <c r="C278" s="25"/>
      <c r="D278" s="25"/>
      <c r="E278" s="25"/>
      <c r="F278" s="25"/>
      <c r="G278" s="25"/>
      <c r="H278" s="46"/>
      <c r="I278" s="52"/>
      <c r="J278" s="46"/>
      <c r="K278" s="52"/>
      <c r="L278" s="46"/>
      <c r="M278" s="52"/>
      <c r="N278" s="53"/>
      <c r="O278" s="25"/>
      <c r="P278" s="55"/>
      <c r="Q278" s="34"/>
      <c r="R278" s="54"/>
      <c r="S278" s="55"/>
      <c r="T278" s="25"/>
      <c r="U278" s="25"/>
      <c r="V278" s="24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</row>
    <row r="279">
      <c r="A279" s="25"/>
      <c r="B279" s="25"/>
      <c r="C279" s="25"/>
      <c r="D279" s="25"/>
      <c r="E279" s="25"/>
      <c r="F279" s="25"/>
      <c r="G279" s="25"/>
      <c r="H279" s="46"/>
      <c r="I279" s="52"/>
      <c r="J279" s="46"/>
      <c r="K279" s="52"/>
      <c r="L279" s="46"/>
      <c r="M279" s="52"/>
      <c r="N279" s="53"/>
      <c r="O279" s="25"/>
      <c r="P279" s="55"/>
      <c r="Q279" s="34"/>
      <c r="R279" s="54"/>
      <c r="S279" s="55"/>
      <c r="T279" s="25"/>
      <c r="U279" s="25"/>
      <c r="V279" s="24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</row>
    <row r="280">
      <c r="A280" s="25"/>
      <c r="B280" s="25"/>
      <c r="C280" s="25"/>
      <c r="D280" s="25"/>
      <c r="E280" s="25"/>
      <c r="F280" s="25"/>
      <c r="G280" s="25"/>
      <c r="H280" s="46"/>
      <c r="I280" s="52"/>
      <c r="J280" s="46"/>
      <c r="K280" s="52"/>
      <c r="L280" s="46"/>
      <c r="M280" s="52"/>
      <c r="N280" s="53"/>
      <c r="O280" s="25"/>
      <c r="P280" s="55"/>
      <c r="Q280" s="34"/>
      <c r="R280" s="54"/>
      <c r="S280" s="55"/>
      <c r="T280" s="25"/>
      <c r="U280" s="25"/>
      <c r="V280" s="24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</row>
    <row r="281">
      <c r="A281" s="25"/>
      <c r="B281" s="25"/>
      <c r="C281" s="25"/>
      <c r="D281" s="25"/>
      <c r="E281" s="25"/>
      <c r="F281" s="25"/>
      <c r="G281" s="25"/>
      <c r="H281" s="46"/>
      <c r="I281" s="52"/>
      <c r="J281" s="46"/>
      <c r="K281" s="52"/>
      <c r="L281" s="46"/>
      <c r="M281" s="52"/>
      <c r="N281" s="53"/>
      <c r="O281" s="25"/>
      <c r="P281" s="55"/>
      <c r="Q281" s="34"/>
      <c r="R281" s="54"/>
      <c r="S281" s="55"/>
      <c r="T281" s="25"/>
      <c r="U281" s="25"/>
      <c r="V281" s="24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</row>
    <row r="282">
      <c r="A282" s="25"/>
      <c r="B282" s="25"/>
      <c r="C282" s="25"/>
      <c r="D282" s="25"/>
      <c r="E282" s="25"/>
      <c r="F282" s="25"/>
      <c r="G282" s="25"/>
      <c r="H282" s="46"/>
      <c r="I282" s="52"/>
      <c r="J282" s="46"/>
      <c r="K282" s="52"/>
      <c r="L282" s="46"/>
      <c r="M282" s="52"/>
      <c r="N282" s="53"/>
      <c r="O282" s="25"/>
      <c r="P282" s="55"/>
      <c r="Q282" s="34"/>
      <c r="R282" s="54"/>
      <c r="S282" s="55"/>
      <c r="T282" s="25"/>
      <c r="U282" s="25"/>
      <c r="V282" s="24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</row>
    <row r="283">
      <c r="A283" s="25"/>
      <c r="B283" s="25"/>
      <c r="C283" s="25"/>
      <c r="D283" s="25"/>
      <c r="E283" s="25"/>
      <c r="F283" s="25"/>
      <c r="G283" s="25"/>
      <c r="H283" s="46"/>
      <c r="I283" s="52"/>
      <c r="J283" s="46"/>
      <c r="K283" s="52"/>
      <c r="L283" s="46"/>
      <c r="M283" s="52"/>
      <c r="N283" s="53"/>
      <c r="O283" s="25"/>
      <c r="P283" s="55"/>
      <c r="Q283" s="34"/>
      <c r="R283" s="54"/>
      <c r="S283" s="55"/>
      <c r="T283" s="25"/>
      <c r="U283" s="25"/>
      <c r="V283" s="24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</row>
    <row r="284">
      <c r="A284" s="25"/>
      <c r="B284" s="25"/>
      <c r="C284" s="25"/>
      <c r="D284" s="25"/>
      <c r="E284" s="25"/>
      <c r="F284" s="25"/>
      <c r="G284" s="25"/>
      <c r="H284" s="46"/>
      <c r="I284" s="52"/>
      <c r="J284" s="46"/>
      <c r="K284" s="52"/>
      <c r="L284" s="46"/>
      <c r="M284" s="52"/>
      <c r="N284" s="53"/>
      <c r="O284" s="25"/>
      <c r="P284" s="55"/>
      <c r="Q284" s="34"/>
      <c r="R284" s="54"/>
      <c r="S284" s="55"/>
      <c r="T284" s="25"/>
      <c r="U284" s="25"/>
      <c r="V284" s="24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</row>
    <row r="285">
      <c r="A285" s="25"/>
      <c r="B285" s="25"/>
      <c r="C285" s="25"/>
      <c r="D285" s="25"/>
      <c r="E285" s="25"/>
      <c r="F285" s="25"/>
      <c r="G285" s="25"/>
      <c r="H285" s="46"/>
      <c r="I285" s="52"/>
      <c r="J285" s="46"/>
      <c r="K285" s="52"/>
      <c r="L285" s="46"/>
      <c r="M285" s="52"/>
      <c r="N285" s="53"/>
      <c r="O285" s="25"/>
      <c r="P285" s="55"/>
      <c r="Q285" s="34"/>
      <c r="R285" s="54"/>
      <c r="S285" s="55"/>
      <c r="T285" s="25"/>
      <c r="U285" s="25"/>
      <c r="V285" s="24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</row>
    <row r="286">
      <c r="A286" s="25"/>
      <c r="B286" s="25"/>
      <c r="C286" s="25"/>
      <c r="D286" s="25"/>
      <c r="E286" s="25"/>
      <c r="F286" s="25"/>
      <c r="G286" s="25"/>
      <c r="H286" s="46"/>
      <c r="I286" s="52"/>
      <c r="J286" s="46"/>
      <c r="K286" s="52"/>
      <c r="L286" s="46"/>
      <c r="M286" s="52"/>
      <c r="N286" s="53"/>
      <c r="O286" s="25"/>
      <c r="P286" s="55"/>
      <c r="Q286" s="34"/>
      <c r="R286" s="54"/>
      <c r="S286" s="55"/>
      <c r="T286" s="25"/>
      <c r="U286" s="25"/>
      <c r="V286" s="24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</row>
    <row r="287">
      <c r="A287" s="25"/>
      <c r="B287" s="25"/>
      <c r="C287" s="25"/>
      <c r="D287" s="25"/>
      <c r="E287" s="25"/>
      <c r="F287" s="25"/>
      <c r="G287" s="25"/>
      <c r="H287" s="46"/>
      <c r="I287" s="52"/>
      <c r="J287" s="46"/>
      <c r="K287" s="52"/>
      <c r="L287" s="46"/>
      <c r="M287" s="52"/>
      <c r="N287" s="53"/>
      <c r="O287" s="25"/>
      <c r="P287" s="55"/>
      <c r="Q287" s="34"/>
      <c r="R287" s="54"/>
      <c r="S287" s="55"/>
      <c r="T287" s="25"/>
      <c r="U287" s="25"/>
      <c r="V287" s="24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</row>
    <row r="288">
      <c r="A288" s="25"/>
      <c r="B288" s="25"/>
      <c r="C288" s="25"/>
      <c r="D288" s="25"/>
      <c r="E288" s="25"/>
      <c r="F288" s="25"/>
      <c r="G288" s="25"/>
      <c r="H288" s="46"/>
      <c r="I288" s="52"/>
      <c r="J288" s="46"/>
      <c r="K288" s="52"/>
      <c r="L288" s="46"/>
      <c r="M288" s="52"/>
      <c r="N288" s="53"/>
      <c r="O288" s="25"/>
      <c r="P288" s="55"/>
      <c r="Q288" s="34"/>
      <c r="R288" s="54"/>
      <c r="S288" s="55"/>
      <c r="T288" s="25"/>
      <c r="U288" s="25"/>
      <c r="V288" s="24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</row>
    <row r="289">
      <c r="A289" s="25"/>
      <c r="B289" s="25"/>
      <c r="C289" s="25"/>
      <c r="D289" s="25"/>
      <c r="E289" s="25"/>
      <c r="F289" s="25"/>
      <c r="G289" s="25"/>
      <c r="H289" s="46"/>
      <c r="I289" s="52"/>
      <c r="J289" s="46"/>
      <c r="K289" s="52"/>
      <c r="L289" s="46"/>
      <c r="M289" s="52"/>
      <c r="N289" s="53"/>
      <c r="O289" s="25"/>
      <c r="P289" s="55"/>
      <c r="Q289" s="34"/>
      <c r="R289" s="54"/>
      <c r="S289" s="55"/>
      <c r="T289" s="25"/>
      <c r="U289" s="25"/>
      <c r="V289" s="24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</row>
    <row r="290">
      <c r="A290" s="25"/>
      <c r="B290" s="25"/>
      <c r="C290" s="25"/>
      <c r="D290" s="25"/>
      <c r="E290" s="25"/>
      <c r="F290" s="25"/>
      <c r="G290" s="25"/>
      <c r="H290" s="46"/>
      <c r="I290" s="52"/>
      <c r="J290" s="46"/>
      <c r="K290" s="52"/>
      <c r="L290" s="46"/>
      <c r="M290" s="52"/>
      <c r="N290" s="53"/>
      <c r="O290" s="25"/>
      <c r="P290" s="55"/>
      <c r="Q290" s="34"/>
      <c r="R290" s="54"/>
      <c r="S290" s="55"/>
      <c r="T290" s="25"/>
      <c r="U290" s="25"/>
      <c r="V290" s="24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</row>
    <row r="291">
      <c r="A291" s="25"/>
      <c r="B291" s="25"/>
      <c r="C291" s="25"/>
      <c r="D291" s="25"/>
      <c r="E291" s="25"/>
      <c r="F291" s="25"/>
      <c r="G291" s="25"/>
      <c r="H291" s="46"/>
      <c r="I291" s="52"/>
      <c r="J291" s="46"/>
      <c r="K291" s="52"/>
      <c r="L291" s="46"/>
      <c r="M291" s="52"/>
      <c r="N291" s="53"/>
      <c r="O291" s="25"/>
      <c r="P291" s="55"/>
      <c r="Q291" s="34"/>
      <c r="R291" s="54"/>
      <c r="S291" s="55"/>
      <c r="T291" s="25"/>
      <c r="U291" s="25"/>
      <c r="V291" s="24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</row>
    <row r="292">
      <c r="A292" s="25"/>
      <c r="B292" s="25"/>
      <c r="C292" s="25"/>
      <c r="D292" s="25"/>
      <c r="E292" s="25"/>
      <c r="F292" s="25"/>
      <c r="G292" s="25"/>
      <c r="H292" s="46"/>
      <c r="I292" s="52"/>
      <c r="J292" s="46"/>
      <c r="K292" s="52"/>
      <c r="L292" s="46"/>
      <c r="M292" s="52"/>
      <c r="N292" s="53"/>
      <c r="O292" s="25"/>
      <c r="P292" s="55"/>
      <c r="Q292" s="34"/>
      <c r="R292" s="54"/>
      <c r="S292" s="55"/>
      <c r="T292" s="25"/>
      <c r="U292" s="25"/>
      <c r="V292" s="24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</row>
    <row r="293">
      <c r="A293" s="25"/>
      <c r="B293" s="25"/>
      <c r="C293" s="25"/>
      <c r="D293" s="25"/>
      <c r="E293" s="25"/>
      <c r="F293" s="25"/>
      <c r="G293" s="25"/>
      <c r="H293" s="46"/>
      <c r="I293" s="52"/>
      <c r="J293" s="46"/>
      <c r="K293" s="52"/>
      <c r="L293" s="46"/>
      <c r="M293" s="52"/>
      <c r="N293" s="53"/>
      <c r="O293" s="25"/>
      <c r="P293" s="55"/>
      <c r="Q293" s="34"/>
      <c r="R293" s="54"/>
      <c r="S293" s="55"/>
      <c r="T293" s="25"/>
      <c r="U293" s="25"/>
      <c r="V293" s="24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</row>
    <row r="294">
      <c r="A294" s="25"/>
      <c r="B294" s="25"/>
      <c r="C294" s="25"/>
      <c r="D294" s="25"/>
      <c r="E294" s="25"/>
      <c r="F294" s="25"/>
      <c r="G294" s="25"/>
      <c r="H294" s="46"/>
      <c r="I294" s="52"/>
      <c r="J294" s="46"/>
      <c r="K294" s="52"/>
      <c r="L294" s="46"/>
      <c r="M294" s="52"/>
      <c r="N294" s="53"/>
      <c r="O294" s="25"/>
      <c r="P294" s="55"/>
      <c r="Q294" s="34"/>
      <c r="R294" s="54"/>
      <c r="S294" s="55"/>
      <c r="T294" s="25"/>
      <c r="U294" s="25"/>
      <c r="V294" s="24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</row>
    <row r="295">
      <c r="A295" s="25"/>
      <c r="B295" s="25"/>
      <c r="C295" s="25"/>
      <c r="D295" s="25"/>
      <c r="E295" s="25"/>
      <c r="F295" s="25"/>
      <c r="G295" s="25"/>
      <c r="H295" s="46"/>
      <c r="I295" s="52"/>
      <c r="J295" s="46"/>
      <c r="K295" s="52"/>
      <c r="L295" s="46"/>
      <c r="M295" s="52"/>
      <c r="N295" s="53"/>
      <c r="O295" s="25"/>
      <c r="P295" s="55"/>
      <c r="Q295" s="34"/>
      <c r="R295" s="54"/>
      <c r="S295" s="55"/>
      <c r="T295" s="25"/>
      <c r="U295" s="25"/>
      <c r="V295" s="24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</row>
    <row r="296">
      <c r="A296" s="25"/>
      <c r="B296" s="25"/>
      <c r="C296" s="25"/>
      <c r="D296" s="25"/>
      <c r="E296" s="25"/>
      <c r="F296" s="25"/>
      <c r="G296" s="25"/>
      <c r="H296" s="46"/>
      <c r="I296" s="52"/>
      <c r="J296" s="46"/>
      <c r="K296" s="52"/>
      <c r="L296" s="46"/>
      <c r="M296" s="52"/>
      <c r="N296" s="53"/>
      <c r="O296" s="25"/>
      <c r="P296" s="55"/>
      <c r="Q296" s="34"/>
      <c r="R296" s="54"/>
      <c r="S296" s="55"/>
      <c r="T296" s="25"/>
      <c r="U296" s="25"/>
      <c r="V296" s="24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</row>
    <row r="297">
      <c r="A297" s="25"/>
      <c r="B297" s="25"/>
      <c r="C297" s="25"/>
      <c r="D297" s="25"/>
      <c r="E297" s="25"/>
      <c r="F297" s="25"/>
      <c r="G297" s="25"/>
      <c r="H297" s="46"/>
      <c r="I297" s="52"/>
      <c r="J297" s="46"/>
      <c r="K297" s="52"/>
      <c r="L297" s="46"/>
      <c r="M297" s="52"/>
      <c r="N297" s="53"/>
      <c r="O297" s="25"/>
      <c r="P297" s="55"/>
      <c r="Q297" s="34"/>
      <c r="R297" s="54"/>
      <c r="S297" s="55"/>
      <c r="T297" s="25"/>
      <c r="U297" s="25"/>
      <c r="V297" s="24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</row>
    <row r="298">
      <c r="A298" s="25"/>
      <c r="B298" s="25"/>
      <c r="C298" s="25"/>
      <c r="D298" s="25"/>
      <c r="E298" s="25"/>
      <c r="F298" s="25"/>
      <c r="G298" s="25"/>
      <c r="H298" s="46"/>
      <c r="I298" s="52"/>
      <c r="J298" s="46"/>
      <c r="K298" s="52"/>
      <c r="L298" s="46"/>
      <c r="M298" s="52"/>
      <c r="N298" s="53"/>
      <c r="O298" s="25"/>
      <c r="P298" s="55"/>
      <c r="Q298" s="34"/>
      <c r="R298" s="54"/>
      <c r="S298" s="55"/>
      <c r="T298" s="25"/>
      <c r="U298" s="25"/>
      <c r="V298" s="24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</row>
    <row r="299">
      <c r="A299" s="25"/>
      <c r="B299" s="25"/>
      <c r="C299" s="25"/>
      <c r="D299" s="25"/>
      <c r="E299" s="25"/>
      <c r="F299" s="25"/>
      <c r="G299" s="25"/>
      <c r="H299" s="46"/>
      <c r="I299" s="52"/>
      <c r="J299" s="46"/>
      <c r="K299" s="52"/>
      <c r="L299" s="46"/>
      <c r="M299" s="52"/>
      <c r="N299" s="53"/>
      <c r="O299" s="25"/>
      <c r="P299" s="55"/>
      <c r="Q299" s="34"/>
      <c r="R299" s="54"/>
      <c r="S299" s="55"/>
      <c r="T299" s="25"/>
      <c r="U299" s="25"/>
      <c r="V299" s="24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</row>
    <row r="300">
      <c r="A300" s="25"/>
      <c r="B300" s="25"/>
      <c r="C300" s="25"/>
      <c r="D300" s="25"/>
      <c r="E300" s="25"/>
      <c r="F300" s="25"/>
      <c r="G300" s="25"/>
      <c r="H300" s="46"/>
      <c r="I300" s="52"/>
      <c r="J300" s="46"/>
      <c r="K300" s="52"/>
      <c r="L300" s="46"/>
      <c r="M300" s="52"/>
      <c r="N300" s="53"/>
      <c r="O300" s="25"/>
      <c r="P300" s="55"/>
      <c r="Q300" s="34"/>
      <c r="R300" s="54"/>
      <c r="S300" s="55"/>
      <c r="T300" s="25"/>
      <c r="U300" s="25"/>
      <c r="V300" s="24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</row>
    <row r="301">
      <c r="A301" s="25"/>
      <c r="B301" s="25"/>
      <c r="C301" s="25"/>
      <c r="D301" s="25"/>
      <c r="E301" s="25"/>
      <c r="F301" s="25"/>
      <c r="G301" s="25"/>
      <c r="H301" s="46"/>
      <c r="I301" s="52"/>
      <c r="J301" s="46"/>
      <c r="K301" s="52"/>
      <c r="L301" s="46"/>
      <c r="M301" s="52"/>
      <c r="N301" s="53"/>
      <c r="O301" s="25"/>
      <c r="P301" s="55"/>
      <c r="Q301" s="34"/>
      <c r="R301" s="54"/>
      <c r="S301" s="55"/>
      <c r="T301" s="25"/>
      <c r="U301" s="25"/>
      <c r="V301" s="24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</row>
    <row r="302">
      <c r="A302" s="25"/>
      <c r="B302" s="25"/>
      <c r="C302" s="25"/>
      <c r="D302" s="25"/>
      <c r="E302" s="25"/>
      <c r="F302" s="25"/>
      <c r="G302" s="25"/>
      <c r="H302" s="46"/>
      <c r="I302" s="52"/>
      <c r="J302" s="46"/>
      <c r="K302" s="52"/>
      <c r="L302" s="46"/>
      <c r="M302" s="52"/>
      <c r="N302" s="53"/>
      <c r="O302" s="25"/>
      <c r="P302" s="55"/>
      <c r="Q302" s="34"/>
      <c r="R302" s="54"/>
      <c r="S302" s="55"/>
      <c r="T302" s="25"/>
      <c r="U302" s="25"/>
      <c r="V302" s="24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</row>
    <row r="303">
      <c r="A303" s="25"/>
      <c r="B303" s="25"/>
      <c r="C303" s="25"/>
      <c r="D303" s="25"/>
      <c r="E303" s="25"/>
      <c r="F303" s="25"/>
      <c r="G303" s="25"/>
      <c r="H303" s="46"/>
      <c r="I303" s="52"/>
      <c r="J303" s="46"/>
      <c r="K303" s="52"/>
      <c r="L303" s="46"/>
      <c r="M303" s="52"/>
      <c r="N303" s="53"/>
      <c r="O303" s="25"/>
      <c r="P303" s="55"/>
      <c r="Q303" s="34"/>
      <c r="R303" s="54"/>
      <c r="S303" s="55"/>
      <c r="T303" s="25"/>
      <c r="U303" s="25"/>
      <c r="V303" s="24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</row>
    <row r="304">
      <c r="A304" s="25"/>
      <c r="B304" s="25"/>
      <c r="C304" s="25"/>
      <c r="D304" s="25"/>
      <c r="E304" s="25"/>
      <c r="F304" s="25"/>
      <c r="G304" s="25"/>
      <c r="H304" s="46"/>
      <c r="I304" s="52"/>
      <c r="J304" s="46"/>
      <c r="K304" s="52"/>
      <c r="L304" s="46"/>
      <c r="M304" s="52"/>
      <c r="N304" s="53"/>
      <c r="O304" s="25"/>
      <c r="P304" s="55"/>
      <c r="Q304" s="34"/>
      <c r="R304" s="54"/>
      <c r="S304" s="55"/>
      <c r="T304" s="25"/>
      <c r="U304" s="25"/>
      <c r="V304" s="24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</row>
    <row r="305">
      <c r="A305" s="25"/>
      <c r="B305" s="25"/>
      <c r="C305" s="25"/>
      <c r="D305" s="25"/>
      <c r="E305" s="25"/>
      <c r="F305" s="25"/>
      <c r="G305" s="25"/>
      <c r="H305" s="46"/>
      <c r="I305" s="52"/>
      <c r="J305" s="46"/>
      <c r="K305" s="52"/>
      <c r="L305" s="46"/>
      <c r="M305" s="52"/>
      <c r="N305" s="53"/>
      <c r="O305" s="25"/>
      <c r="P305" s="55"/>
      <c r="Q305" s="34"/>
      <c r="R305" s="54"/>
      <c r="S305" s="55"/>
      <c r="T305" s="25"/>
      <c r="U305" s="25"/>
      <c r="V305" s="24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</row>
    <row r="306">
      <c r="A306" s="25"/>
      <c r="B306" s="25"/>
      <c r="C306" s="25"/>
      <c r="D306" s="25"/>
      <c r="E306" s="25"/>
      <c r="F306" s="25"/>
      <c r="G306" s="25"/>
      <c r="H306" s="46"/>
      <c r="I306" s="52"/>
      <c r="J306" s="46"/>
      <c r="K306" s="52"/>
      <c r="L306" s="46"/>
      <c r="M306" s="52"/>
      <c r="N306" s="53"/>
      <c r="O306" s="25"/>
      <c r="P306" s="55"/>
      <c r="Q306" s="34"/>
      <c r="R306" s="54"/>
      <c r="S306" s="55"/>
      <c r="T306" s="25"/>
      <c r="U306" s="25"/>
      <c r="V306" s="24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</row>
    <row r="307">
      <c r="A307" s="25"/>
      <c r="B307" s="25"/>
      <c r="C307" s="25"/>
      <c r="D307" s="25"/>
      <c r="E307" s="25"/>
      <c r="F307" s="25"/>
      <c r="G307" s="25"/>
      <c r="H307" s="46"/>
      <c r="I307" s="52"/>
      <c r="J307" s="46"/>
      <c r="K307" s="52"/>
      <c r="L307" s="46"/>
      <c r="M307" s="52"/>
      <c r="N307" s="53"/>
      <c r="O307" s="25"/>
      <c r="P307" s="55"/>
      <c r="Q307" s="34"/>
      <c r="R307" s="54"/>
      <c r="S307" s="55"/>
      <c r="T307" s="25"/>
      <c r="U307" s="25"/>
      <c r="V307" s="24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</row>
    <row r="308">
      <c r="A308" s="25"/>
      <c r="B308" s="25"/>
      <c r="C308" s="25"/>
      <c r="D308" s="25"/>
      <c r="E308" s="25"/>
      <c r="F308" s="25"/>
      <c r="G308" s="25"/>
      <c r="H308" s="46"/>
      <c r="I308" s="52"/>
      <c r="J308" s="46"/>
      <c r="K308" s="52"/>
      <c r="L308" s="46"/>
      <c r="M308" s="52"/>
      <c r="N308" s="53"/>
      <c r="O308" s="25"/>
      <c r="P308" s="55"/>
      <c r="Q308" s="34"/>
      <c r="R308" s="54"/>
      <c r="S308" s="55"/>
      <c r="T308" s="25"/>
      <c r="U308" s="25"/>
      <c r="V308" s="24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</row>
    <row r="309">
      <c r="A309" s="25"/>
      <c r="B309" s="25"/>
      <c r="C309" s="25"/>
      <c r="D309" s="25"/>
      <c r="E309" s="25"/>
      <c r="F309" s="25"/>
      <c r="G309" s="25"/>
      <c r="H309" s="46"/>
      <c r="I309" s="52"/>
      <c r="J309" s="46"/>
      <c r="K309" s="52"/>
      <c r="L309" s="46"/>
      <c r="M309" s="52"/>
      <c r="N309" s="53"/>
      <c r="O309" s="25"/>
      <c r="P309" s="55"/>
      <c r="Q309" s="34"/>
      <c r="R309" s="54"/>
      <c r="S309" s="55"/>
      <c r="T309" s="25"/>
      <c r="U309" s="25"/>
      <c r="V309" s="24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</row>
    <row r="310">
      <c r="A310" s="25"/>
      <c r="B310" s="25"/>
      <c r="C310" s="25"/>
      <c r="D310" s="25"/>
      <c r="E310" s="25"/>
      <c r="F310" s="25"/>
      <c r="G310" s="25"/>
      <c r="H310" s="46"/>
      <c r="I310" s="52"/>
      <c r="J310" s="46"/>
      <c r="K310" s="52"/>
      <c r="L310" s="46"/>
      <c r="M310" s="52"/>
      <c r="N310" s="53"/>
      <c r="O310" s="25"/>
      <c r="P310" s="55"/>
      <c r="Q310" s="34"/>
      <c r="R310" s="54"/>
      <c r="S310" s="55"/>
      <c r="T310" s="25"/>
      <c r="U310" s="25"/>
      <c r="V310" s="24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</row>
    <row r="311">
      <c r="A311" s="25"/>
      <c r="B311" s="25"/>
      <c r="C311" s="25"/>
      <c r="D311" s="25"/>
      <c r="E311" s="25"/>
      <c r="F311" s="25"/>
      <c r="G311" s="25"/>
      <c r="H311" s="46"/>
      <c r="I311" s="52"/>
      <c r="J311" s="46"/>
      <c r="K311" s="52"/>
      <c r="L311" s="46"/>
      <c r="M311" s="52"/>
      <c r="N311" s="53"/>
      <c r="O311" s="25"/>
      <c r="P311" s="55"/>
      <c r="Q311" s="34"/>
      <c r="R311" s="54"/>
      <c r="S311" s="55"/>
      <c r="T311" s="25"/>
      <c r="U311" s="25"/>
      <c r="V311" s="24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</row>
    <row r="312">
      <c r="A312" s="25"/>
      <c r="B312" s="25"/>
      <c r="C312" s="25"/>
      <c r="D312" s="25"/>
      <c r="E312" s="25"/>
      <c r="F312" s="25"/>
      <c r="G312" s="25"/>
      <c r="H312" s="46"/>
      <c r="I312" s="52"/>
      <c r="J312" s="46"/>
      <c r="K312" s="52"/>
      <c r="L312" s="46"/>
      <c r="M312" s="52"/>
      <c r="N312" s="53"/>
      <c r="O312" s="25"/>
      <c r="P312" s="55"/>
      <c r="Q312" s="34"/>
      <c r="R312" s="54"/>
      <c r="S312" s="55"/>
      <c r="T312" s="25"/>
      <c r="U312" s="25"/>
      <c r="V312" s="24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</row>
    <row r="313">
      <c r="A313" s="25"/>
      <c r="B313" s="25"/>
      <c r="C313" s="25"/>
      <c r="D313" s="25"/>
      <c r="E313" s="25"/>
      <c r="F313" s="25"/>
      <c r="G313" s="25"/>
      <c r="H313" s="46"/>
      <c r="I313" s="52"/>
      <c r="J313" s="46"/>
      <c r="K313" s="52"/>
      <c r="L313" s="46"/>
      <c r="M313" s="52"/>
      <c r="N313" s="53"/>
      <c r="O313" s="25"/>
      <c r="P313" s="55"/>
      <c r="Q313" s="34"/>
      <c r="R313" s="54"/>
      <c r="S313" s="55"/>
      <c r="T313" s="25"/>
      <c r="U313" s="25"/>
      <c r="V313" s="24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</row>
    <row r="314">
      <c r="A314" s="25"/>
      <c r="B314" s="25"/>
      <c r="C314" s="25"/>
      <c r="D314" s="25"/>
      <c r="E314" s="25"/>
      <c r="F314" s="25"/>
      <c r="G314" s="25"/>
      <c r="H314" s="46"/>
      <c r="I314" s="52"/>
      <c r="J314" s="46"/>
      <c r="K314" s="52"/>
      <c r="L314" s="46"/>
      <c r="M314" s="52"/>
      <c r="N314" s="53"/>
      <c r="O314" s="25"/>
      <c r="P314" s="55"/>
      <c r="Q314" s="34"/>
      <c r="R314" s="54"/>
      <c r="S314" s="55"/>
      <c r="T314" s="25"/>
      <c r="U314" s="25"/>
      <c r="V314" s="24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</row>
    <row r="315">
      <c r="A315" s="25"/>
      <c r="B315" s="25"/>
      <c r="C315" s="25"/>
      <c r="D315" s="25"/>
      <c r="E315" s="25"/>
      <c r="F315" s="25"/>
      <c r="G315" s="25"/>
      <c r="H315" s="46"/>
      <c r="I315" s="52"/>
      <c r="J315" s="46"/>
      <c r="K315" s="52"/>
      <c r="L315" s="46"/>
      <c r="M315" s="52"/>
      <c r="N315" s="53"/>
      <c r="O315" s="25"/>
      <c r="P315" s="55"/>
      <c r="Q315" s="34"/>
      <c r="R315" s="54"/>
      <c r="S315" s="55"/>
      <c r="T315" s="25"/>
      <c r="U315" s="25"/>
      <c r="V315" s="24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</row>
    <row r="316">
      <c r="A316" s="25"/>
      <c r="B316" s="25"/>
      <c r="C316" s="25"/>
      <c r="D316" s="25"/>
      <c r="E316" s="25"/>
      <c r="F316" s="25"/>
      <c r="G316" s="25"/>
      <c r="H316" s="46"/>
      <c r="I316" s="52"/>
      <c r="J316" s="46"/>
      <c r="K316" s="52"/>
      <c r="L316" s="46"/>
      <c r="M316" s="52"/>
      <c r="N316" s="53"/>
      <c r="O316" s="25"/>
      <c r="P316" s="55"/>
      <c r="Q316" s="34"/>
      <c r="R316" s="54"/>
      <c r="S316" s="55"/>
      <c r="T316" s="25"/>
      <c r="U316" s="25"/>
      <c r="V316" s="24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</row>
    <row r="317">
      <c r="A317" s="25"/>
      <c r="B317" s="25"/>
      <c r="C317" s="25"/>
      <c r="D317" s="25"/>
      <c r="E317" s="25"/>
      <c r="F317" s="25"/>
      <c r="G317" s="25"/>
      <c r="H317" s="46"/>
      <c r="I317" s="52"/>
      <c r="J317" s="46"/>
      <c r="K317" s="52"/>
      <c r="L317" s="46"/>
      <c r="M317" s="52"/>
      <c r="N317" s="53"/>
      <c r="O317" s="25"/>
      <c r="P317" s="55"/>
      <c r="Q317" s="34"/>
      <c r="R317" s="54"/>
      <c r="S317" s="55"/>
      <c r="T317" s="25"/>
      <c r="U317" s="25"/>
      <c r="V317" s="24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</row>
    <row r="318">
      <c r="A318" s="25"/>
      <c r="B318" s="25"/>
      <c r="C318" s="25"/>
      <c r="D318" s="25"/>
      <c r="E318" s="25"/>
      <c r="F318" s="25"/>
      <c r="G318" s="25"/>
      <c r="H318" s="46"/>
      <c r="I318" s="52"/>
      <c r="J318" s="46"/>
      <c r="K318" s="52"/>
      <c r="L318" s="46"/>
      <c r="M318" s="52"/>
      <c r="N318" s="53"/>
      <c r="O318" s="25"/>
      <c r="P318" s="55"/>
      <c r="Q318" s="34"/>
      <c r="R318" s="54"/>
      <c r="S318" s="55"/>
      <c r="T318" s="25"/>
      <c r="U318" s="25"/>
      <c r="V318" s="24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</row>
    <row r="319">
      <c r="A319" s="25"/>
      <c r="B319" s="25"/>
      <c r="C319" s="25"/>
      <c r="D319" s="25"/>
      <c r="E319" s="25"/>
      <c r="F319" s="25"/>
      <c r="G319" s="25"/>
      <c r="H319" s="46"/>
      <c r="I319" s="52"/>
      <c r="J319" s="46"/>
      <c r="K319" s="52"/>
      <c r="L319" s="46"/>
      <c r="M319" s="52"/>
      <c r="N319" s="53"/>
      <c r="O319" s="25"/>
      <c r="P319" s="55"/>
      <c r="Q319" s="34"/>
      <c r="R319" s="54"/>
      <c r="S319" s="55"/>
      <c r="T319" s="25"/>
      <c r="U319" s="25"/>
      <c r="V319" s="24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</row>
    <row r="320">
      <c r="A320" s="25"/>
      <c r="B320" s="25"/>
      <c r="C320" s="25"/>
      <c r="D320" s="25"/>
      <c r="E320" s="25"/>
      <c r="F320" s="25"/>
      <c r="G320" s="25"/>
      <c r="H320" s="46"/>
      <c r="I320" s="52"/>
      <c r="J320" s="46"/>
      <c r="K320" s="52"/>
      <c r="L320" s="46"/>
      <c r="M320" s="52"/>
      <c r="N320" s="53"/>
      <c r="O320" s="25"/>
      <c r="P320" s="55"/>
      <c r="Q320" s="34"/>
      <c r="R320" s="54"/>
      <c r="S320" s="55"/>
      <c r="T320" s="25"/>
      <c r="U320" s="25"/>
      <c r="V320" s="2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</row>
    <row r="321">
      <c r="A321" s="25"/>
      <c r="B321" s="25"/>
      <c r="C321" s="25"/>
      <c r="D321" s="25"/>
      <c r="E321" s="25"/>
      <c r="F321" s="25"/>
      <c r="G321" s="25"/>
      <c r="H321" s="46"/>
      <c r="I321" s="52"/>
      <c r="J321" s="46"/>
      <c r="K321" s="52"/>
      <c r="L321" s="46"/>
      <c r="M321" s="52"/>
      <c r="N321" s="53"/>
      <c r="O321" s="25"/>
      <c r="P321" s="55"/>
      <c r="Q321" s="34"/>
      <c r="R321" s="54"/>
      <c r="S321" s="55"/>
      <c r="T321" s="25"/>
      <c r="U321" s="25"/>
      <c r="V321" s="24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</row>
    <row r="322">
      <c r="A322" s="25"/>
      <c r="B322" s="25"/>
      <c r="C322" s="25"/>
      <c r="D322" s="25"/>
      <c r="E322" s="25"/>
      <c r="F322" s="25"/>
      <c r="G322" s="25"/>
      <c r="H322" s="46"/>
      <c r="I322" s="52"/>
      <c r="J322" s="46"/>
      <c r="K322" s="52"/>
      <c r="L322" s="46"/>
      <c r="M322" s="52"/>
      <c r="N322" s="53"/>
      <c r="O322" s="25"/>
      <c r="P322" s="55"/>
      <c r="Q322" s="34"/>
      <c r="R322" s="54"/>
      <c r="S322" s="55"/>
      <c r="T322" s="25"/>
      <c r="U322" s="25"/>
      <c r="V322" s="24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</row>
    <row r="323">
      <c r="A323" s="25"/>
      <c r="B323" s="25"/>
      <c r="C323" s="25"/>
      <c r="D323" s="25"/>
      <c r="E323" s="25"/>
      <c r="F323" s="25"/>
      <c r="G323" s="25"/>
      <c r="H323" s="46"/>
      <c r="I323" s="52"/>
      <c r="J323" s="46"/>
      <c r="K323" s="52"/>
      <c r="L323" s="46"/>
      <c r="M323" s="52"/>
      <c r="N323" s="53"/>
      <c r="O323" s="25"/>
      <c r="P323" s="55"/>
      <c r="Q323" s="34"/>
      <c r="R323" s="54"/>
      <c r="S323" s="55"/>
      <c r="T323" s="25"/>
      <c r="U323" s="25"/>
      <c r="V323" s="24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</row>
    <row r="324">
      <c r="A324" s="25"/>
      <c r="B324" s="25"/>
      <c r="C324" s="25"/>
      <c r="D324" s="25"/>
      <c r="E324" s="25"/>
      <c r="F324" s="25"/>
      <c r="G324" s="25"/>
      <c r="H324" s="46"/>
      <c r="I324" s="52"/>
      <c r="J324" s="46"/>
      <c r="K324" s="52"/>
      <c r="L324" s="46"/>
      <c r="M324" s="52"/>
      <c r="N324" s="53"/>
      <c r="O324" s="25"/>
      <c r="P324" s="55"/>
      <c r="Q324" s="34"/>
      <c r="R324" s="54"/>
      <c r="S324" s="55"/>
      <c r="T324" s="25"/>
      <c r="U324" s="25"/>
      <c r="V324" s="24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</row>
    <row r="325">
      <c r="A325" s="25"/>
      <c r="B325" s="25"/>
      <c r="C325" s="25"/>
      <c r="D325" s="25"/>
      <c r="E325" s="25"/>
      <c r="F325" s="25"/>
      <c r="G325" s="25"/>
      <c r="H325" s="46"/>
      <c r="I325" s="52"/>
      <c r="J325" s="46"/>
      <c r="K325" s="52"/>
      <c r="L325" s="46"/>
      <c r="M325" s="52"/>
      <c r="N325" s="53"/>
      <c r="O325" s="25"/>
      <c r="P325" s="55"/>
      <c r="Q325" s="34"/>
      <c r="R325" s="54"/>
      <c r="S325" s="55"/>
      <c r="T325" s="25"/>
      <c r="U325" s="25"/>
      <c r="V325" s="24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</row>
    <row r="326">
      <c r="A326" s="25"/>
      <c r="B326" s="25"/>
      <c r="C326" s="25"/>
      <c r="D326" s="25"/>
      <c r="E326" s="25"/>
      <c r="F326" s="25"/>
      <c r="G326" s="25"/>
      <c r="H326" s="46"/>
      <c r="I326" s="52"/>
      <c r="J326" s="46"/>
      <c r="K326" s="52"/>
      <c r="L326" s="46"/>
      <c r="M326" s="52"/>
      <c r="N326" s="53"/>
      <c r="O326" s="25"/>
      <c r="P326" s="55"/>
      <c r="Q326" s="34"/>
      <c r="R326" s="54"/>
      <c r="S326" s="55"/>
      <c r="T326" s="25"/>
      <c r="U326" s="25"/>
      <c r="V326" s="24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</row>
    <row r="327">
      <c r="A327" s="25"/>
      <c r="B327" s="25"/>
      <c r="C327" s="25"/>
      <c r="D327" s="25"/>
      <c r="E327" s="25"/>
      <c r="F327" s="25"/>
      <c r="G327" s="25"/>
      <c r="H327" s="46"/>
      <c r="I327" s="52"/>
      <c r="J327" s="46"/>
      <c r="K327" s="52"/>
      <c r="L327" s="46"/>
      <c r="M327" s="52"/>
      <c r="N327" s="53"/>
      <c r="O327" s="25"/>
      <c r="P327" s="55"/>
      <c r="Q327" s="34"/>
      <c r="R327" s="54"/>
      <c r="S327" s="55"/>
      <c r="T327" s="25"/>
      <c r="U327" s="25"/>
      <c r="V327" s="24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</row>
    <row r="328">
      <c r="A328" s="25"/>
      <c r="B328" s="25"/>
      <c r="C328" s="25"/>
      <c r="D328" s="25"/>
      <c r="E328" s="25"/>
      <c r="F328" s="25"/>
      <c r="G328" s="25"/>
      <c r="H328" s="46"/>
      <c r="I328" s="52"/>
      <c r="J328" s="46"/>
      <c r="K328" s="52"/>
      <c r="L328" s="46"/>
      <c r="M328" s="52"/>
      <c r="N328" s="53"/>
      <c r="O328" s="25"/>
      <c r="P328" s="55"/>
      <c r="Q328" s="34"/>
      <c r="R328" s="54"/>
      <c r="S328" s="55"/>
      <c r="T328" s="25"/>
      <c r="U328" s="25"/>
      <c r="V328" s="24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</row>
    <row r="329">
      <c r="A329" s="25"/>
      <c r="B329" s="25"/>
      <c r="C329" s="25"/>
      <c r="D329" s="25"/>
      <c r="E329" s="25"/>
      <c r="F329" s="25"/>
      <c r="G329" s="25"/>
      <c r="H329" s="46"/>
      <c r="I329" s="52"/>
      <c r="J329" s="46"/>
      <c r="K329" s="52"/>
      <c r="L329" s="46"/>
      <c r="M329" s="52"/>
      <c r="N329" s="53"/>
      <c r="O329" s="25"/>
      <c r="P329" s="55"/>
      <c r="Q329" s="34"/>
      <c r="R329" s="54"/>
      <c r="S329" s="55"/>
      <c r="T329" s="25"/>
      <c r="U329" s="25"/>
      <c r="V329" s="24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</row>
    <row r="330">
      <c r="A330" s="25"/>
      <c r="B330" s="25"/>
      <c r="C330" s="25"/>
      <c r="D330" s="25"/>
      <c r="E330" s="25"/>
      <c r="F330" s="25"/>
      <c r="G330" s="25"/>
      <c r="H330" s="46"/>
      <c r="I330" s="52"/>
      <c r="J330" s="46"/>
      <c r="K330" s="52"/>
      <c r="L330" s="46"/>
      <c r="M330" s="52"/>
      <c r="N330" s="53"/>
      <c r="O330" s="25"/>
      <c r="P330" s="55"/>
      <c r="Q330" s="34"/>
      <c r="R330" s="54"/>
      <c r="S330" s="55"/>
      <c r="T330" s="25"/>
      <c r="U330" s="25"/>
      <c r="V330" s="24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</row>
    <row r="331">
      <c r="A331" s="25"/>
      <c r="B331" s="25"/>
      <c r="C331" s="25"/>
      <c r="D331" s="25"/>
      <c r="E331" s="25"/>
      <c r="F331" s="25"/>
      <c r="G331" s="25"/>
      <c r="H331" s="46"/>
      <c r="I331" s="52"/>
      <c r="J331" s="46"/>
      <c r="K331" s="52"/>
      <c r="L331" s="46"/>
      <c r="M331" s="52"/>
      <c r="N331" s="53"/>
      <c r="O331" s="25"/>
      <c r="P331" s="55"/>
      <c r="Q331" s="34"/>
      <c r="R331" s="54"/>
      <c r="S331" s="55"/>
      <c r="T331" s="25"/>
      <c r="U331" s="25"/>
      <c r="V331" s="24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</row>
    <row r="332">
      <c r="A332" s="25"/>
      <c r="B332" s="25"/>
      <c r="C332" s="25"/>
      <c r="D332" s="25"/>
      <c r="E332" s="25"/>
      <c r="F332" s="25"/>
      <c r="G332" s="25"/>
      <c r="H332" s="46"/>
      <c r="I332" s="52"/>
      <c r="J332" s="46"/>
      <c r="K332" s="52"/>
      <c r="L332" s="46"/>
      <c r="M332" s="52"/>
      <c r="N332" s="53"/>
      <c r="O332" s="25"/>
      <c r="P332" s="55"/>
      <c r="Q332" s="34"/>
      <c r="R332" s="54"/>
      <c r="S332" s="55"/>
      <c r="T332" s="25"/>
      <c r="U332" s="25"/>
      <c r="V332" s="24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</row>
    <row r="333">
      <c r="A333" s="25"/>
      <c r="B333" s="25"/>
      <c r="C333" s="25"/>
      <c r="D333" s="25"/>
      <c r="E333" s="25"/>
      <c r="F333" s="25"/>
      <c r="G333" s="25"/>
      <c r="H333" s="46"/>
      <c r="I333" s="52"/>
      <c r="J333" s="46"/>
      <c r="K333" s="52"/>
      <c r="L333" s="46"/>
      <c r="M333" s="52"/>
      <c r="N333" s="53"/>
      <c r="O333" s="25"/>
      <c r="P333" s="55"/>
      <c r="Q333" s="34"/>
      <c r="R333" s="54"/>
      <c r="S333" s="55"/>
      <c r="T333" s="25"/>
      <c r="U333" s="25"/>
      <c r="V333" s="24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</row>
    <row r="334">
      <c r="A334" s="25"/>
      <c r="B334" s="25"/>
      <c r="C334" s="25"/>
      <c r="D334" s="25"/>
      <c r="E334" s="25"/>
      <c r="F334" s="25"/>
      <c r="G334" s="25"/>
      <c r="H334" s="46"/>
      <c r="I334" s="52"/>
      <c r="J334" s="46"/>
      <c r="K334" s="52"/>
      <c r="L334" s="46"/>
      <c r="M334" s="52"/>
      <c r="N334" s="53"/>
      <c r="O334" s="25"/>
      <c r="P334" s="55"/>
      <c r="Q334" s="34"/>
      <c r="R334" s="54"/>
      <c r="S334" s="55"/>
      <c r="T334" s="25"/>
      <c r="U334" s="25"/>
      <c r="V334" s="24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</row>
    <row r="335">
      <c r="A335" s="25"/>
      <c r="B335" s="25"/>
      <c r="C335" s="25"/>
      <c r="D335" s="25"/>
      <c r="E335" s="25"/>
      <c r="F335" s="25"/>
      <c r="G335" s="25"/>
      <c r="H335" s="46"/>
      <c r="I335" s="52"/>
      <c r="J335" s="46"/>
      <c r="K335" s="52"/>
      <c r="L335" s="46"/>
      <c r="M335" s="52"/>
      <c r="N335" s="53"/>
      <c r="O335" s="25"/>
      <c r="P335" s="55"/>
      <c r="Q335" s="34"/>
      <c r="R335" s="54"/>
      <c r="S335" s="55"/>
      <c r="T335" s="25"/>
      <c r="U335" s="25"/>
      <c r="V335" s="24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</row>
    <row r="336">
      <c r="A336" s="25"/>
      <c r="B336" s="25"/>
      <c r="C336" s="25"/>
      <c r="D336" s="25"/>
      <c r="E336" s="25"/>
      <c r="F336" s="25"/>
      <c r="G336" s="25"/>
      <c r="H336" s="46"/>
      <c r="I336" s="52"/>
      <c r="J336" s="46"/>
      <c r="K336" s="52"/>
      <c r="L336" s="46"/>
      <c r="M336" s="52"/>
      <c r="N336" s="53"/>
      <c r="O336" s="25"/>
      <c r="P336" s="55"/>
      <c r="Q336" s="34"/>
      <c r="R336" s="54"/>
      <c r="S336" s="55"/>
      <c r="T336" s="25"/>
      <c r="U336" s="25"/>
      <c r="V336" s="24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</row>
    <row r="337">
      <c r="A337" s="25"/>
      <c r="B337" s="25"/>
      <c r="C337" s="25"/>
      <c r="D337" s="25"/>
      <c r="E337" s="25"/>
      <c r="F337" s="25"/>
      <c r="G337" s="25"/>
      <c r="H337" s="46"/>
      <c r="I337" s="52"/>
      <c r="J337" s="46"/>
      <c r="K337" s="52"/>
      <c r="L337" s="46"/>
      <c r="M337" s="52"/>
      <c r="N337" s="53"/>
      <c r="O337" s="25"/>
      <c r="P337" s="55"/>
      <c r="Q337" s="34"/>
      <c r="R337" s="54"/>
      <c r="S337" s="55"/>
      <c r="T337" s="25"/>
      <c r="U337" s="25"/>
      <c r="V337" s="24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</row>
    <row r="338">
      <c r="A338" s="25"/>
      <c r="B338" s="25"/>
      <c r="C338" s="25"/>
      <c r="D338" s="25"/>
      <c r="E338" s="25"/>
      <c r="F338" s="25"/>
      <c r="G338" s="25"/>
      <c r="H338" s="46"/>
      <c r="I338" s="52"/>
      <c r="J338" s="46"/>
      <c r="K338" s="52"/>
      <c r="L338" s="46"/>
      <c r="M338" s="52"/>
      <c r="N338" s="53"/>
      <c r="O338" s="25"/>
      <c r="P338" s="55"/>
      <c r="Q338" s="34"/>
      <c r="R338" s="54"/>
      <c r="S338" s="55"/>
      <c r="T338" s="25"/>
      <c r="U338" s="25"/>
      <c r="V338" s="24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</row>
    <row r="339">
      <c r="A339" s="25"/>
      <c r="B339" s="25"/>
      <c r="C339" s="25"/>
      <c r="D339" s="25"/>
      <c r="E339" s="25"/>
      <c r="F339" s="25"/>
      <c r="G339" s="25"/>
      <c r="H339" s="46"/>
      <c r="I339" s="52"/>
      <c r="J339" s="46"/>
      <c r="K339" s="52"/>
      <c r="L339" s="46"/>
      <c r="M339" s="52"/>
      <c r="N339" s="53"/>
      <c r="O339" s="25"/>
      <c r="P339" s="55"/>
      <c r="Q339" s="34"/>
      <c r="R339" s="54"/>
      <c r="S339" s="55"/>
      <c r="T339" s="25"/>
      <c r="U339" s="25"/>
      <c r="V339" s="24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</row>
    <row r="340">
      <c r="A340" s="25"/>
      <c r="B340" s="25"/>
      <c r="C340" s="25"/>
      <c r="D340" s="25"/>
      <c r="E340" s="25"/>
      <c r="F340" s="25"/>
      <c r="G340" s="25"/>
      <c r="H340" s="46"/>
      <c r="I340" s="52"/>
      <c r="J340" s="46"/>
      <c r="K340" s="52"/>
      <c r="L340" s="46"/>
      <c r="M340" s="52"/>
      <c r="N340" s="53"/>
      <c r="O340" s="25"/>
      <c r="P340" s="55"/>
      <c r="Q340" s="34"/>
      <c r="R340" s="54"/>
      <c r="S340" s="55"/>
      <c r="T340" s="25"/>
      <c r="U340" s="25"/>
      <c r="V340" s="24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</row>
    <row r="341">
      <c r="A341" s="25"/>
      <c r="B341" s="25"/>
      <c r="C341" s="25"/>
      <c r="D341" s="25"/>
      <c r="E341" s="25"/>
      <c r="F341" s="25"/>
      <c r="G341" s="25"/>
      <c r="H341" s="46"/>
      <c r="I341" s="52"/>
      <c r="J341" s="46"/>
      <c r="K341" s="52"/>
      <c r="L341" s="46"/>
      <c r="M341" s="52"/>
      <c r="N341" s="53"/>
      <c r="O341" s="25"/>
      <c r="P341" s="55"/>
      <c r="Q341" s="34"/>
      <c r="R341" s="54"/>
      <c r="S341" s="55"/>
      <c r="T341" s="25"/>
      <c r="U341" s="25"/>
      <c r="V341" s="24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</row>
    <row r="342">
      <c r="A342" s="25"/>
      <c r="B342" s="25"/>
      <c r="C342" s="25"/>
      <c r="D342" s="25"/>
      <c r="E342" s="25"/>
      <c r="F342" s="25"/>
      <c r="G342" s="25"/>
      <c r="H342" s="46"/>
      <c r="I342" s="52"/>
      <c r="J342" s="46"/>
      <c r="K342" s="52"/>
      <c r="L342" s="46"/>
      <c r="M342" s="52"/>
      <c r="N342" s="53"/>
      <c r="O342" s="25"/>
      <c r="P342" s="55"/>
      <c r="Q342" s="34"/>
      <c r="R342" s="54"/>
      <c r="S342" s="55"/>
      <c r="T342" s="25"/>
      <c r="U342" s="25"/>
      <c r="V342" s="24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</row>
    <row r="343">
      <c r="A343" s="25"/>
      <c r="B343" s="25"/>
      <c r="C343" s="25"/>
      <c r="D343" s="25"/>
      <c r="E343" s="25"/>
      <c r="F343" s="25"/>
      <c r="G343" s="25"/>
      <c r="H343" s="46"/>
      <c r="I343" s="52"/>
      <c r="J343" s="46"/>
      <c r="K343" s="52"/>
      <c r="L343" s="46"/>
      <c r="M343" s="52"/>
      <c r="N343" s="53"/>
      <c r="O343" s="25"/>
      <c r="P343" s="55"/>
      <c r="Q343" s="34"/>
      <c r="R343" s="54"/>
      <c r="S343" s="55"/>
      <c r="T343" s="25"/>
      <c r="U343" s="25"/>
      <c r="V343" s="24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</row>
    <row r="344">
      <c r="A344" s="25"/>
      <c r="B344" s="25"/>
      <c r="C344" s="25"/>
      <c r="D344" s="25"/>
      <c r="E344" s="25"/>
      <c r="F344" s="25"/>
      <c r="G344" s="25"/>
      <c r="H344" s="46"/>
      <c r="I344" s="52"/>
      <c r="J344" s="46"/>
      <c r="K344" s="52"/>
      <c r="L344" s="46"/>
      <c r="M344" s="52"/>
      <c r="N344" s="53"/>
      <c r="O344" s="25"/>
      <c r="P344" s="55"/>
      <c r="Q344" s="34"/>
      <c r="R344" s="54"/>
      <c r="S344" s="55"/>
      <c r="T344" s="25"/>
      <c r="U344" s="25"/>
      <c r="V344" s="24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</row>
    <row r="345">
      <c r="A345" s="25"/>
      <c r="B345" s="25"/>
      <c r="C345" s="25"/>
      <c r="D345" s="25"/>
      <c r="E345" s="25"/>
      <c r="F345" s="25"/>
      <c r="G345" s="25"/>
      <c r="H345" s="46"/>
      <c r="I345" s="52"/>
      <c r="J345" s="46"/>
      <c r="K345" s="52"/>
      <c r="L345" s="46"/>
      <c r="M345" s="52"/>
      <c r="N345" s="53"/>
      <c r="O345" s="25"/>
      <c r="P345" s="55"/>
      <c r="Q345" s="34"/>
      <c r="R345" s="54"/>
      <c r="S345" s="55"/>
      <c r="T345" s="25"/>
      <c r="U345" s="25"/>
      <c r="V345" s="24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</row>
    <row r="346">
      <c r="A346" s="25"/>
      <c r="B346" s="25"/>
      <c r="C346" s="25"/>
      <c r="D346" s="25"/>
      <c r="E346" s="25"/>
      <c r="F346" s="25"/>
      <c r="G346" s="25"/>
      <c r="H346" s="46"/>
      <c r="I346" s="52"/>
      <c r="J346" s="46"/>
      <c r="K346" s="52"/>
      <c r="L346" s="46"/>
      <c r="M346" s="52"/>
      <c r="N346" s="53"/>
      <c r="O346" s="25"/>
      <c r="P346" s="55"/>
      <c r="Q346" s="34"/>
      <c r="R346" s="54"/>
      <c r="S346" s="55"/>
      <c r="T346" s="25"/>
      <c r="U346" s="25"/>
      <c r="V346" s="24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</row>
    <row r="347">
      <c r="A347" s="25"/>
      <c r="B347" s="25"/>
      <c r="C347" s="25"/>
      <c r="D347" s="25"/>
      <c r="E347" s="25"/>
      <c r="F347" s="25"/>
      <c r="G347" s="25"/>
      <c r="H347" s="46"/>
      <c r="I347" s="52"/>
      <c r="J347" s="46"/>
      <c r="K347" s="52"/>
      <c r="L347" s="46"/>
      <c r="M347" s="52"/>
      <c r="N347" s="53"/>
      <c r="O347" s="25"/>
      <c r="P347" s="55"/>
      <c r="Q347" s="34"/>
      <c r="R347" s="54"/>
      <c r="S347" s="55"/>
      <c r="T347" s="25"/>
      <c r="U347" s="25"/>
      <c r="V347" s="24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</row>
    <row r="348">
      <c r="A348" s="25"/>
      <c r="B348" s="25"/>
      <c r="C348" s="25"/>
      <c r="D348" s="25"/>
      <c r="E348" s="25"/>
      <c r="F348" s="25"/>
      <c r="G348" s="25"/>
      <c r="H348" s="46"/>
      <c r="I348" s="52"/>
      <c r="J348" s="46"/>
      <c r="K348" s="52"/>
      <c r="L348" s="46"/>
      <c r="M348" s="52"/>
      <c r="N348" s="53"/>
      <c r="O348" s="25"/>
      <c r="P348" s="55"/>
      <c r="Q348" s="34"/>
      <c r="R348" s="54"/>
      <c r="S348" s="55"/>
      <c r="T348" s="25"/>
      <c r="U348" s="25"/>
      <c r="V348" s="24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</row>
    <row r="349">
      <c r="A349" s="25"/>
      <c r="B349" s="25"/>
      <c r="C349" s="25"/>
      <c r="D349" s="25"/>
      <c r="E349" s="25"/>
      <c r="F349" s="25"/>
      <c r="G349" s="25"/>
      <c r="H349" s="46"/>
      <c r="I349" s="52"/>
      <c r="J349" s="46"/>
      <c r="K349" s="52"/>
      <c r="L349" s="46"/>
      <c r="M349" s="52"/>
      <c r="N349" s="53"/>
      <c r="O349" s="25"/>
      <c r="P349" s="55"/>
      <c r="Q349" s="34"/>
      <c r="R349" s="54"/>
      <c r="S349" s="55"/>
      <c r="T349" s="25"/>
      <c r="U349" s="25"/>
      <c r="V349" s="24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</row>
    <row r="350">
      <c r="A350" s="25"/>
      <c r="B350" s="25"/>
      <c r="C350" s="25"/>
      <c r="D350" s="25"/>
      <c r="E350" s="25"/>
      <c r="F350" s="25"/>
      <c r="G350" s="25"/>
      <c r="H350" s="46"/>
      <c r="I350" s="52"/>
      <c r="J350" s="46"/>
      <c r="K350" s="52"/>
      <c r="L350" s="46"/>
      <c r="M350" s="52"/>
      <c r="N350" s="53"/>
      <c r="O350" s="25"/>
      <c r="P350" s="55"/>
      <c r="Q350" s="34"/>
      <c r="R350" s="54"/>
      <c r="S350" s="55"/>
      <c r="T350" s="25"/>
      <c r="U350" s="25"/>
      <c r="V350" s="24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</row>
    <row r="351">
      <c r="A351" s="25"/>
      <c r="B351" s="25"/>
      <c r="C351" s="25"/>
      <c r="D351" s="25"/>
      <c r="E351" s="25"/>
      <c r="F351" s="25"/>
      <c r="G351" s="25"/>
      <c r="H351" s="46"/>
      <c r="I351" s="52"/>
      <c r="J351" s="46"/>
      <c r="K351" s="52"/>
      <c r="L351" s="46"/>
      <c r="M351" s="52"/>
      <c r="N351" s="53"/>
      <c r="O351" s="25"/>
      <c r="P351" s="55"/>
      <c r="Q351" s="34"/>
      <c r="R351" s="54"/>
      <c r="S351" s="55"/>
      <c r="T351" s="25"/>
      <c r="U351" s="25"/>
      <c r="V351" s="24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</row>
    <row r="352">
      <c r="A352" s="25"/>
      <c r="B352" s="25"/>
      <c r="C352" s="25"/>
      <c r="D352" s="25"/>
      <c r="E352" s="25"/>
      <c r="F352" s="25"/>
      <c r="G352" s="25"/>
      <c r="H352" s="46"/>
      <c r="I352" s="52"/>
      <c r="J352" s="46"/>
      <c r="K352" s="52"/>
      <c r="L352" s="46"/>
      <c r="M352" s="52"/>
      <c r="N352" s="53"/>
      <c r="O352" s="25"/>
      <c r="P352" s="55"/>
      <c r="Q352" s="34"/>
      <c r="R352" s="54"/>
      <c r="S352" s="55"/>
      <c r="T352" s="25"/>
      <c r="U352" s="25"/>
      <c r="V352" s="24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</row>
    <row r="353">
      <c r="A353" s="25"/>
      <c r="B353" s="25"/>
      <c r="C353" s="25"/>
      <c r="D353" s="25"/>
      <c r="E353" s="25"/>
      <c r="F353" s="25"/>
      <c r="G353" s="25"/>
      <c r="H353" s="46"/>
      <c r="I353" s="52"/>
      <c r="J353" s="46"/>
      <c r="K353" s="52"/>
      <c r="L353" s="46"/>
      <c r="M353" s="52"/>
      <c r="N353" s="53"/>
      <c r="O353" s="25"/>
      <c r="P353" s="55"/>
      <c r="Q353" s="34"/>
      <c r="R353" s="54"/>
      <c r="S353" s="55"/>
      <c r="T353" s="25"/>
      <c r="U353" s="25"/>
      <c r="V353" s="24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</row>
    <row r="354">
      <c r="A354" s="25"/>
      <c r="B354" s="25"/>
      <c r="C354" s="25"/>
      <c r="D354" s="25"/>
      <c r="E354" s="25"/>
      <c r="F354" s="25"/>
      <c r="G354" s="25"/>
      <c r="H354" s="46"/>
      <c r="I354" s="52"/>
      <c r="J354" s="46"/>
      <c r="K354" s="52"/>
      <c r="L354" s="46"/>
      <c r="M354" s="52"/>
      <c r="N354" s="53"/>
      <c r="O354" s="25"/>
      <c r="P354" s="55"/>
      <c r="Q354" s="34"/>
      <c r="R354" s="54"/>
      <c r="S354" s="55"/>
      <c r="T354" s="25"/>
      <c r="U354" s="25"/>
      <c r="V354" s="24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</row>
    <row r="355">
      <c r="A355" s="25"/>
      <c r="B355" s="25"/>
      <c r="C355" s="25"/>
      <c r="D355" s="25"/>
      <c r="E355" s="25"/>
      <c r="F355" s="25"/>
      <c r="G355" s="25"/>
      <c r="H355" s="46"/>
      <c r="I355" s="52"/>
      <c r="J355" s="46"/>
      <c r="K355" s="52"/>
      <c r="L355" s="46"/>
      <c r="M355" s="52"/>
      <c r="N355" s="53"/>
      <c r="O355" s="25"/>
      <c r="P355" s="55"/>
      <c r="Q355" s="34"/>
      <c r="R355" s="54"/>
      <c r="S355" s="55"/>
      <c r="T355" s="25"/>
      <c r="U355" s="25"/>
      <c r="V355" s="24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</row>
    <row r="356">
      <c r="A356" s="25"/>
      <c r="B356" s="25"/>
      <c r="C356" s="25"/>
      <c r="D356" s="25"/>
      <c r="E356" s="25"/>
      <c r="F356" s="25"/>
      <c r="G356" s="25"/>
      <c r="H356" s="46"/>
      <c r="I356" s="52"/>
      <c r="J356" s="46"/>
      <c r="K356" s="52"/>
      <c r="L356" s="46"/>
      <c r="M356" s="52"/>
      <c r="N356" s="53"/>
      <c r="O356" s="25"/>
      <c r="P356" s="55"/>
      <c r="Q356" s="34"/>
      <c r="R356" s="54"/>
      <c r="S356" s="55"/>
      <c r="T356" s="25"/>
      <c r="U356" s="25"/>
      <c r="V356" s="24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</row>
    <row r="357">
      <c r="A357" s="25"/>
      <c r="B357" s="25"/>
      <c r="C357" s="25"/>
      <c r="D357" s="25"/>
      <c r="E357" s="25"/>
      <c r="F357" s="25"/>
      <c r="G357" s="25"/>
      <c r="H357" s="46"/>
      <c r="I357" s="52"/>
      <c r="J357" s="46"/>
      <c r="K357" s="52"/>
      <c r="L357" s="46"/>
      <c r="M357" s="52"/>
      <c r="N357" s="53"/>
      <c r="O357" s="25"/>
      <c r="P357" s="55"/>
      <c r="Q357" s="34"/>
      <c r="R357" s="54"/>
      <c r="S357" s="55"/>
      <c r="T357" s="25"/>
      <c r="U357" s="25"/>
      <c r="V357" s="24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</row>
    <row r="358">
      <c r="A358" s="25"/>
      <c r="B358" s="25"/>
      <c r="C358" s="25"/>
      <c r="D358" s="25"/>
      <c r="E358" s="25"/>
      <c r="F358" s="25"/>
      <c r="G358" s="25"/>
      <c r="H358" s="46"/>
      <c r="I358" s="52"/>
      <c r="J358" s="46"/>
      <c r="K358" s="52"/>
      <c r="L358" s="46"/>
      <c r="M358" s="52"/>
      <c r="N358" s="53"/>
      <c r="O358" s="25"/>
      <c r="P358" s="55"/>
      <c r="Q358" s="34"/>
      <c r="R358" s="54"/>
      <c r="S358" s="55"/>
      <c r="T358" s="25"/>
      <c r="U358" s="25"/>
      <c r="V358" s="24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</row>
    <row r="359">
      <c r="A359" s="25"/>
      <c r="B359" s="25"/>
      <c r="C359" s="25"/>
      <c r="D359" s="25"/>
      <c r="E359" s="25"/>
      <c r="F359" s="25"/>
      <c r="G359" s="25"/>
      <c r="H359" s="46"/>
      <c r="I359" s="52"/>
      <c r="J359" s="46"/>
      <c r="K359" s="52"/>
      <c r="L359" s="46"/>
      <c r="M359" s="52"/>
      <c r="N359" s="53"/>
      <c r="O359" s="25"/>
      <c r="P359" s="55"/>
      <c r="Q359" s="34"/>
      <c r="R359" s="54"/>
      <c r="S359" s="55"/>
      <c r="T359" s="25"/>
      <c r="U359" s="25"/>
      <c r="V359" s="24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</row>
    <row r="360">
      <c r="A360" s="25"/>
      <c r="B360" s="25"/>
      <c r="C360" s="25"/>
      <c r="D360" s="25"/>
      <c r="E360" s="25"/>
      <c r="F360" s="25"/>
      <c r="G360" s="25"/>
      <c r="H360" s="46"/>
      <c r="I360" s="52"/>
      <c r="J360" s="46"/>
      <c r="K360" s="52"/>
      <c r="L360" s="46"/>
      <c r="M360" s="52"/>
      <c r="N360" s="53"/>
      <c r="O360" s="25"/>
      <c r="P360" s="55"/>
      <c r="Q360" s="34"/>
      <c r="R360" s="54"/>
      <c r="S360" s="55"/>
      <c r="T360" s="25"/>
      <c r="U360" s="25"/>
      <c r="V360" s="24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</row>
    <row r="361">
      <c r="A361" s="25"/>
      <c r="B361" s="25"/>
      <c r="C361" s="25"/>
      <c r="D361" s="25"/>
      <c r="E361" s="25"/>
      <c r="F361" s="25"/>
      <c r="G361" s="25"/>
      <c r="H361" s="46"/>
      <c r="I361" s="52"/>
      <c r="J361" s="46"/>
      <c r="K361" s="52"/>
      <c r="L361" s="46"/>
      <c r="M361" s="52"/>
      <c r="N361" s="53"/>
      <c r="O361" s="25"/>
      <c r="P361" s="55"/>
      <c r="Q361" s="34"/>
      <c r="R361" s="54"/>
      <c r="S361" s="55"/>
      <c r="T361" s="25"/>
      <c r="U361" s="25"/>
      <c r="V361" s="24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</row>
    <row r="362">
      <c r="A362" s="25"/>
      <c r="B362" s="25"/>
      <c r="C362" s="25"/>
      <c r="D362" s="25"/>
      <c r="E362" s="25"/>
      <c r="F362" s="25"/>
      <c r="G362" s="25"/>
      <c r="H362" s="46"/>
      <c r="I362" s="52"/>
      <c r="J362" s="46"/>
      <c r="K362" s="52"/>
      <c r="L362" s="46"/>
      <c r="M362" s="52"/>
      <c r="N362" s="53"/>
      <c r="O362" s="25"/>
      <c r="P362" s="55"/>
      <c r="Q362" s="34"/>
      <c r="R362" s="54"/>
      <c r="S362" s="55"/>
      <c r="T362" s="25"/>
      <c r="U362" s="25"/>
      <c r="V362" s="24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</row>
    <row r="363">
      <c r="A363" s="25"/>
      <c r="B363" s="25"/>
      <c r="C363" s="25"/>
      <c r="D363" s="25"/>
      <c r="E363" s="25"/>
      <c r="F363" s="25"/>
      <c r="G363" s="25"/>
      <c r="H363" s="46"/>
      <c r="I363" s="52"/>
      <c r="J363" s="46"/>
      <c r="K363" s="52"/>
      <c r="L363" s="46"/>
      <c r="M363" s="52"/>
      <c r="N363" s="53"/>
      <c r="O363" s="25"/>
      <c r="P363" s="55"/>
      <c r="Q363" s="34"/>
      <c r="R363" s="54"/>
      <c r="S363" s="55"/>
      <c r="T363" s="25"/>
      <c r="U363" s="25"/>
      <c r="V363" s="24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</row>
    <row r="364">
      <c r="A364" s="25"/>
      <c r="B364" s="25"/>
      <c r="C364" s="25"/>
      <c r="D364" s="25"/>
      <c r="E364" s="25"/>
      <c r="F364" s="25"/>
      <c r="G364" s="25"/>
      <c r="H364" s="46"/>
      <c r="I364" s="52"/>
      <c r="J364" s="46"/>
      <c r="K364" s="52"/>
      <c r="L364" s="46"/>
      <c r="M364" s="52"/>
      <c r="N364" s="53"/>
      <c r="O364" s="25"/>
      <c r="P364" s="55"/>
      <c r="Q364" s="34"/>
      <c r="R364" s="54"/>
      <c r="S364" s="55"/>
      <c r="T364" s="25"/>
      <c r="U364" s="25"/>
      <c r="V364" s="24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</row>
    <row r="365">
      <c r="A365" s="25"/>
      <c r="B365" s="25"/>
      <c r="C365" s="25"/>
      <c r="D365" s="25"/>
      <c r="E365" s="25"/>
      <c r="F365" s="25"/>
      <c r="G365" s="25"/>
      <c r="H365" s="46"/>
      <c r="I365" s="52"/>
      <c r="J365" s="46"/>
      <c r="K365" s="52"/>
      <c r="L365" s="46"/>
      <c r="M365" s="52"/>
      <c r="N365" s="53"/>
      <c r="O365" s="25"/>
      <c r="P365" s="55"/>
      <c r="Q365" s="34"/>
      <c r="R365" s="54"/>
      <c r="S365" s="55"/>
      <c r="T365" s="25"/>
      <c r="U365" s="25"/>
      <c r="V365" s="24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</row>
    <row r="366">
      <c r="A366" s="25"/>
      <c r="B366" s="25"/>
      <c r="C366" s="25"/>
      <c r="D366" s="25"/>
      <c r="E366" s="25"/>
      <c r="F366" s="25"/>
      <c r="G366" s="25"/>
      <c r="H366" s="46"/>
      <c r="I366" s="52"/>
      <c r="J366" s="46"/>
      <c r="K366" s="52"/>
      <c r="L366" s="46"/>
      <c r="M366" s="52"/>
      <c r="N366" s="53"/>
      <c r="O366" s="25"/>
      <c r="P366" s="55"/>
      <c r="Q366" s="34"/>
      <c r="R366" s="54"/>
      <c r="S366" s="55"/>
      <c r="T366" s="25"/>
      <c r="U366" s="25"/>
      <c r="V366" s="24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</row>
    <row r="367">
      <c r="A367" s="25"/>
      <c r="B367" s="25"/>
      <c r="C367" s="25"/>
      <c r="D367" s="25"/>
      <c r="E367" s="25"/>
      <c r="F367" s="25"/>
      <c r="G367" s="25"/>
      <c r="H367" s="46"/>
      <c r="I367" s="52"/>
      <c r="J367" s="46"/>
      <c r="K367" s="52"/>
      <c r="L367" s="46"/>
      <c r="M367" s="52"/>
      <c r="N367" s="53"/>
      <c r="O367" s="25"/>
      <c r="P367" s="55"/>
      <c r="Q367" s="34"/>
      <c r="R367" s="54"/>
      <c r="S367" s="55"/>
      <c r="T367" s="25"/>
      <c r="U367" s="25"/>
      <c r="V367" s="24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</row>
    <row r="368">
      <c r="A368" s="25"/>
      <c r="B368" s="25"/>
      <c r="C368" s="25"/>
      <c r="D368" s="25"/>
      <c r="E368" s="25"/>
      <c r="F368" s="25"/>
      <c r="G368" s="25"/>
      <c r="H368" s="46"/>
      <c r="I368" s="52"/>
      <c r="J368" s="46"/>
      <c r="K368" s="52"/>
      <c r="L368" s="46"/>
      <c r="M368" s="52"/>
      <c r="N368" s="53"/>
      <c r="O368" s="25"/>
      <c r="P368" s="55"/>
      <c r="Q368" s="34"/>
      <c r="R368" s="54"/>
      <c r="S368" s="55"/>
      <c r="T368" s="25"/>
      <c r="U368" s="25"/>
      <c r="V368" s="24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</row>
    <row r="369">
      <c r="A369" s="25"/>
      <c r="B369" s="25"/>
      <c r="C369" s="25"/>
      <c r="D369" s="25"/>
      <c r="E369" s="25"/>
      <c r="F369" s="25"/>
      <c r="G369" s="25"/>
      <c r="H369" s="46"/>
      <c r="I369" s="52"/>
      <c r="J369" s="46"/>
      <c r="K369" s="52"/>
      <c r="L369" s="46"/>
      <c r="M369" s="52"/>
      <c r="N369" s="53"/>
      <c r="O369" s="25"/>
      <c r="P369" s="55"/>
      <c r="Q369" s="34"/>
      <c r="R369" s="54"/>
      <c r="S369" s="55"/>
      <c r="T369" s="25"/>
      <c r="U369" s="25"/>
      <c r="V369" s="24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</row>
    <row r="370">
      <c r="A370" s="25"/>
      <c r="B370" s="25"/>
      <c r="C370" s="25"/>
      <c r="D370" s="25"/>
      <c r="E370" s="25"/>
      <c r="F370" s="25"/>
      <c r="G370" s="25"/>
      <c r="H370" s="46"/>
      <c r="I370" s="52"/>
      <c r="J370" s="46"/>
      <c r="K370" s="52"/>
      <c r="L370" s="46"/>
      <c r="M370" s="52"/>
      <c r="N370" s="53"/>
      <c r="O370" s="25"/>
      <c r="P370" s="55"/>
      <c r="Q370" s="34"/>
      <c r="R370" s="54"/>
      <c r="S370" s="55"/>
      <c r="T370" s="25"/>
      <c r="U370" s="25"/>
      <c r="V370" s="24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</row>
    <row r="371">
      <c r="A371" s="25"/>
      <c r="B371" s="25"/>
      <c r="C371" s="25"/>
      <c r="D371" s="25"/>
      <c r="E371" s="25"/>
      <c r="F371" s="25"/>
      <c r="G371" s="25"/>
      <c r="H371" s="46"/>
      <c r="I371" s="52"/>
      <c r="J371" s="46"/>
      <c r="K371" s="52"/>
      <c r="L371" s="46"/>
      <c r="M371" s="52"/>
      <c r="N371" s="53"/>
      <c r="O371" s="25"/>
      <c r="P371" s="55"/>
      <c r="Q371" s="34"/>
      <c r="R371" s="54"/>
      <c r="S371" s="55"/>
      <c r="T371" s="25"/>
      <c r="U371" s="25"/>
      <c r="V371" s="24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</row>
    <row r="372">
      <c r="A372" s="25"/>
      <c r="B372" s="25"/>
      <c r="C372" s="25"/>
      <c r="D372" s="25"/>
      <c r="E372" s="25"/>
      <c r="F372" s="25"/>
      <c r="G372" s="25"/>
      <c r="H372" s="46"/>
      <c r="I372" s="52"/>
      <c r="J372" s="46"/>
      <c r="K372" s="52"/>
      <c r="L372" s="46"/>
      <c r="M372" s="52"/>
      <c r="N372" s="53"/>
      <c r="O372" s="25"/>
      <c r="P372" s="55"/>
      <c r="Q372" s="34"/>
      <c r="R372" s="54"/>
      <c r="S372" s="55"/>
      <c r="T372" s="25"/>
      <c r="U372" s="25"/>
      <c r="V372" s="24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</row>
    <row r="373">
      <c r="A373" s="25"/>
      <c r="B373" s="25"/>
      <c r="C373" s="25"/>
      <c r="D373" s="25"/>
      <c r="E373" s="25"/>
      <c r="F373" s="25"/>
      <c r="G373" s="25"/>
      <c r="H373" s="46"/>
      <c r="I373" s="52"/>
      <c r="J373" s="46"/>
      <c r="K373" s="52"/>
      <c r="L373" s="46"/>
      <c r="M373" s="52"/>
      <c r="N373" s="53"/>
      <c r="O373" s="25"/>
      <c r="P373" s="55"/>
      <c r="Q373" s="34"/>
      <c r="R373" s="54"/>
      <c r="S373" s="55"/>
      <c r="T373" s="25"/>
      <c r="U373" s="25"/>
      <c r="V373" s="24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</row>
    <row r="374">
      <c r="A374" s="25"/>
      <c r="B374" s="25"/>
      <c r="C374" s="25"/>
      <c r="D374" s="25"/>
      <c r="E374" s="25"/>
      <c r="F374" s="25"/>
      <c r="G374" s="25"/>
      <c r="H374" s="46"/>
      <c r="I374" s="52"/>
      <c r="J374" s="46"/>
      <c r="K374" s="52"/>
      <c r="L374" s="46"/>
      <c r="M374" s="52"/>
      <c r="N374" s="53"/>
      <c r="O374" s="25"/>
      <c r="P374" s="55"/>
      <c r="Q374" s="34"/>
      <c r="R374" s="54"/>
      <c r="S374" s="55"/>
      <c r="T374" s="25"/>
      <c r="U374" s="25"/>
      <c r="V374" s="24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</row>
    <row r="375">
      <c r="A375" s="25"/>
      <c r="B375" s="25"/>
      <c r="C375" s="25"/>
      <c r="D375" s="25"/>
      <c r="E375" s="25"/>
      <c r="F375" s="25"/>
      <c r="G375" s="25"/>
      <c r="H375" s="46"/>
      <c r="I375" s="52"/>
      <c r="J375" s="46"/>
      <c r="K375" s="52"/>
      <c r="L375" s="46"/>
      <c r="M375" s="52"/>
      <c r="N375" s="53"/>
      <c r="O375" s="25"/>
      <c r="P375" s="55"/>
      <c r="Q375" s="34"/>
      <c r="R375" s="54"/>
      <c r="S375" s="55"/>
      <c r="T375" s="25"/>
      <c r="U375" s="25"/>
      <c r="V375" s="24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</row>
    <row r="376">
      <c r="A376" s="25"/>
      <c r="B376" s="25"/>
      <c r="C376" s="25"/>
      <c r="D376" s="25"/>
      <c r="E376" s="25"/>
      <c r="F376" s="25"/>
      <c r="G376" s="25"/>
      <c r="H376" s="46"/>
      <c r="I376" s="52"/>
      <c r="J376" s="46"/>
      <c r="K376" s="52"/>
      <c r="L376" s="46"/>
      <c r="M376" s="52"/>
      <c r="N376" s="53"/>
      <c r="O376" s="25"/>
      <c r="P376" s="55"/>
      <c r="Q376" s="34"/>
      <c r="R376" s="54"/>
      <c r="S376" s="55"/>
      <c r="T376" s="25"/>
      <c r="U376" s="25"/>
      <c r="V376" s="24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</row>
    <row r="377">
      <c r="A377" s="25"/>
      <c r="B377" s="25"/>
      <c r="C377" s="25"/>
      <c r="D377" s="25"/>
      <c r="E377" s="25"/>
      <c r="F377" s="25"/>
      <c r="G377" s="25"/>
      <c r="H377" s="46"/>
      <c r="I377" s="52"/>
      <c r="J377" s="46"/>
      <c r="K377" s="52"/>
      <c r="L377" s="46"/>
      <c r="M377" s="52"/>
      <c r="N377" s="53"/>
      <c r="O377" s="25"/>
      <c r="P377" s="55"/>
      <c r="Q377" s="34"/>
      <c r="R377" s="54"/>
      <c r="S377" s="55"/>
      <c r="T377" s="25"/>
      <c r="U377" s="25"/>
      <c r="V377" s="24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</row>
    <row r="378">
      <c r="A378" s="25"/>
      <c r="B378" s="25"/>
      <c r="C378" s="25"/>
      <c r="D378" s="25"/>
      <c r="E378" s="25"/>
      <c r="F378" s="25"/>
      <c r="G378" s="25"/>
      <c r="H378" s="46"/>
      <c r="I378" s="52"/>
      <c r="J378" s="46"/>
      <c r="K378" s="52"/>
      <c r="L378" s="46"/>
      <c r="M378" s="52"/>
      <c r="N378" s="53"/>
      <c r="O378" s="25"/>
      <c r="P378" s="55"/>
      <c r="Q378" s="34"/>
      <c r="R378" s="54"/>
      <c r="S378" s="55"/>
      <c r="T378" s="25"/>
      <c r="U378" s="25"/>
      <c r="V378" s="24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</row>
    <row r="379">
      <c r="A379" s="25"/>
      <c r="B379" s="25"/>
      <c r="C379" s="25"/>
      <c r="D379" s="25"/>
      <c r="E379" s="25"/>
      <c r="F379" s="25"/>
      <c r="G379" s="25"/>
      <c r="H379" s="46"/>
      <c r="I379" s="52"/>
      <c r="J379" s="46"/>
      <c r="K379" s="52"/>
      <c r="L379" s="46"/>
      <c r="M379" s="52"/>
      <c r="N379" s="53"/>
      <c r="O379" s="25"/>
      <c r="P379" s="55"/>
      <c r="Q379" s="34"/>
      <c r="R379" s="54"/>
      <c r="S379" s="55"/>
      <c r="T379" s="25"/>
      <c r="U379" s="25"/>
      <c r="V379" s="24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</row>
    <row r="380">
      <c r="A380" s="25"/>
      <c r="B380" s="25"/>
      <c r="C380" s="25"/>
      <c r="D380" s="25"/>
      <c r="E380" s="25"/>
      <c r="F380" s="25"/>
      <c r="G380" s="25"/>
      <c r="H380" s="46"/>
      <c r="I380" s="52"/>
      <c r="J380" s="46"/>
      <c r="K380" s="52"/>
      <c r="L380" s="46"/>
      <c r="M380" s="52"/>
      <c r="N380" s="53"/>
      <c r="O380" s="25"/>
      <c r="P380" s="55"/>
      <c r="Q380" s="34"/>
      <c r="R380" s="54"/>
      <c r="S380" s="55"/>
      <c r="T380" s="25"/>
      <c r="U380" s="25"/>
      <c r="V380" s="24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</row>
    <row r="381">
      <c r="A381" s="25"/>
      <c r="B381" s="25"/>
      <c r="C381" s="25"/>
      <c r="D381" s="25"/>
      <c r="E381" s="25"/>
      <c r="F381" s="25"/>
      <c r="G381" s="25"/>
      <c r="H381" s="46"/>
      <c r="I381" s="52"/>
      <c r="J381" s="46"/>
      <c r="K381" s="52"/>
      <c r="L381" s="46"/>
      <c r="M381" s="52"/>
      <c r="N381" s="53"/>
      <c r="O381" s="25"/>
      <c r="P381" s="55"/>
      <c r="Q381" s="34"/>
      <c r="R381" s="54"/>
      <c r="S381" s="55"/>
      <c r="T381" s="25"/>
      <c r="U381" s="25"/>
      <c r="V381" s="24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</row>
    <row r="382">
      <c r="A382" s="25"/>
      <c r="B382" s="25"/>
      <c r="C382" s="25"/>
      <c r="D382" s="25"/>
      <c r="E382" s="25"/>
      <c r="F382" s="25"/>
      <c r="G382" s="25"/>
      <c r="H382" s="46"/>
      <c r="I382" s="52"/>
      <c r="J382" s="46"/>
      <c r="K382" s="52"/>
      <c r="L382" s="46"/>
      <c r="M382" s="52"/>
      <c r="N382" s="53"/>
      <c r="O382" s="25"/>
      <c r="P382" s="55"/>
      <c r="Q382" s="34"/>
      <c r="R382" s="54"/>
      <c r="S382" s="55"/>
      <c r="T382" s="25"/>
      <c r="U382" s="25"/>
      <c r="V382" s="24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</row>
    <row r="383">
      <c r="A383" s="25"/>
      <c r="B383" s="25"/>
      <c r="C383" s="25"/>
      <c r="D383" s="25"/>
      <c r="E383" s="25"/>
      <c r="F383" s="25"/>
      <c r="G383" s="25"/>
      <c r="H383" s="46"/>
      <c r="I383" s="52"/>
      <c r="J383" s="46"/>
      <c r="K383" s="52"/>
      <c r="L383" s="46"/>
      <c r="M383" s="52"/>
      <c r="N383" s="53"/>
      <c r="O383" s="25"/>
      <c r="P383" s="55"/>
      <c r="Q383" s="34"/>
      <c r="R383" s="54"/>
      <c r="S383" s="55"/>
      <c r="T383" s="25"/>
      <c r="U383" s="25"/>
      <c r="V383" s="24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</row>
    <row r="384">
      <c r="A384" s="25"/>
      <c r="B384" s="25"/>
      <c r="C384" s="25"/>
      <c r="D384" s="25"/>
      <c r="E384" s="25"/>
      <c r="F384" s="25"/>
      <c r="G384" s="25"/>
      <c r="H384" s="46"/>
      <c r="I384" s="52"/>
      <c r="J384" s="46"/>
      <c r="K384" s="52"/>
      <c r="L384" s="46"/>
      <c r="M384" s="52"/>
      <c r="N384" s="53"/>
      <c r="O384" s="25"/>
      <c r="P384" s="55"/>
      <c r="Q384" s="34"/>
      <c r="R384" s="54"/>
      <c r="S384" s="55"/>
      <c r="T384" s="25"/>
      <c r="U384" s="25"/>
      <c r="V384" s="24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</row>
    <row r="385">
      <c r="A385" s="25"/>
      <c r="B385" s="25"/>
      <c r="C385" s="25"/>
      <c r="D385" s="25"/>
      <c r="E385" s="25"/>
      <c r="F385" s="25"/>
      <c r="G385" s="25"/>
      <c r="H385" s="46"/>
      <c r="I385" s="52"/>
      <c r="J385" s="46"/>
      <c r="K385" s="52"/>
      <c r="L385" s="46"/>
      <c r="M385" s="52"/>
      <c r="N385" s="53"/>
      <c r="O385" s="25"/>
      <c r="P385" s="55"/>
      <c r="Q385" s="34"/>
      <c r="R385" s="54"/>
      <c r="S385" s="55"/>
      <c r="T385" s="25"/>
      <c r="U385" s="25"/>
      <c r="V385" s="24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</row>
    <row r="386">
      <c r="A386" s="25"/>
      <c r="B386" s="25"/>
      <c r="C386" s="25"/>
      <c r="D386" s="25"/>
      <c r="E386" s="25"/>
      <c r="F386" s="25"/>
      <c r="G386" s="25"/>
      <c r="H386" s="46"/>
      <c r="I386" s="52"/>
      <c r="J386" s="46"/>
      <c r="K386" s="52"/>
      <c r="L386" s="46"/>
      <c r="M386" s="52"/>
      <c r="N386" s="53"/>
      <c r="O386" s="25"/>
      <c r="P386" s="55"/>
      <c r="Q386" s="34"/>
      <c r="R386" s="54"/>
      <c r="S386" s="55"/>
      <c r="T386" s="25"/>
      <c r="U386" s="25"/>
      <c r="V386" s="24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</row>
    <row r="387">
      <c r="A387" s="25"/>
      <c r="B387" s="25"/>
      <c r="C387" s="25"/>
      <c r="D387" s="25"/>
      <c r="E387" s="25"/>
      <c r="F387" s="25"/>
      <c r="G387" s="25"/>
      <c r="H387" s="46"/>
      <c r="I387" s="52"/>
      <c r="J387" s="46"/>
      <c r="K387" s="52"/>
      <c r="L387" s="46"/>
      <c r="M387" s="52"/>
      <c r="N387" s="53"/>
      <c r="O387" s="25"/>
      <c r="P387" s="55"/>
      <c r="Q387" s="34"/>
      <c r="R387" s="54"/>
      <c r="S387" s="55"/>
      <c r="T387" s="25"/>
      <c r="U387" s="25"/>
      <c r="V387" s="24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</row>
    <row r="388">
      <c r="A388" s="25"/>
      <c r="B388" s="25"/>
      <c r="C388" s="25"/>
      <c r="D388" s="25"/>
      <c r="E388" s="25"/>
      <c r="F388" s="25"/>
      <c r="G388" s="25"/>
      <c r="H388" s="46"/>
      <c r="I388" s="52"/>
      <c r="J388" s="46"/>
      <c r="K388" s="52"/>
      <c r="L388" s="46"/>
      <c r="M388" s="52"/>
      <c r="N388" s="53"/>
      <c r="O388" s="25"/>
      <c r="P388" s="55"/>
      <c r="Q388" s="34"/>
      <c r="R388" s="54"/>
      <c r="S388" s="55"/>
      <c r="T388" s="25"/>
      <c r="U388" s="25"/>
      <c r="V388" s="24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</row>
    <row r="389">
      <c r="A389" s="25"/>
      <c r="B389" s="25"/>
      <c r="C389" s="25"/>
      <c r="D389" s="25"/>
      <c r="E389" s="25"/>
      <c r="F389" s="25"/>
      <c r="G389" s="25"/>
      <c r="H389" s="46"/>
      <c r="I389" s="52"/>
      <c r="J389" s="46"/>
      <c r="K389" s="52"/>
      <c r="L389" s="46"/>
      <c r="M389" s="52"/>
      <c r="N389" s="53"/>
      <c r="O389" s="25"/>
      <c r="P389" s="55"/>
      <c r="Q389" s="34"/>
      <c r="R389" s="54"/>
      <c r="S389" s="55"/>
      <c r="T389" s="25"/>
      <c r="U389" s="25"/>
      <c r="V389" s="24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</row>
    <row r="390">
      <c r="A390" s="25"/>
      <c r="B390" s="25"/>
      <c r="C390" s="25"/>
      <c r="D390" s="25"/>
      <c r="E390" s="25"/>
      <c r="F390" s="25"/>
      <c r="G390" s="25"/>
      <c r="H390" s="46"/>
      <c r="I390" s="52"/>
      <c r="J390" s="46"/>
      <c r="K390" s="52"/>
      <c r="L390" s="46"/>
      <c r="M390" s="52"/>
      <c r="N390" s="53"/>
      <c r="O390" s="25"/>
      <c r="P390" s="55"/>
      <c r="Q390" s="34"/>
      <c r="R390" s="54"/>
      <c r="S390" s="55"/>
      <c r="T390" s="25"/>
      <c r="U390" s="25"/>
      <c r="V390" s="24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</row>
    <row r="391">
      <c r="A391" s="25"/>
      <c r="B391" s="25"/>
      <c r="C391" s="25"/>
      <c r="D391" s="25"/>
      <c r="E391" s="25"/>
      <c r="F391" s="25"/>
      <c r="G391" s="25"/>
      <c r="H391" s="46"/>
      <c r="I391" s="52"/>
      <c r="J391" s="46"/>
      <c r="K391" s="52"/>
      <c r="L391" s="46"/>
      <c r="M391" s="52"/>
      <c r="N391" s="53"/>
      <c r="O391" s="25"/>
      <c r="P391" s="55"/>
      <c r="Q391" s="34"/>
      <c r="R391" s="54"/>
      <c r="S391" s="55"/>
      <c r="T391" s="25"/>
      <c r="U391" s="25"/>
      <c r="V391" s="24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</row>
    <row r="392">
      <c r="A392" s="25"/>
      <c r="B392" s="25"/>
      <c r="C392" s="25"/>
      <c r="D392" s="25"/>
      <c r="E392" s="25"/>
      <c r="F392" s="25"/>
      <c r="G392" s="25"/>
      <c r="H392" s="46"/>
      <c r="I392" s="52"/>
      <c r="J392" s="46"/>
      <c r="K392" s="52"/>
      <c r="L392" s="46"/>
      <c r="M392" s="52"/>
      <c r="N392" s="53"/>
      <c r="O392" s="25"/>
      <c r="P392" s="55"/>
      <c r="Q392" s="34"/>
      <c r="R392" s="54"/>
      <c r="S392" s="55"/>
      <c r="T392" s="25"/>
      <c r="U392" s="25"/>
      <c r="V392" s="24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</row>
    <row r="393">
      <c r="A393" s="25"/>
      <c r="B393" s="25"/>
      <c r="C393" s="25"/>
      <c r="D393" s="25"/>
      <c r="E393" s="25"/>
      <c r="F393" s="25"/>
      <c r="G393" s="25"/>
      <c r="H393" s="46"/>
      <c r="I393" s="52"/>
      <c r="J393" s="46"/>
      <c r="K393" s="52"/>
      <c r="L393" s="46"/>
      <c r="M393" s="52"/>
      <c r="N393" s="53"/>
      <c r="O393" s="25"/>
      <c r="P393" s="55"/>
      <c r="Q393" s="34"/>
      <c r="R393" s="54"/>
      <c r="S393" s="55"/>
      <c r="T393" s="25"/>
      <c r="U393" s="25"/>
      <c r="V393" s="24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</row>
    <row r="394">
      <c r="A394" s="25"/>
      <c r="B394" s="25"/>
      <c r="C394" s="25"/>
      <c r="D394" s="25"/>
      <c r="E394" s="25"/>
      <c r="F394" s="25"/>
      <c r="G394" s="25"/>
      <c r="H394" s="46"/>
      <c r="I394" s="52"/>
      <c r="J394" s="46"/>
      <c r="K394" s="52"/>
      <c r="L394" s="46"/>
      <c r="M394" s="52"/>
      <c r="N394" s="53"/>
      <c r="O394" s="25"/>
      <c r="P394" s="55"/>
      <c r="Q394" s="34"/>
      <c r="R394" s="54"/>
      <c r="S394" s="55"/>
      <c r="T394" s="25"/>
      <c r="U394" s="25"/>
      <c r="V394" s="24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</row>
    <row r="395">
      <c r="A395" s="25"/>
      <c r="B395" s="25"/>
      <c r="C395" s="25"/>
      <c r="D395" s="25"/>
      <c r="E395" s="25"/>
      <c r="F395" s="25"/>
      <c r="G395" s="25"/>
      <c r="H395" s="46"/>
      <c r="I395" s="52"/>
      <c r="J395" s="46"/>
      <c r="K395" s="52"/>
      <c r="L395" s="46"/>
      <c r="M395" s="52"/>
      <c r="N395" s="53"/>
      <c r="O395" s="25"/>
      <c r="P395" s="55"/>
      <c r="Q395" s="34"/>
      <c r="R395" s="54"/>
      <c r="S395" s="55"/>
      <c r="T395" s="25"/>
      <c r="U395" s="25"/>
      <c r="V395" s="24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</row>
    <row r="396">
      <c r="A396" s="25"/>
      <c r="B396" s="25"/>
      <c r="C396" s="25"/>
      <c r="D396" s="25"/>
      <c r="E396" s="25"/>
      <c r="F396" s="25"/>
      <c r="G396" s="25"/>
      <c r="H396" s="46"/>
      <c r="I396" s="52"/>
      <c r="J396" s="46"/>
      <c r="K396" s="52"/>
      <c r="L396" s="46"/>
      <c r="M396" s="52"/>
      <c r="N396" s="53"/>
      <c r="O396" s="25"/>
      <c r="P396" s="55"/>
      <c r="Q396" s="34"/>
      <c r="R396" s="54"/>
      <c r="S396" s="55"/>
      <c r="T396" s="25"/>
      <c r="U396" s="25"/>
      <c r="V396" s="24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</row>
    <row r="397">
      <c r="A397" s="25"/>
      <c r="B397" s="25"/>
      <c r="C397" s="25"/>
      <c r="D397" s="25"/>
      <c r="E397" s="25"/>
      <c r="F397" s="25"/>
      <c r="G397" s="25"/>
      <c r="H397" s="46"/>
      <c r="I397" s="52"/>
      <c r="J397" s="46"/>
      <c r="K397" s="52"/>
      <c r="L397" s="46"/>
      <c r="M397" s="52"/>
      <c r="N397" s="53"/>
      <c r="O397" s="25"/>
      <c r="P397" s="55"/>
      <c r="Q397" s="34"/>
      <c r="R397" s="54"/>
      <c r="S397" s="55"/>
      <c r="T397" s="25"/>
      <c r="U397" s="25"/>
      <c r="V397" s="24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</row>
    <row r="398">
      <c r="A398" s="25"/>
      <c r="B398" s="25"/>
      <c r="C398" s="25"/>
      <c r="D398" s="25"/>
      <c r="E398" s="25"/>
      <c r="F398" s="25"/>
      <c r="G398" s="25"/>
      <c r="H398" s="46"/>
      <c r="I398" s="52"/>
      <c r="J398" s="46"/>
      <c r="K398" s="52"/>
      <c r="L398" s="46"/>
      <c r="M398" s="52"/>
      <c r="N398" s="53"/>
      <c r="O398" s="25"/>
      <c r="P398" s="55"/>
      <c r="Q398" s="34"/>
      <c r="R398" s="54"/>
      <c r="S398" s="55"/>
      <c r="T398" s="25"/>
      <c r="U398" s="25"/>
      <c r="V398" s="24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</row>
    <row r="399">
      <c r="A399" s="25"/>
      <c r="B399" s="25"/>
      <c r="C399" s="25"/>
      <c r="D399" s="25"/>
      <c r="E399" s="25"/>
      <c r="F399" s="25"/>
      <c r="G399" s="25"/>
      <c r="H399" s="46"/>
      <c r="I399" s="52"/>
      <c r="J399" s="46"/>
      <c r="K399" s="52"/>
      <c r="L399" s="46"/>
      <c r="M399" s="52"/>
      <c r="N399" s="53"/>
      <c r="O399" s="25"/>
      <c r="P399" s="55"/>
      <c r="Q399" s="34"/>
      <c r="R399" s="54"/>
      <c r="S399" s="55"/>
      <c r="T399" s="25"/>
      <c r="U399" s="25"/>
      <c r="V399" s="24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</row>
    <row r="400">
      <c r="A400" s="25"/>
      <c r="B400" s="25"/>
      <c r="C400" s="25"/>
      <c r="D400" s="25"/>
      <c r="E400" s="25"/>
      <c r="F400" s="25"/>
      <c r="G400" s="25"/>
      <c r="H400" s="46"/>
      <c r="I400" s="52"/>
      <c r="J400" s="46"/>
      <c r="K400" s="52"/>
      <c r="L400" s="46"/>
      <c r="M400" s="52"/>
      <c r="N400" s="53"/>
      <c r="O400" s="25"/>
      <c r="P400" s="55"/>
      <c r="Q400" s="34"/>
      <c r="R400" s="54"/>
      <c r="S400" s="55"/>
      <c r="T400" s="25"/>
      <c r="U400" s="25"/>
      <c r="V400" s="24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</row>
    <row r="401">
      <c r="A401" s="25"/>
      <c r="B401" s="25"/>
      <c r="C401" s="25"/>
      <c r="D401" s="25"/>
      <c r="E401" s="25"/>
      <c r="F401" s="25"/>
      <c r="G401" s="25"/>
      <c r="H401" s="46"/>
      <c r="I401" s="52"/>
      <c r="J401" s="46"/>
      <c r="K401" s="52"/>
      <c r="L401" s="46"/>
      <c r="M401" s="52"/>
      <c r="N401" s="53"/>
      <c r="O401" s="25"/>
      <c r="P401" s="55"/>
      <c r="Q401" s="34"/>
      <c r="R401" s="54"/>
      <c r="S401" s="55"/>
      <c r="T401" s="25"/>
      <c r="U401" s="25"/>
      <c r="V401" s="24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</row>
    <row r="402">
      <c r="A402" s="25"/>
      <c r="B402" s="25"/>
      <c r="C402" s="25"/>
      <c r="D402" s="25"/>
      <c r="E402" s="25"/>
      <c r="F402" s="25"/>
      <c r="G402" s="25"/>
      <c r="H402" s="46"/>
      <c r="I402" s="52"/>
      <c r="J402" s="46"/>
      <c r="K402" s="52"/>
      <c r="L402" s="46"/>
      <c r="M402" s="52"/>
      <c r="N402" s="53"/>
      <c r="O402" s="25"/>
      <c r="P402" s="55"/>
      <c r="Q402" s="34"/>
      <c r="R402" s="54"/>
      <c r="S402" s="55"/>
      <c r="T402" s="25"/>
      <c r="U402" s="25"/>
      <c r="V402" s="24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</row>
    <row r="403">
      <c r="A403" s="25"/>
      <c r="B403" s="25"/>
      <c r="C403" s="25"/>
      <c r="D403" s="25"/>
      <c r="E403" s="25"/>
      <c r="F403" s="25"/>
      <c r="G403" s="25"/>
      <c r="H403" s="46"/>
      <c r="I403" s="52"/>
      <c r="J403" s="46"/>
      <c r="K403" s="52"/>
      <c r="L403" s="46"/>
      <c r="M403" s="52"/>
      <c r="N403" s="53"/>
      <c r="O403" s="25"/>
      <c r="P403" s="55"/>
      <c r="Q403" s="34"/>
      <c r="R403" s="54"/>
      <c r="S403" s="55"/>
      <c r="T403" s="25"/>
      <c r="U403" s="25"/>
      <c r="V403" s="24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</row>
    <row r="404">
      <c r="A404" s="25"/>
      <c r="B404" s="25"/>
      <c r="C404" s="25"/>
      <c r="D404" s="25"/>
      <c r="E404" s="25"/>
      <c r="F404" s="25"/>
      <c r="G404" s="25"/>
      <c r="H404" s="46"/>
      <c r="I404" s="52"/>
      <c r="J404" s="46"/>
      <c r="K404" s="52"/>
      <c r="L404" s="46"/>
      <c r="M404" s="52"/>
      <c r="N404" s="53"/>
      <c r="O404" s="25"/>
      <c r="P404" s="55"/>
      <c r="Q404" s="34"/>
      <c r="R404" s="54"/>
      <c r="S404" s="55"/>
      <c r="T404" s="25"/>
      <c r="U404" s="25"/>
      <c r="V404" s="24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</row>
    <row r="405">
      <c r="A405" s="25"/>
      <c r="B405" s="25"/>
      <c r="C405" s="25"/>
      <c r="D405" s="25"/>
      <c r="E405" s="25"/>
      <c r="F405" s="25"/>
      <c r="G405" s="25"/>
      <c r="H405" s="46"/>
      <c r="I405" s="52"/>
      <c r="J405" s="46"/>
      <c r="K405" s="52"/>
      <c r="L405" s="46"/>
      <c r="M405" s="52"/>
      <c r="N405" s="53"/>
      <c r="O405" s="25"/>
      <c r="P405" s="55"/>
      <c r="Q405" s="34"/>
      <c r="R405" s="54"/>
      <c r="S405" s="55"/>
      <c r="T405" s="25"/>
      <c r="U405" s="25"/>
      <c r="V405" s="24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</row>
    <row r="406">
      <c r="A406" s="25"/>
      <c r="B406" s="25"/>
      <c r="C406" s="25"/>
      <c r="D406" s="25"/>
      <c r="E406" s="25"/>
      <c r="F406" s="25"/>
      <c r="G406" s="25"/>
      <c r="H406" s="46"/>
      <c r="I406" s="52"/>
      <c r="J406" s="46"/>
      <c r="K406" s="52"/>
      <c r="L406" s="46"/>
      <c r="M406" s="52"/>
      <c r="N406" s="53"/>
      <c r="O406" s="25"/>
      <c r="P406" s="55"/>
      <c r="Q406" s="34"/>
      <c r="R406" s="54"/>
      <c r="S406" s="55"/>
      <c r="T406" s="25"/>
      <c r="U406" s="25"/>
      <c r="V406" s="24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</row>
    <row r="407">
      <c r="A407" s="25"/>
      <c r="B407" s="25"/>
      <c r="C407" s="25"/>
      <c r="D407" s="25"/>
      <c r="E407" s="25"/>
      <c r="F407" s="25"/>
      <c r="G407" s="25"/>
      <c r="H407" s="46"/>
      <c r="I407" s="52"/>
      <c r="J407" s="46"/>
      <c r="K407" s="52"/>
      <c r="L407" s="46"/>
      <c r="M407" s="52"/>
      <c r="N407" s="53"/>
      <c r="O407" s="25"/>
      <c r="P407" s="55"/>
      <c r="Q407" s="34"/>
      <c r="R407" s="54"/>
      <c r="S407" s="55"/>
      <c r="T407" s="25"/>
      <c r="U407" s="25"/>
      <c r="V407" s="24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</row>
    <row r="408">
      <c r="A408" s="25"/>
      <c r="B408" s="25"/>
      <c r="C408" s="25"/>
      <c r="D408" s="25"/>
      <c r="E408" s="25"/>
      <c r="F408" s="25"/>
      <c r="G408" s="25"/>
      <c r="H408" s="46"/>
      <c r="I408" s="52"/>
      <c r="J408" s="46"/>
      <c r="K408" s="52"/>
      <c r="L408" s="46"/>
      <c r="M408" s="52"/>
      <c r="N408" s="53"/>
      <c r="O408" s="25"/>
      <c r="P408" s="55"/>
      <c r="Q408" s="34"/>
      <c r="R408" s="54"/>
      <c r="S408" s="55"/>
      <c r="T408" s="25"/>
      <c r="U408" s="25"/>
      <c r="V408" s="24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</row>
    <row r="409">
      <c r="A409" s="25"/>
      <c r="B409" s="25"/>
      <c r="C409" s="25"/>
      <c r="D409" s="25"/>
      <c r="E409" s="25"/>
      <c r="F409" s="25"/>
      <c r="G409" s="25"/>
      <c r="H409" s="46"/>
      <c r="I409" s="52"/>
      <c r="J409" s="46"/>
      <c r="K409" s="52"/>
      <c r="L409" s="46"/>
      <c r="M409" s="52"/>
      <c r="N409" s="53"/>
      <c r="O409" s="25"/>
      <c r="P409" s="55"/>
      <c r="Q409" s="34"/>
      <c r="R409" s="54"/>
      <c r="S409" s="55"/>
      <c r="T409" s="25"/>
      <c r="U409" s="25"/>
      <c r="V409" s="24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</row>
    <row r="410">
      <c r="A410" s="25"/>
      <c r="B410" s="25"/>
      <c r="C410" s="25"/>
      <c r="D410" s="25"/>
      <c r="E410" s="25"/>
      <c r="F410" s="25"/>
      <c r="G410" s="25"/>
      <c r="H410" s="46"/>
      <c r="I410" s="52"/>
      <c r="J410" s="46"/>
      <c r="K410" s="52"/>
      <c r="L410" s="46"/>
      <c r="M410" s="52"/>
      <c r="N410" s="53"/>
      <c r="O410" s="25"/>
      <c r="P410" s="55"/>
      <c r="Q410" s="34"/>
      <c r="R410" s="54"/>
      <c r="S410" s="55"/>
      <c r="T410" s="25"/>
      <c r="U410" s="25"/>
      <c r="V410" s="24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</row>
    <row r="411">
      <c r="A411" s="25"/>
      <c r="B411" s="25"/>
      <c r="C411" s="25"/>
      <c r="D411" s="25"/>
      <c r="E411" s="25"/>
      <c r="F411" s="25"/>
      <c r="G411" s="25"/>
      <c r="H411" s="46"/>
      <c r="I411" s="52"/>
      <c r="J411" s="46"/>
      <c r="K411" s="52"/>
      <c r="L411" s="46"/>
      <c r="M411" s="52"/>
      <c r="N411" s="53"/>
      <c r="O411" s="25"/>
      <c r="P411" s="55"/>
      <c r="Q411" s="34"/>
      <c r="R411" s="54"/>
      <c r="S411" s="55"/>
      <c r="T411" s="25"/>
      <c r="U411" s="25"/>
      <c r="V411" s="24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</row>
    <row r="412">
      <c r="A412" s="25"/>
      <c r="B412" s="25"/>
      <c r="C412" s="25"/>
      <c r="D412" s="25"/>
      <c r="E412" s="25"/>
      <c r="F412" s="25"/>
      <c r="G412" s="25"/>
      <c r="H412" s="46"/>
      <c r="I412" s="52"/>
      <c r="J412" s="46"/>
      <c r="K412" s="52"/>
      <c r="L412" s="46"/>
      <c r="M412" s="52"/>
      <c r="N412" s="53"/>
      <c r="O412" s="25"/>
      <c r="P412" s="55"/>
      <c r="Q412" s="34"/>
      <c r="R412" s="54"/>
      <c r="S412" s="55"/>
      <c r="T412" s="25"/>
      <c r="U412" s="25"/>
      <c r="V412" s="24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</row>
    <row r="413">
      <c r="A413" s="25"/>
      <c r="B413" s="25"/>
      <c r="C413" s="25"/>
      <c r="D413" s="25"/>
      <c r="E413" s="25"/>
      <c r="F413" s="25"/>
      <c r="G413" s="25"/>
      <c r="H413" s="46"/>
      <c r="I413" s="52"/>
      <c r="J413" s="46"/>
      <c r="K413" s="52"/>
      <c r="L413" s="46"/>
      <c r="M413" s="52"/>
      <c r="N413" s="53"/>
      <c r="O413" s="25"/>
      <c r="P413" s="55"/>
      <c r="Q413" s="34"/>
      <c r="R413" s="54"/>
      <c r="S413" s="55"/>
      <c r="T413" s="25"/>
      <c r="U413" s="25"/>
      <c r="V413" s="24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</row>
    <row r="414">
      <c r="A414" s="25"/>
      <c r="B414" s="25"/>
      <c r="C414" s="25"/>
      <c r="D414" s="25"/>
      <c r="E414" s="25"/>
      <c r="F414" s="25"/>
      <c r="G414" s="25"/>
      <c r="H414" s="46"/>
      <c r="I414" s="52"/>
      <c r="J414" s="46"/>
      <c r="K414" s="52"/>
      <c r="L414" s="46"/>
      <c r="M414" s="52"/>
      <c r="N414" s="53"/>
      <c r="O414" s="25"/>
      <c r="P414" s="55"/>
      <c r="Q414" s="34"/>
      <c r="R414" s="54"/>
      <c r="S414" s="55"/>
      <c r="T414" s="25"/>
      <c r="U414" s="25"/>
      <c r="V414" s="24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</row>
    <row r="415">
      <c r="A415" s="25"/>
      <c r="B415" s="25"/>
      <c r="C415" s="25"/>
      <c r="D415" s="25"/>
      <c r="E415" s="25"/>
      <c r="F415" s="25"/>
      <c r="G415" s="25"/>
      <c r="H415" s="46"/>
      <c r="I415" s="52"/>
      <c r="J415" s="46"/>
      <c r="K415" s="52"/>
      <c r="L415" s="46"/>
      <c r="M415" s="52"/>
      <c r="N415" s="53"/>
      <c r="O415" s="25"/>
      <c r="P415" s="55"/>
      <c r="Q415" s="34"/>
      <c r="R415" s="54"/>
      <c r="S415" s="55"/>
      <c r="T415" s="25"/>
      <c r="U415" s="25"/>
      <c r="V415" s="24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</row>
    <row r="416">
      <c r="A416" s="25"/>
      <c r="B416" s="25"/>
      <c r="C416" s="25"/>
      <c r="D416" s="25"/>
      <c r="E416" s="25"/>
      <c r="F416" s="25"/>
      <c r="G416" s="25"/>
      <c r="H416" s="46"/>
      <c r="I416" s="52"/>
      <c r="J416" s="46"/>
      <c r="K416" s="52"/>
      <c r="L416" s="46"/>
      <c r="M416" s="52"/>
      <c r="N416" s="53"/>
      <c r="O416" s="25"/>
      <c r="P416" s="55"/>
      <c r="Q416" s="34"/>
      <c r="R416" s="54"/>
      <c r="S416" s="55"/>
      <c r="T416" s="25"/>
      <c r="U416" s="25"/>
      <c r="V416" s="24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</row>
    <row r="417">
      <c r="A417" s="25"/>
      <c r="B417" s="25"/>
      <c r="C417" s="25"/>
      <c r="D417" s="25"/>
      <c r="E417" s="25"/>
      <c r="F417" s="25"/>
      <c r="G417" s="25"/>
      <c r="H417" s="46"/>
      <c r="I417" s="52"/>
      <c r="J417" s="46"/>
      <c r="K417" s="52"/>
      <c r="L417" s="46"/>
      <c r="M417" s="52"/>
      <c r="N417" s="53"/>
      <c r="O417" s="25"/>
      <c r="P417" s="55"/>
      <c r="Q417" s="34"/>
      <c r="R417" s="54"/>
      <c r="S417" s="55"/>
      <c r="T417" s="25"/>
      <c r="U417" s="25"/>
      <c r="V417" s="24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</row>
    <row r="418">
      <c r="A418" s="25"/>
      <c r="B418" s="25"/>
      <c r="C418" s="25"/>
      <c r="D418" s="25"/>
      <c r="E418" s="25"/>
      <c r="F418" s="25"/>
      <c r="G418" s="25"/>
      <c r="H418" s="46"/>
      <c r="I418" s="52"/>
      <c r="J418" s="46"/>
      <c r="K418" s="52"/>
      <c r="L418" s="46"/>
      <c r="M418" s="52"/>
      <c r="N418" s="53"/>
      <c r="O418" s="25"/>
      <c r="P418" s="55"/>
      <c r="Q418" s="34"/>
      <c r="R418" s="54"/>
      <c r="S418" s="55"/>
      <c r="T418" s="25"/>
      <c r="U418" s="25"/>
      <c r="V418" s="24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</row>
    <row r="419">
      <c r="A419" s="25"/>
      <c r="B419" s="25"/>
      <c r="C419" s="25"/>
      <c r="D419" s="25"/>
      <c r="E419" s="25"/>
      <c r="F419" s="25"/>
      <c r="G419" s="25"/>
      <c r="H419" s="46"/>
      <c r="I419" s="52"/>
      <c r="J419" s="46"/>
      <c r="K419" s="52"/>
      <c r="L419" s="46"/>
      <c r="M419" s="52"/>
      <c r="N419" s="53"/>
      <c r="O419" s="25"/>
      <c r="P419" s="55"/>
      <c r="Q419" s="34"/>
      <c r="R419" s="54"/>
      <c r="S419" s="55"/>
      <c r="T419" s="25"/>
      <c r="U419" s="25"/>
      <c r="V419" s="24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</row>
    <row r="420">
      <c r="A420" s="25"/>
      <c r="B420" s="25"/>
      <c r="C420" s="25"/>
      <c r="D420" s="25"/>
      <c r="E420" s="25"/>
      <c r="F420" s="25"/>
      <c r="G420" s="25"/>
      <c r="H420" s="46"/>
      <c r="I420" s="52"/>
      <c r="J420" s="46"/>
      <c r="K420" s="52"/>
      <c r="L420" s="46"/>
      <c r="M420" s="52"/>
      <c r="N420" s="53"/>
      <c r="O420" s="25"/>
      <c r="P420" s="55"/>
      <c r="Q420" s="34"/>
      <c r="R420" s="54"/>
      <c r="S420" s="55"/>
      <c r="T420" s="25"/>
      <c r="U420" s="25"/>
      <c r="V420" s="24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</row>
    <row r="421">
      <c r="A421" s="25"/>
      <c r="B421" s="25"/>
      <c r="C421" s="25"/>
      <c r="D421" s="25"/>
      <c r="E421" s="25"/>
      <c r="F421" s="25"/>
      <c r="G421" s="25"/>
      <c r="H421" s="46"/>
      <c r="I421" s="52"/>
      <c r="J421" s="46"/>
      <c r="K421" s="52"/>
      <c r="L421" s="46"/>
      <c r="M421" s="52"/>
      <c r="N421" s="53"/>
      <c r="O421" s="25"/>
      <c r="P421" s="55"/>
      <c r="Q421" s="34"/>
      <c r="R421" s="54"/>
      <c r="S421" s="55"/>
      <c r="T421" s="25"/>
      <c r="U421" s="25"/>
      <c r="V421" s="24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</row>
    <row r="422">
      <c r="A422" s="25"/>
      <c r="B422" s="25"/>
      <c r="C422" s="25"/>
      <c r="D422" s="25"/>
      <c r="E422" s="25"/>
      <c r="F422" s="25"/>
      <c r="G422" s="25"/>
      <c r="H422" s="46"/>
      <c r="I422" s="52"/>
      <c r="J422" s="46"/>
      <c r="K422" s="52"/>
      <c r="L422" s="46"/>
      <c r="M422" s="52"/>
      <c r="N422" s="53"/>
      <c r="O422" s="25"/>
      <c r="P422" s="55"/>
      <c r="Q422" s="34"/>
      <c r="R422" s="54"/>
      <c r="S422" s="55"/>
      <c r="T422" s="25"/>
      <c r="U422" s="25"/>
      <c r="V422" s="24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</row>
    <row r="423">
      <c r="A423" s="25"/>
      <c r="B423" s="25"/>
      <c r="C423" s="25"/>
      <c r="D423" s="25"/>
      <c r="E423" s="25"/>
      <c r="F423" s="25"/>
      <c r="G423" s="25"/>
      <c r="H423" s="46"/>
      <c r="I423" s="52"/>
      <c r="J423" s="46"/>
      <c r="K423" s="52"/>
      <c r="L423" s="46"/>
      <c r="M423" s="52"/>
      <c r="N423" s="53"/>
      <c r="O423" s="25"/>
      <c r="P423" s="55"/>
      <c r="Q423" s="34"/>
      <c r="R423" s="54"/>
      <c r="S423" s="55"/>
      <c r="T423" s="25"/>
      <c r="U423" s="25"/>
      <c r="V423" s="24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</row>
    <row r="424">
      <c r="A424" s="25"/>
      <c r="B424" s="25"/>
      <c r="C424" s="25"/>
      <c r="D424" s="25"/>
      <c r="E424" s="25"/>
      <c r="F424" s="25"/>
      <c r="G424" s="25"/>
      <c r="H424" s="46"/>
      <c r="I424" s="52"/>
      <c r="J424" s="46"/>
      <c r="K424" s="52"/>
      <c r="L424" s="46"/>
      <c r="M424" s="52"/>
      <c r="N424" s="53"/>
      <c r="O424" s="25"/>
      <c r="P424" s="55"/>
      <c r="Q424" s="34"/>
      <c r="R424" s="54"/>
      <c r="S424" s="55"/>
      <c r="T424" s="25"/>
      <c r="U424" s="25"/>
      <c r="V424" s="24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</row>
    <row r="425">
      <c r="A425" s="25"/>
      <c r="B425" s="25"/>
      <c r="C425" s="25"/>
      <c r="D425" s="25"/>
      <c r="E425" s="25"/>
      <c r="F425" s="25"/>
      <c r="G425" s="25"/>
      <c r="H425" s="46"/>
      <c r="I425" s="52"/>
      <c r="J425" s="46"/>
      <c r="K425" s="52"/>
      <c r="L425" s="46"/>
      <c r="M425" s="52"/>
      <c r="N425" s="53"/>
      <c r="O425" s="25"/>
      <c r="P425" s="55"/>
      <c r="Q425" s="34"/>
      <c r="R425" s="54"/>
      <c r="S425" s="55"/>
      <c r="T425" s="25"/>
      <c r="U425" s="25"/>
      <c r="V425" s="24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</row>
    <row r="426">
      <c r="A426" s="25"/>
      <c r="B426" s="25"/>
      <c r="C426" s="25"/>
      <c r="D426" s="25"/>
      <c r="E426" s="25"/>
      <c r="F426" s="25"/>
      <c r="G426" s="25"/>
      <c r="H426" s="46"/>
      <c r="I426" s="52"/>
      <c r="J426" s="46"/>
      <c r="K426" s="52"/>
      <c r="L426" s="46"/>
      <c r="M426" s="52"/>
      <c r="N426" s="53"/>
      <c r="O426" s="25"/>
      <c r="P426" s="55"/>
      <c r="Q426" s="34"/>
      <c r="R426" s="54"/>
      <c r="S426" s="55"/>
      <c r="T426" s="25"/>
      <c r="U426" s="25"/>
      <c r="V426" s="24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</row>
    <row r="427">
      <c r="A427" s="25"/>
      <c r="B427" s="25"/>
      <c r="C427" s="25"/>
      <c r="D427" s="25"/>
      <c r="E427" s="25"/>
      <c r="F427" s="25"/>
      <c r="G427" s="25"/>
      <c r="H427" s="46"/>
      <c r="I427" s="52"/>
      <c r="J427" s="46"/>
      <c r="K427" s="52"/>
      <c r="L427" s="46"/>
      <c r="M427" s="52"/>
      <c r="N427" s="53"/>
      <c r="O427" s="25"/>
      <c r="P427" s="55"/>
      <c r="Q427" s="34"/>
      <c r="R427" s="54"/>
      <c r="S427" s="55"/>
      <c r="T427" s="25"/>
      <c r="U427" s="25"/>
      <c r="V427" s="24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</row>
    <row r="428">
      <c r="A428" s="25"/>
      <c r="B428" s="25"/>
      <c r="C428" s="25"/>
      <c r="D428" s="25"/>
      <c r="E428" s="25"/>
      <c r="F428" s="25"/>
      <c r="G428" s="25"/>
      <c r="H428" s="46"/>
      <c r="I428" s="52"/>
      <c r="J428" s="46"/>
      <c r="K428" s="52"/>
      <c r="L428" s="46"/>
      <c r="M428" s="52"/>
      <c r="N428" s="53"/>
      <c r="O428" s="25"/>
      <c r="P428" s="55"/>
      <c r="Q428" s="34"/>
      <c r="R428" s="54"/>
      <c r="S428" s="55"/>
      <c r="T428" s="25"/>
      <c r="U428" s="25"/>
      <c r="V428" s="24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</row>
    <row r="429">
      <c r="A429" s="25"/>
      <c r="B429" s="25"/>
      <c r="C429" s="25"/>
      <c r="D429" s="25"/>
      <c r="E429" s="25"/>
      <c r="F429" s="25"/>
      <c r="G429" s="25"/>
      <c r="H429" s="46"/>
      <c r="I429" s="52"/>
      <c r="J429" s="46"/>
      <c r="K429" s="52"/>
      <c r="L429" s="46"/>
      <c r="M429" s="52"/>
      <c r="N429" s="53"/>
      <c r="O429" s="25"/>
      <c r="P429" s="55"/>
      <c r="Q429" s="34"/>
      <c r="R429" s="54"/>
      <c r="S429" s="55"/>
      <c r="T429" s="25"/>
      <c r="U429" s="25"/>
      <c r="V429" s="24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</row>
    <row r="430">
      <c r="A430" s="25"/>
      <c r="B430" s="25"/>
      <c r="C430" s="25"/>
      <c r="D430" s="25"/>
      <c r="E430" s="25"/>
      <c r="F430" s="25"/>
      <c r="G430" s="25"/>
      <c r="H430" s="46"/>
      <c r="I430" s="52"/>
      <c r="J430" s="46"/>
      <c r="K430" s="52"/>
      <c r="L430" s="46"/>
      <c r="M430" s="52"/>
      <c r="N430" s="53"/>
      <c r="O430" s="25"/>
      <c r="P430" s="55"/>
      <c r="Q430" s="34"/>
      <c r="R430" s="54"/>
      <c r="S430" s="55"/>
      <c r="T430" s="25"/>
      <c r="U430" s="25"/>
      <c r="V430" s="24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</row>
    <row r="431">
      <c r="A431" s="25"/>
      <c r="B431" s="25"/>
      <c r="C431" s="25"/>
      <c r="D431" s="25"/>
      <c r="E431" s="25"/>
      <c r="F431" s="25"/>
      <c r="G431" s="25"/>
      <c r="H431" s="46"/>
      <c r="I431" s="52"/>
      <c r="J431" s="46"/>
      <c r="K431" s="52"/>
      <c r="L431" s="46"/>
      <c r="M431" s="52"/>
      <c r="N431" s="53"/>
      <c r="O431" s="25"/>
      <c r="P431" s="55"/>
      <c r="Q431" s="34"/>
      <c r="R431" s="54"/>
      <c r="S431" s="55"/>
      <c r="T431" s="25"/>
      <c r="U431" s="25"/>
      <c r="V431" s="24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</row>
    <row r="432">
      <c r="A432" s="25"/>
      <c r="B432" s="25"/>
      <c r="C432" s="25"/>
      <c r="D432" s="25"/>
      <c r="E432" s="25"/>
      <c r="F432" s="25"/>
      <c r="G432" s="25"/>
      <c r="H432" s="46"/>
      <c r="I432" s="52"/>
      <c r="J432" s="46"/>
      <c r="K432" s="52"/>
      <c r="L432" s="46"/>
      <c r="M432" s="52"/>
      <c r="N432" s="53"/>
      <c r="O432" s="25"/>
      <c r="P432" s="55"/>
      <c r="Q432" s="34"/>
      <c r="R432" s="54"/>
      <c r="S432" s="55"/>
      <c r="T432" s="25"/>
      <c r="U432" s="25"/>
      <c r="V432" s="24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</row>
    <row r="433">
      <c r="A433" s="25"/>
      <c r="B433" s="25"/>
      <c r="C433" s="25"/>
      <c r="D433" s="25"/>
      <c r="E433" s="25"/>
      <c r="F433" s="25"/>
      <c r="G433" s="25"/>
      <c r="H433" s="46"/>
      <c r="I433" s="52"/>
      <c r="J433" s="46"/>
      <c r="K433" s="52"/>
      <c r="L433" s="46"/>
      <c r="M433" s="52"/>
      <c r="N433" s="53"/>
      <c r="O433" s="25"/>
      <c r="P433" s="55"/>
      <c r="Q433" s="34"/>
      <c r="R433" s="54"/>
      <c r="S433" s="55"/>
      <c r="T433" s="25"/>
      <c r="U433" s="25"/>
      <c r="V433" s="24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</row>
    <row r="434">
      <c r="A434" s="25"/>
      <c r="B434" s="25"/>
      <c r="C434" s="25"/>
      <c r="D434" s="25"/>
      <c r="E434" s="25"/>
      <c r="F434" s="25"/>
      <c r="G434" s="25"/>
      <c r="H434" s="46"/>
      <c r="I434" s="52"/>
      <c r="J434" s="46"/>
      <c r="K434" s="52"/>
      <c r="L434" s="46"/>
      <c r="M434" s="52"/>
      <c r="N434" s="53"/>
      <c r="O434" s="25"/>
      <c r="P434" s="55"/>
      <c r="Q434" s="34"/>
      <c r="R434" s="54"/>
      <c r="S434" s="55"/>
      <c r="T434" s="25"/>
      <c r="U434" s="25"/>
      <c r="V434" s="24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</row>
    <row r="435">
      <c r="A435" s="25"/>
      <c r="B435" s="25"/>
      <c r="C435" s="25"/>
      <c r="D435" s="25"/>
      <c r="E435" s="25"/>
      <c r="F435" s="25"/>
      <c r="G435" s="25"/>
      <c r="H435" s="46"/>
      <c r="I435" s="52"/>
      <c r="J435" s="46"/>
      <c r="K435" s="52"/>
      <c r="L435" s="46"/>
      <c r="M435" s="52"/>
      <c r="N435" s="53"/>
      <c r="O435" s="25"/>
      <c r="P435" s="55"/>
      <c r="Q435" s="34"/>
      <c r="R435" s="54"/>
      <c r="S435" s="55"/>
      <c r="T435" s="25"/>
      <c r="U435" s="25"/>
      <c r="V435" s="24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</row>
    <row r="436">
      <c r="A436" s="25"/>
      <c r="B436" s="25"/>
      <c r="C436" s="25"/>
      <c r="D436" s="25"/>
      <c r="E436" s="25"/>
      <c r="F436" s="25"/>
      <c r="G436" s="25"/>
      <c r="H436" s="46"/>
      <c r="I436" s="52"/>
      <c r="J436" s="46"/>
      <c r="K436" s="52"/>
      <c r="L436" s="46"/>
      <c r="M436" s="52"/>
      <c r="N436" s="53"/>
      <c r="O436" s="25"/>
      <c r="P436" s="55"/>
      <c r="Q436" s="34"/>
      <c r="R436" s="54"/>
      <c r="S436" s="55"/>
      <c r="T436" s="25"/>
      <c r="U436" s="25"/>
      <c r="V436" s="24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</row>
    <row r="437">
      <c r="A437" s="25"/>
      <c r="B437" s="25"/>
      <c r="C437" s="25"/>
      <c r="D437" s="25"/>
      <c r="E437" s="25"/>
      <c r="F437" s="25"/>
      <c r="G437" s="25"/>
      <c r="H437" s="46"/>
      <c r="I437" s="52"/>
      <c r="J437" s="46"/>
      <c r="K437" s="52"/>
      <c r="L437" s="46"/>
      <c r="M437" s="52"/>
      <c r="N437" s="53"/>
      <c r="O437" s="25"/>
      <c r="P437" s="55"/>
      <c r="Q437" s="34"/>
      <c r="R437" s="54"/>
      <c r="S437" s="55"/>
      <c r="T437" s="25"/>
      <c r="U437" s="25"/>
      <c r="V437" s="24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</row>
    <row r="438">
      <c r="A438" s="25"/>
      <c r="B438" s="25"/>
      <c r="C438" s="25"/>
      <c r="D438" s="25"/>
      <c r="E438" s="25"/>
      <c r="F438" s="25"/>
      <c r="G438" s="25"/>
      <c r="H438" s="46"/>
      <c r="I438" s="52"/>
      <c r="J438" s="46"/>
      <c r="K438" s="52"/>
      <c r="L438" s="46"/>
      <c r="M438" s="52"/>
      <c r="N438" s="53"/>
      <c r="O438" s="25"/>
      <c r="P438" s="55"/>
      <c r="Q438" s="34"/>
      <c r="R438" s="54"/>
      <c r="S438" s="55"/>
      <c r="T438" s="25"/>
      <c r="U438" s="25"/>
      <c r="V438" s="24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</row>
    <row r="439">
      <c r="A439" s="25"/>
      <c r="B439" s="25"/>
      <c r="C439" s="25"/>
      <c r="D439" s="25"/>
      <c r="E439" s="25"/>
      <c r="F439" s="25"/>
      <c r="G439" s="25"/>
      <c r="H439" s="46"/>
      <c r="I439" s="52"/>
      <c r="J439" s="46"/>
      <c r="K439" s="52"/>
      <c r="L439" s="46"/>
      <c r="M439" s="52"/>
      <c r="N439" s="53"/>
      <c r="O439" s="25"/>
      <c r="P439" s="55"/>
      <c r="Q439" s="34"/>
      <c r="R439" s="54"/>
      <c r="S439" s="55"/>
      <c r="T439" s="25"/>
      <c r="U439" s="25"/>
      <c r="V439" s="24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</row>
    <row r="440">
      <c r="A440" s="25"/>
      <c r="B440" s="25"/>
      <c r="C440" s="25"/>
      <c r="D440" s="25"/>
      <c r="E440" s="25"/>
      <c r="F440" s="25"/>
      <c r="G440" s="25"/>
      <c r="H440" s="46"/>
      <c r="I440" s="52"/>
      <c r="J440" s="46"/>
      <c r="K440" s="52"/>
      <c r="L440" s="46"/>
      <c r="M440" s="52"/>
      <c r="N440" s="53"/>
      <c r="O440" s="25"/>
      <c r="P440" s="55"/>
      <c r="Q440" s="34"/>
      <c r="R440" s="54"/>
      <c r="S440" s="55"/>
      <c r="T440" s="25"/>
      <c r="U440" s="25"/>
      <c r="V440" s="24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</row>
    <row r="441">
      <c r="A441" s="25"/>
      <c r="B441" s="25"/>
      <c r="C441" s="25"/>
      <c r="D441" s="25"/>
      <c r="E441" s="25"/>
      <c r="F441" s="25"/>
      <c r="G441" s="25"/>
      <c r="H441" s="46"/>
      <c r="I441" s="52"/>
      <c r="J441" s="46"/>
      <c r="K441" s="52"/>
      <c r="L441" s="46"/>
      <c r="M441" s="52"/>
      <c r="N441" s="53"/>
      <c r="O441" s="25"/>
      <c r="P441" s="55"/>
      <c r="Q441" s="34"/>
      <c r="R441" s="54"/>
      <c r="S441" s="55"/>
      <c r="T441" s="25"/>
      <c r="U441" s="25"/>
      <c r="V441" s="24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</row>
    <row r="442">
      <c r="A442" s="25"/>
      <c r="B442" s="25"/>
      <c r="C442" s="25"/>
      <c r="D442" s="25"/>
      <c r="E442" s="25"/>
      <c r="F442" s="25"/>
      <c r="G442" s="25"/>
      <c r="H442" s="46"/>
      <c r="I442" s="52"/>
      <c r="J442" s="46"/>
      <c r="K442" s="52"/>
      <c r="L442" s="46"/>
      <c r="M442" s="52"/>
      <c r="N442" s="53"/>
      <c r="O442" s="25"/>
      <c r="P442" s="55"/>
      <c r="Q442" s="34"/>
      <c r="R442" s="54"/>
      <c r="S442" s="55"/>
      <c r="T442" s="25"/>
      <c r="U442" s="25"/>
      <c r="V442" s="24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</row>
    <row r="443">
      <c r="A443" s="25"/>
      <c r="B443" s="25"/>
      <c r="C443" s="25"/>
      <c r="D443" s="25"/>
      <c r="E443" s="25"/>
      <c r="F443" s="25"/>
      <c r="G443" s="25"/>
      <c r="H443" s="46"/>
      <c r="I443" s="52"/>
      <c r="J443" s="46"/>
      <c r="K443" s="52"/>
      <c r="L443" s="46"/>
      <c r="M443" s="52"/>
      <c r="N443" s="53"/>
      <c r="O443" s="25"/>
      <c r="P443" s="55"/>
      <c r="Q443" s="34"/>
      <c r="R443" s="54"/>
      <c r="S443" s="55"/>
      <c r="T443" s="25"/>
      <c r="U443" s="25"/>
      <c r="V443" s="24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</row>
    <row r="444">
      <c r="A444" s="25"/>
      <c r="B444" s="25"/>
      <c r="C444" s="25"/>
      <c r="D444" s="25"/>
      <c r="E444" s="25"/>
      <c r="F444" s="25"/>
      <c r="G444" s="25"/>
      <c r="H444" s="46"/>
      <c r="I444" s="52"/>
      <c r="J444" s="46"/>
      <c r="K444" s="52"/>
      <c r="L444" s="46"/>
      <c r="M444" s="52"/>
      <c r="N444" s="53"/>
      <c r="O444" s="25"/>
      <c r="P444" s="55"/>
      <c r="Q444" s="34"/>
      <c r="R444" s="54"/>
      <c r="S444" s="55"/>
      <c r="T444" s="25"/>
      <c r="U444" s="25"/>
      <c r="V444" s="24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</row>
    <row r="445">
      <c r="A445" s="25"/>
      <c r="B445" s="25"/>
      <c r="C445" s="25"/>
      <c r="D445" s="25"/>
      <c r="E445" s="25"/>
      <c r="F445" s="25"/>
      <c r="G445" s="25"/>
      <c r="H445" s="46"/>
      <c r="I445" s="52"/>
      <c r="J445" s="46"/>
      <c r="K445" s="52"/>
      <c r="L445" s="46"/>
      <c r="M445" s="52"/>
      <c r="N445" s="53"/>
      <c r="O445" s="25"/>
      <c r="P445" s="55"/>
      <c r="Q445" s="34"/>
      <c r="R445" s="54"/>
      <c r="S445" s="55"/>
      <c r="T445" s="25"/>
      <c r="U445" s="25"/>
      <c r="V445" s="24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</row>
    <row r="446">
      <c r="A446" s="25"/>
      <c r="B446" s="25"/>
      <c r="C446" s="25"/>
      <c r="D446" s="25"/>
      <c r="E446" s="25"/>
      <c r="F446" s="25"/>
      <c r="G446" s="25"/>
      <c r="H446" s="46"/>
      <c r="I446" s="52"/>
      <c r="J446" s="46"/>
      <c r="K446" s="52"/>
      <c r="L446" s="46"/>
      <c r="M446" s="52"/>
      <c r="N446" s="53"/>
      <c r="O446" s="25"/>
      <c r="P446" s="55"/>
      <c r="Q446" s="34"/>
      <c r="R446" s="54"/>
      <c r="S446" s="55"/>
      <c r="T446" s="25"/>
      <c r="U446" s="25"/>
      <c r="V446" s="24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</row>
    <row r="447">
      <c r="A447" s="25"/>
      <c r="B447" s="25"/>
      <c r="C447" s="25"/>
      <c r="D447" s="25"/>
      <c r="E447" s="25"/>
      <c r="F447" s="25"/>
      <c r="G447" s="25"/>
      <c r="H447" s="46"/>
      <c r="I447" s="52"/>
      <c r="J447" s="46"/>
      <c r="K447" s="52"/>
      <c r="L447" s="46"/>
      <c r="M447" s="52"/>
      <c r="N447" s="53"/>
      <c r="O447" s="25"/>
      <c r="P447" s="55"/>
      <c r="Q447" s="34"/>
      <c r="R447" s="54"/>
      <c r="S447" s="55"/>
      <c r="T447" s="25"/>
      <c r="U447" s="25"/>
      <c r="V447" s="24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</row>
    <row r="448">
      <c r="A448" s="25"/>
      <c r="B448" s="25"/>
      <c r="C448" s="25"/>
      <c r="D448" s="25"/>
      <c r="E448" s="25"/>
      <c r="F448" s="25"/>
      <c r="G448" s="25"/>
      <c r="H448" s="46"/>
      <c r="I448" s="52"/>
      <c r="J448" s="46"/>
      <c r="K448" s="52"/>
      <c r="L448" s="46"/>
      <c r="M448" s="52"/>
      <c r="N448" s="53"/>
      <c r="O448" s="25"/>
      <c r="P448" s="55"/>
      <c r="Q448" s="34"/>
      <c r="R448" s="54"/>
      <c r="S448" s="55"/>
      <c r="T448" s="25"/>
      <c r="U448" s="25"/>
      <c r="V448" s="24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</row>
    <row r="449">
      <c r="A449" s="25"/>
      <c r="B449" s="25"/>
      <c r="C449" s="25"/>
      <c r="D449" s="25"/>
      <c r="E449" s="25"/>
      <c r="F449" s="25"/>
      <c r="G449" s="25"/>
      <c r="H449" s="46"/>
      <c r="I449" s="52"/>
      <c r="J449" s="46"/>
      <c r="K449" s="52"/>
      <c r="L449" s="46"/>
      <c r="M449" s="52"/>
      <c r="N449" s="53"/>
      <c r="O449" s="25"/>
      <c r="P449" s="55"/>
      <c r="Q449" s="34"/>
      <c r="R449" s="54"/>
      <c r="S449" s="55"/>
      <c r="T449" s="25"/>
      <c r="U449" s="25"/>
      <c r="V449" s="24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</row>
    <row r="450">
      <c r="A450" s="25"/>
      <c r="B450" s="25"/>
      <c r="C450" s="25"/>
      <c r="D450" s="25"/>
      <c r="E450" s="25"/>
      <c r="F450" s="25"/>
      <c r="G450" s="25"/>
      <c r="H450" s="46"/>
      <c r="I450" s="52"/>
      <c r="J450" s="46"/>
      <c r="K450" s="52"/>
      <c r="L450" s="46"/>
      <c r="M450" s="52"/>
      <c r="N450" s="53"/>
      <c r="O450" s="25"/>
      <c r="P450" s="55"/>
      <c r="Q450" s="34"/>
      <c r="R450" s="54"/>
      <c r="S450" s="55"/>
      <c r="T450" s="25"/>
      <c r="U450" s="25"/>
      <c r="V450" s="24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</row>
    <row r="451">
      <c r="A451" s="25"/>
      <c r="B451" s="25"/>
      <c r="C451" s="25"/>
      <c r="D451" s="25"/>
      <c r="E451" s="25"/>
      <c r="F451" s="25"/>
      <c r="G451" s="25"/>
      <c r="H451" s="46"/>
      <c r="I451" s="52"/>
      <c r="J451" s="46"/>
      <c r="K451" s="52"/>
      <c r="L451" s="46"/>
      <c r="M451" s="52"/>
      <c r="N451" s="53"/>
      <c r="O451" s="25"/>
      <c r="P451" s="55"/>
      <c r="Q451" s="34"/>
      <c r="R451" s="54"/>
      <c r="S451" s="55"/>
      <c r="T451" s="25"/>
      <c r="U451" s="25"/>
      <c r="V451" s="24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</row>
    <row r="452">
      <c r="A452" s="25"/>
      <c r="B452" s="25"/>
      <c r="C452" s="25"/>
      <c r="D452" s="25"/>
      <c r="E452" s="25"/>
      <c r="F452" s="25"/>
      <c r="G452" s="25"/>
      <c r="H452" s="46"/>
      <c r="I452" s="52"/>
      <c r="J452" s="46"/>
      <c r="K452" s="52"/>
      <c r="L452" s="46"/>
      <c r="M452" s="52"/>
      <c r="N452" s="53"/>
      <c r="O452" s="25"/>
      <c r="P452" s="55"/>
      <c r="Q452" s="34"/>
      <c r="R452" s="54"/>
      <c r="S452" s="55"/>
      <c r="T452" s="25"/>
      <c r="U452" s="25"/>
      <c r="V452" s="24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</row>
    <row r="453">
      <c r="A453" s="25"/>
      <c r="B453" s="25"/>
      <c r="C453" s="25"/>
      <c r="D453" s="25"/>
      <c r="E453" s="25"/>
      <c r="F453" s="25"/>
      <c r="G453" s="25"/>
      <c r="H453" s="46"/>
      <c r="I453" s="52"/>
      <c r="J453" s="46"/>
      <c r="K453" s="52"/>
      <c r="L453" s="46"/>
      <c r="M453" s="52"/>
      <c r="N453" s="53"/>
      <c r="O453" s="25"/>
      <c r="P453" s="55"/>
      <c r="Q453" s="34"/>
      <c r="R453" s="54"/>
      <c r="S453" s="55"/>
      <c r="T453" s="25"/>
      <c r="U453" s="25"/>
      <c r="V453" s="24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</row>
    <row r="454">
      <c r="A454" s="25"/>
      <c r="B454" s="25"/>
      <c r="C454" s="25"/>
      <c r="D454" s="25"/>
      <c r="E454" s="25"/>
      <c r="F454" s="25"/>
      <c r="G454" s="25"/>
      <c r="H454" s="46"/>
      <c r="I454" s="52"/>
      <c r="J454" s="46"/>
      <c r="K454" s="52"/>
      <c r="L454" s="46"/>
      <c r="M454" s="52"/>
      <c r="N454" s="53"/>
      <c r="O454" s="25"/>
      <c r="P454" s="55"/>
      <c r="Q454" s="34"/>
      <c r="R454" s="54"/>
      <c r="S454" s="55"/>
      <c r="T454" s="25"/>
      <c r="U454" s="25"/>
      <c r="V454" s="24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</row>
    <row r="455">
      <c r="A455" s="25"/>
      <c r="B455" s="25"/>
      <c r="C455" s="25"/>
      <c r="D455" s="25"/>
      <c r="E455" s="25"/>
      <c r="F455" s="25"/>
      <c r="G455" s="25"/>
      <c r="H455" s="46"/>
      <c r="I455" s="52"/>
      <c r="J455" s="46"/>
      <c r="K455" s="52"/>
      <c r="L455" s="46"/>
      <c r="M455" s="52"/>
      <c r="N455" s="53"/>
      <c r="O455" s="25"/>
      <c r="P455" s="55"/>
      <c r="Q455" s="34"/>
      <c r="R455" s="54"/>
      <c r="S455" s="55"/>
      <c r="T455" s="25"/>
      <c r="U455" s="25"/>
      <c r="V455" s="24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</row>
    <row r="456">
      <c r="A456" s="25"/>
      <c r="B456" s="25"/>
      <c r="C456" s="25"/>
      <c r="D456" s="25"/>
      <c r="E456" s="25"/>
      <c r="F456" s="25"/>
      <c r="G456" s="25"/>
      <c r="H456" s="46"/>
      <c r="I456" s="52"/>
      <c r="J456" s="46"/>
      <c r="K456" s="52"/>
      <c r="L456" s="46"/>
      <c r="M456" s="52"/>
      <c r="N456" s="53"/>
      <c r="O456" s="25"/>
      <c r="P456" s="55"/>
      <c r="Q456" s="34"/>
      <c r="R456" s="54"/>
      <c r="S456" s="55"/>
      <c r="T456" s="25"/>
      <c r="U456" s="25"/>
      <c r="V456" s="24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</row>
    <row r="457">
      <c r="A457" s="25"/>
      <c r="B457" s="25"/>
      <c r="C457" s="25"/>
      <c r="D457" s="25"/>
      <c r="E457" s="25"/>
      <c r="F457" s="25"/>
      <c r="G457" s="25"/>
      <c r="H457" s="46"/>
      <c r="I457" s="52"/>
      <c r="J457" s="46"/>
      <c r="K457" s="52"/>
      <c r="L457" s="46"/>
      <c r="M457" s="52"/>
      <c r="N457" s="53"/>
      <c r="O457" s="25"/>
      <c r="P457" s="55"/>
      <c r="Q457" s="34"/>
      <c r="R457" s="54"/>
      <c r="S457" s="55"/>
      <c r="T457" s="25"/>
      <c r="U457" s="25"/>
      <c r="V457" s="24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</row>
    <row r="458">
      <c r="A458" s="25"/>
      <c r="B458" s="25"/>
      <c r="C458" s="25"/>
      <c r="D458" s="25"/>
      <c r="E458" s="25"/>
      <c r="F458" s="25"/>
      <c r="G458" s="25"/>
      <c r="H458" s="46"/>
      <c r="I458" s="52"/>
      <c r="J458" s="46"/>
      <c r="K458" s="52"/>
      <c r="L458" s="46"/>
      <c r="M458" s="52"/>
      <c r="N458" s="53"/>
      <c r="O458" s="25"/>
      <c r="P458" s="55"/>
      <c r="Q458" s="34"/>
      <c r="R458" s="54"/>
      <c r="S458" s="55"/>
      <c r="T458" s="25"/>
      <c r="U458" s="25"/>
      <c r="V458" s="24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</row>
    <row r="459">
      <c r="A459" s="25"/>
      <c r="B459" s="25"/>
      <c r="C459" s="25"/>
      <c r="D459" s="25"/>
      <c r="E459" s="25"/>
      <c r="F459" s="25"/>
      <c r="G459" s="25"/>
      <c r="H459" s="46"/>
      <c r="I459" s="52"/>
      <c r="J459" s="46"/>
      <c r="K459" s="52"/>
      <c r="L459" s="46"/>
      <c r="M459" s="52"/>
      <c r="N459" s="53"/>
      <c r="O459" s="25"/>
      <c r="P459" s="55"/>
      <c r="Q459" s="34"/>
      <c r="R459" s="54"/>
      <c r="S459" s="55"/>
      <c r="T459" s="25"/>
      <c r="U459" s="25"/>
      <c r="V459" s="24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</row>
    <row r="460">
      <c r="A460" s="25"/>
      <c r="B460" s="25"/>
      <c r="C460" s="25"/>
      <c r="D460" s="25"/>
      <c r="E460" s="25"/>
      <c r="F460" s="25"/>
      <c r="G460" s="25"/>
      <c r="H460" s="46"/>
      <c r="I460" s="52"/>
      <c r="J460" s="46"/>
      <c r="K460" s="52"/>
      <c r="L460" s="46"/>
      <c r="M460" s="52"/>
      <c r="N460" s="53"/>
      <c r="O460" s="25"/>
      <c r="P460" s="55"/>
      <c r="Q460" s="34"/>
      <c r="R460" s="54"/>
      <c r="S460" s="55"/>
      <c r="T460" s="25"/>
      <c r="U460" s="25"/>
      <c r="V460" s="24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</row>
    <row r="461">
      <c r="A461" s="25"/>
      <c r="B461" s="25"/>
      <c r="C461" s="25"/>
      <c r="D461" s="25"/>
      <c r="E461" s="25"/>
      <c r="F461" s="25"/>
      <c r="G461" s="25"/>
      <c r="H461" s="46"/>
      <c r="I461" s="52"/>
      <c r="J461" s="46"/>
      <c r="K461" s="52"/>
      <c r="L461" s="46"/>
      <c r="M461" s="52"/>
      <c r="N461" s="53"/>
      <c r="O461" s="25"/>
      <c r="P461" s="55"/>
      <c r="Q461" s="34"/>
      <c r="R461" s="54"/>
      <c r="S461" s="55"/>
      <c r="T461" s="25"/>
      <c r="U461" s="25"/>
      <c r="V461" s="24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</row>
    <row r="462">
      <c r="A462" s="25"/>
      <c r="B462" s="25"/>
      <c r="C462" s="25"/>
      <c r="D462" s="25"/>
      <c r="E462" s="25"/>
      <c r="F462" s="25"/>
      <c r="G462" s="25"/>
      <c r="H462" s="46"/>
      <c r="I462" s="52"/>
      <c r="J462" s="46"/>
      <c r="K462" s="52"/>
      <c r="L462" s="46"/>
      <c r="M462" s="52"/>
      <c r="N462" s="53"/>
      <c r="O462" s="25"/>
      <c r="P462" s="55"/>
      <c r="Q462" s="34"/>
      <c r="R462" s="54"/>
      <c r="S462" s="55"/>
      <c r="T462" s="25"/>
      <c r="U462" s="25"/>
      <c r="V462" s="24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</row>
    <row r="463">
      <c r="A463" s="25"/>
      <c r="B463" s="25"/>
      <c r="C463" s="25"/>
      <c r="D463" s="25"/>
      <c r="E463" s="25"/>
      <c r="F463" s="25"/>
      <c r="G463" s="25"/>
      <c r="H463" s="46"/>
      <c r="I463" s="52"/>
      <c r="J463" s="46"/>
      <c r="K463" s="52"/>
      <c r="L463" s="46"/>
      <c r="M463" s="52"/>
      <c r="N463" s="53"/>
      <c r="O463" s="25"/>
      <c r="P463" s="55"/>
      <c r="Q463" s="34"/>
      <c r="R463" s="54"/>
      <c r="S463" s="55"/>
      <c r="T463" s="25"/>
      <c r="U463" s="25"/>
      <c r="V463" s="24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</row>
    <row r="464">
      <c r="A464" s="25"/>
      <c r="B464" s="25"/>
      <c r="C464" s="25"/>
      <c r="D464" s="25"/>
      <c r="E464" s="25"/>
      <c r="F464" s="25"/>
      <c r="G464" s="25"/>
      <c r="H464" s="46"/>
      <c r="I464" s="52"/>
      <c r="J464" s="46"/>
      <c r="K464" s="52"/>
      <c r="L464" s="46"/>
      <c r="M464" s="52"/>
      <c r="N464" s="53"/>
      <c r="O464" s="25"/>
      <c r="P464" s="55"/>
      <c r="Q464" s="34"/>
      <c r="R464" s="54"/>
      <c r="S464" s="55"/>
      <c r="T464" s="25"/>
      <c r="U464" s="25"/>
      <c r="V464" s="24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</row>
    <row r="465">
      <c r="A465" s="25"/>
      <c r="B465" s="25"/>
      <c r="C465" s="25"/>
      <c r="D465" s="25"/>
      <c r="E465" s="25"/>
      <c r="F465" s="25"/>
      <c r="G465" s="25"/>
      <c r="H465" s="46"/>
      <c r="I465" s="52"/>
      <c r="J465" s="46"/>
      <c r="K465" s="52"/>
      <c r="L465" s="46"/>
      <c r="M465" s="52"/>
      <c r="N465" s="53"/>
      <c r="O465" s="25"/>
      <c r="P465" s="55"/>
      <c r="Q465" s="34"/>
      <c r="R465" s="54"/>
      <c r="S465" s="55"/>
      <c r="T465" s="25"/>
      <c r="U465" s="25"/>
      <c r="V465" s="24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</row>
    <row r="466">
      <c r="A466" s="25"/>
      <c r="B466" s="25"/>
      <c r="C466" s="25"/>
      <c r="D466" s="25"/>
      <c r="E466" s="25"/>
      <c r="F466" s="25"/>
      <c r="G466" s="25"/>
      <c r="H466" s="46"/>
      <c r="I466" s="52"/>
      <c r="J466" s="46"/>
      <c r="K466" s="52"/>
      <c r="L466" s="46"/>
      <c r="M466" s="52"/>
      <c r="N466" s="53"/>
      <c r="O466" s="25"/>
      <c r="P466" s="55"/>
      <c r="Q466" s="34"/>
      <c r="R466" s="54"/>
      <c r="S466" s="55"/>
      <c r="T466" s="25"/>
      <c r="U466" s="25"/>
      <c r="V466" s="24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</row>
    <row r="467">
      <c r="A467" s="25"/>
      <c r="B467" s="25"/>
      <c r="C467" s="25"/>
      <c r="D467" s="25"/>
      <c r="E467" s="25"/>
      <c r="F467" s="25"/>
      <c r="G467" s="25"/>
      <c r="H467" s="46"/>
      <c r="I467" s="52"/>
      <c r="J467" s="46"/>
      <c r="K467" s="52"/>
      <c r="L467" s="46"/>
      <c r="M467" s="52"/>
      <c r="N467" s="53"/>
      <c r="O467" s="25"/>
      <c r="P467" s="55"/>
      <c r="Q467" s="34"/>
      <c r="R467" s="54"/>
      <c r="S467" s="55"/>
      <c r="T467" s="25"/>
      <c r="U467" s="25"/>
      <c r="V467" s="24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</row>
    <row r="468">
      <c r="A468" s="25"/>
      <c r="B468" s="25"/>
      <c r="C468" s="25"/>
      <c r="D468" s="25"/>
      <c r="E468" s="25"/>
      <c r="F468" s="25"/>
      <c r="G468" s="25"/>
      <c r="H468" s="46"/>
      <c r="I468" s="52"/>
      <c r="J468" s="46"/>
      <c r="K468" s="52"/>
      <c r="L468" s="46"/>
      <c r="M468" s="52"/>
      <c r="N468" s="53"/>
      <c r="O468" s="25"/>
      <c r="P468" s="55"/>
      <c r="Q468" s="34"/>
      <c r="R468" s="54"/>
      <c r="S468" s="55"/>
      <c r="T468" s="25"/>
      <c r="U468" s="25"/>
      <c r="V468" s="24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</row>
    <row r="469">
      <c r="A469" s="25"/>
      <c r="B469" s="25"/>
      <c r="C469" s="25"/>
      <c r="D469" s="25"/>
      <c r="E469" s="25"/>
      <c r="F469" s="25"/>
      <c r="G469" s="25"/>
      <c r="H469" s="46"/>
      <c r="I469" s="52"/>
      <c r="J469" s="46"/>
      <c r="K469" s="52"/>
      <c r="L469" s="46"/>
      <c r="M469" s="52"/>
      <c r="N469" s="53"/>
      <c r="O469" s="25"/>
      <c r="P469" s="55"/>
      <c r="Q469" s="34"/>
      <c r="R469" s="54"/>
      <c r="S469" s="55"/>
      <c r="T469" s="25"/>
      <c r="U469" s="25"/>
      <c r="V469" s="24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</row>
    <row r="470">
      <c r="A470" s="25"/>
      <c r="B470" s="25"/>
      <c r="C470" s="25"/>
      <c r="D470" s="25"/>
      <c r="E470" s="25"/>
      <c r="F470" s="25"/>
      <c r="G470" s="25"/>
      <c r="H470" s="46"/>
      <c r="I470" s="52"/>
      <c r="J470" s="46"/>
      <c r="K470" s="52"/>
      <c r="L470" s="46"/>
      <c r="M470" s="52"/>
      <c r="N470" s="53"/>
      <c r="O470" s="25"/>
      <c r="P470" s="55"/>
      <c r="Q470" s="34"/>
      <c r="R470" s="54"/>
      <c r="S470" s="55"/>
      <c r="T470" s="25"/>
      <c r="U470" s="25"/>
      <c r="V470" s="24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</row>
    <row r="471">
      <c r="A471" s="25"/>
      <c r="B471" s="25"/>
      <c r="C471" s="25"/>
      <c r="D471" s="25"/>
      <c r="E471" s="25"/>
      <c r="F471" s="25"/>
      <c r="G471" s="25"/>
      <c r="H471" s="46"/>
      <c r="I471" s="52"/>
      <c r="J471" s="46"/>
      <c r="K471" s="52"/>
      <c r="L471" s="46"/>
      <c r="M471" s="52"/>
      <c r="N471" s="53"/>
      <c r="O471" s="25"/>
      <c r="P471" s="55"/>
      <c r="Q471" s="34"/>
      <c r="R471" s="54"/>
      <c r="S471" s="55"/>
      <c r="T471" s="25"/>
      <c r="U471" s="25"/>
      <c r="V471" s="24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</row>
    <row r="472">
      <c r="A472" s="25"/>
      <c r="B472" s="25"/>
      <c r="C472" s="25"/>
      <c r="D472" s="25"/>
      <c r="E472" s="25"/>
      <c r="F472" s="25"/>
      <c r="G472" s="25"/>
      <c r="H472" s="46"/>
      <c r="I472" s="52"/>
      <c r="J472" s="46"/>
      <c r="K472" s="52"/>
      <c r="L472" s="46"/>
      <c r="M472" s="52"/>
      <c r="N472" s="53"/>
      <c r="O472" s="25"/>
      <c r="P472" s="55"/>
      <c r="Q472" s="34"/>
      <c r="R472" s="54"/>
      <c r="S472" s="55"/>
      <c r="T472" s="25"/>
      <c r="U472" s="25"/>
      <c r="V472" s="24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</row>
    <row r="473">
      <c r="A473" s="25"/>
      <c r="B473" s="25"/>
      <c r="C473" s="25"/>
      <c r="D473" s="25"/>
      <c r="E473" s="25"/>
      <c r="F473" s="25"/>
      <c r="G473" s="25"/>
      <c r="H473" s="46"/>
      <c r="I473" s="52"/>
      <c r="J473" s="46"/>
      <c r="K473" s="52"/>
      <c r="L473" s="46"/>
      <c r="M473" s="52"/>
      <c r="N473" s="53"/>
      <c r="O473" s="25"/>
      <c r="P473" s="55"/>
      <c r="Q473" s="34"/>
      <c r="R473" s="54"/>
      <c r="S473" s="55"/>
      <c r="T473" s="25"/>
      <c r="U473" s="25"/>
      <c r="V473" s="24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</row>
    <row r="474">
      <c r="A474" s="25"/>
      <c r="B474" s="25"/>
      <c r="C474" s="25"/>
      <c r="D474" s="25"/>
      <c r="E474" s="25"/>
      <c r="F474" s="25"/>
      <c r="G474" s="25"/>
      <c r="H474" s="46"/>
      <c r="I474" s="52"/>
      <c r="J474" s="46"/>
      <c r="K474" s="52"/>
      <c r="L474" s="46"/>
      <c r="M474" s="52"/>
      <c r="N474" s="53"/>
      <c r="O474" s="25"/>
      <c r="P474" s="55"/>
      <c r="Q474" s="34"/>
      <c r="R474" s="54"/>
      <c r="S474" s="55"/>
      <c r="T474" s="25"/>
      <c r="U474" s="25"/>
      <c r="V474" s="24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</row>
    <row r="475">
      <c r="A475" s="25"/>
      <c r="B475" s="25"/>
      <c r="C475" s="25"/>
      <c r="D475" s="25"/>
      <c r="E475" s="25"/>
      <c r="F475" s="25"/>
      <c r="G475" s="25"/>
      <c r="H475" s="46"/>
      <c r="I475" s="52"/>
      <c r="J475" s="46"/>
      <c r="K475" s="52"/>
      <c r="L475" s="46"/>
      <c r="M475" s="52"/>
      <c r="N475" s="53"/>
      <c r="O475" s="25"/>
      <c r="P475" s="55"/>
      <c r="Q475" s="34"/>
      <c r="R475" s="54"/>
      <c r="S475" s="55"/>
      <c r="T475" s="25"/>
      <c r="U475" s="25"/>
      <c r="V475" s="24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</row>
    <row r="476">
      <c r="A476" s="25"/>
      <c r="B476" s="25"/>
      <c r="C476" s="25"/>
      <c r="D476" s="25"/>
      <c r="E476" s="25"/>
      <c r="F476" s="25"/>
      <c r="G476" s="25"/>
      <c r="H476" s="46"/>
      <c r="I476" s="52"/>
      <c r="J476" s="46"/>
      <c r="K476" s="52"/>
      <c r="L476" s="46"/>
      <c r="M476" s="52"/>
      <c r="N476" s="53"/>
      <c r="O476" s="25"/>
      <c r="P476" s="55"/>
      <c r="Q476" s="34"/>
      <c r="R476" s="54"/>
      <c r="S476" s="55"/>
      <c r="T476" s="25"/>
      <c r="U476" s="25"/>
      <c r="V476" s="24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</row>
    <row r="477">
      <c r="A477" s="25"/>
      <c r="B477" s="25"/>
      <c r="C477" s="25"/>
      <c r="D477" s="25"/>
      <c r="E477" s="25"/>
      <c r="F477" s="25"/>
      <c r="G477" s="25"/>
      <c r="H477" s="46"/>
      <c r="I477" s="52"/>
      <c r="J477" s="46"/>
      <c r="K477" s="52"/>
      <c r="L477" s="46"/>
      <c r="M477" s="52"/>
      <c r="N477" s="53"/>
      <c r="O477" s="25"/>
      <c r="P477" s="55"/>
      <c r="Q477" s="34"/>
      <c r="R477" s="54"/>
      <c r="S477" s="55"/>
      <c r="T477" s="25"/>
      <c r="U477" s="25"/>
      <c r="V477" s="24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</row>
    <row r="478">
      <c r="A478" s="25"/>
      <c r="B478" s="25"/>
      <c r="C478" s="25"/>
      <c r="D478" s="25"/>
      <c r="E478" s="25"/>
      <c r="F478" s="25"/>
      <c r="G478" s="25"/>
      <c r="H478" s="46"/>
      <c r="I478" s="52"/>
      <c r="J478" s="46"/>
      <c r="K478" s="52"/>
      <c r="L478" s="46"/>
      <c r="M478" s="52"/>
      <c r="N478" s="53"/>
      <c r="O478" s="25"/>
      <c r="P478" s="55"/>
      <c r="Q478" s="34"/>
      <c r="R478" s="54"/>
      <c r="S478" s="55"/>
      <c r="T478" s="25"/>
      <c r="U478" s="25"/>
      <c r="V478" s="24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</row>
    <row r="479">
      <c r="A479" s="25"/>
      <c r="B479" s="25"/>
      <c r="C479" s="25"/>
      <c r="D479" s="25"/>
      <c r="E479" s="25"/>
      <c r="F479" s="25"/>
      <c r="G479" s="25"/>
      <c r="H479" s="46"/>
      <c r="I479" s="52"/>
      <c r="J479" s="46"/>
      <c r="K479" s="52"/>
      <c r="L479" s="46"/>
      <c r="M479" s="52"/>
      <c r="N479" s="53"/>
      <c r="O479" s="25"/>
      <c r="P479" s="55"/>
      <c r="Q479" s="34"/>
      <c r="R479" s="54"/>
      <c r="S479" s="55"/>
      <c r="T479" s="25"/>
      <c r="U479" s="25"/>
      <c r="V479" s="24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</row>
    <row r="480">
      <c r="A480" s="25"/>
      <c r="B480" s="25"/>
      <c r="C480" s="25"/>
      <c r="D480" s="25"/>
      <c r="E480" s="25"/>
      <c r="F480" s="25"/>
      <c r="G480" s="25"/>
      <c r="H480" s="46"/>
      <c r="I480" s="52"/>
      <c r="J480" s="46"/>
      <c r="K480" s="52"/>
      <c r="L480" s="46"/>
      <c r="M480" s="52"/>
      <c r="N480" s="53"/>
      <c r="O480" s="25"/>
      <c r="P480" s="55"/>
      <c r="Q480" s="34"/>
      <c r="R480" s="54"/>
      <c r="S480" s="55"/>
      <c r="T480" s="25"/>
      <c r="U480" s="25"/>
      <c r="V480" s="24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</row>
    <row r="481">
      <c r="A481" s="25"/>
      <c r="B481" s="25"/>
      <c r="C481" s="25"/>
      <c r="D481" s="25"/>
      <c r="E481" s="25"/>
      <c r="F481" s="25"/>
      <c r="G481" s="25"/>
      <c r="H481" s="46"/>
      <c r="I481" s="52"/>
      <c r="J481" s="46"/>
      <c r="K481" s="52"/>
      <c r="L481" s="46"/>
      <c r="M481" s="52"/>
      <c r="N481" s="53"/>
      <c r="O481" s="25"/>
      <c r="P481" s="55"/>
      <c r="Q481" s="34"/>
      <c r="R481" s="54"/>
      <c r="S481" s="55"/>
      <c r="T481" s="25"/>
      <c r="U481" s="25"/>
      <c r="V481" s="24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</row>
    <row r="482">
      <c r="A482" s="25"/>
      <c r="B482" s="25"/>
      <c r="C482" s="25"/>
      <c r="D482" s="25"/>
      <c r="E482" s="25"/>
      <c r="F482" s="25"/>
      <c r="G482" s="25"/>
      <c r="H482" s="46"/>
      <c r="I482" s="52"/>
      <c r="J482" s="46"/>
      <c r="K482" s="52"/>
      <c r="L482" s="46"/>
      <c r="M482" s="52"/>
      <c r="N482" s="53"/>
      <c r="O482" s="25"/>
      <c r="P482" s="55"/>
      <c r="Q482" s="34"/>
      <c r="R482" s="54"/>
      <c r="S482" s="55"/>
      <c r="T482" s="25"/>
      <c r="U482" s="25"/>
      <c r="V482" s="24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</row>
    <row r="483">
      <c r="A483" s="25"/>
      <c r="B483" s="25"/>
      <c r="C483" s="25"/>
      <c r="D483" s="25"/>
      <c r="E483" s="25"/>
      <c r="F483" s="25"/>
      <c r="G483" s="25"/>
      <c r="H483" s="46"/>
      <c r="I483" s="52"/>
      <c r="J483" s="46"/>
      <c r="K483" s="52"/>
      <c r="L483" s="46"/>
      <c r="M483" s="52"/>
      <c r="N483" s="53"/>
      <c r="O483" s="25"/>
      <c r="P483" s="55"/>
      <c r="Q483" s="34"/>
      <c r="R483" s="54"/>
      <c r="S483" s="55"/>
      <c r="T483" s="25"/>
      <c r="U483" s="25"/>
      <c r="V483" s="24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</row>
    <row r="484">
      <c r="A484" s="25"/>
      <c r="B484" s="25"/>
      <c r="C484" s="25"/>
      <c r="D484" s="25"/>
      <c r="E484" s="25"/>
      <c r="F484" s="25"/>
      <c r="G484" s="25"/>
      <c r="H484" s="46"/>
      <c r="I484" s="52"/>
      <c r="J484" s="46"/>
      <c r="K484" s="52"/>
      <c r="L484" s="46"/>
      <c r="M484" s="52"/>
      <c r="N484" s="53"/>
      <c r="O484" s="25"/>
      <c r="P484" s="55"/>
      <c r="Q484" s="34"/>
      <c r="R484" s="54"/>
      <c r="S484" s="55"/>
      <c r="T484" s="25"/>
      <c r="U484" s="25"/>
      <c r="V484" s="24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</row>
    <row r="485">
      <c r="A485" s="25"/>
      <c r="B485" s="25"/>
      <c r="C485" s="25"/>
      <c r="D485" s="25"/>
      <c r="E485" s="25"/>
      <c r="F485" s="25"/>
      <c r="G485" s="25"/>
      <c r="H485" s="46"/>
      <c r="I485" s="52"/>
      <c r="J485" s="46"/>
      <c r="K485" s="52"/>
      <c r="L485" s="46"/>
      <c r="M485" s="52"/>
      <c r="N485" s="53"/>
      <c r="O485" s="25"/>
      <c r="P485" s="55"/>
      <c r="Q485" s="34"/>
      <c r="R485" s="54"/>
      <c r="S485" s="55"/>
      <c r="T485" s="25"/>
      <c r="U485" s="25"/>
      <c r="V485" s="24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</row>
    <row r="486">
      <c r="A486" s="25"/>
      <c r="B486" s="25"/>
      <c r="C486" s="25"/>
      <c r="D486" s="25"/>
      <c r="E486" s="25"/>
      <c r="F486" s="25"/>
      <c r="G486" s="25"/>
      <c r="H486" s="46"/>
      <c r="I486" s="52"/>
      <c r="J486" s="46"/>
      <c r="K486" s="52"/>
      <c r="L486" s="46"/>
      <c r="M486" s="52"/>
      <c r="N486" s="53"/>
      <c r="O486" s="25"/>
      <c r="P486" s="55"/>
      <c r="Q486" s="34"/>
      <c r="R486" s="54"/>
      <c r="S486" s="55"/>
      <c r="T486" s="25"/>
      <c r="U486" s="25"/>
      <c r="V486" s="24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</row>
    <row r="487">
      <c r="A487" s="25"/>
      <c r="B487" s="25"/>
      <c r="C487" s="25"/>
      <c r="D487" s="25"/>
      <c r="E487" s="25"/>
      <c r="F487" s="25"/>
      <c r="G487" s="25"/>
      <c r="H487" s="46"/>
      <c r="I487" s="52"/>
      <c r="J487" s="46"/>
      <c r="K487" s="52"/>
      <c r="L487" s="46"/>
      <c r="M487" s="52"/>
      <c r="N487" s="53"/>
      <c r="O487" s="25"/>
      <c r="P487" s="55"/>
      <c r="Q487" s="34"/>
      <c r="R487" s="54"/>
      <c r="S487" s="55"/>
      <c r="T487" s="25"/>
      <c r="U487" s="25"/>
      <c r="V487" s="24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</row>
    <row r="488">
      <c r="A488" s="25"/>
      <c r="B488" s="25"/>
      <c r="C488" s="25"/>
      <c r="D488" s="25"/>
      <c r="E488" s="25"/>
      <c r="F488" s="25"/>
      <c r="G488" s="25"/>
      <c r="H488" s="46"/>
      <c r="I488" s="52"/>
      <c r="J488" s="46"/>
      <c r="K488" s="52"/>
      <c r="L488" s="46"/>
      <c r="M488" s="52"/>
      <c r="N488" s="53"/>
      <c r="O488" s="25"/>
      <c r="P488" s="55"/>
      <c r="Q488" s="34"/>
      <c r="R488" s="54"/>
      <c r="S488" s="55"/>
      <c r="T488" s="25"/>
      <c r="U488" s="25"/>
      <c r="V488" s="24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</row>
    <row r="489">
      <c r="A489" s="25"/>
      <c r="B489" s="25"/>
      <c r="C489" s="25"/>
      <c r="D489" s="25"/>
      <c r="E489" s="25"/>
      <c r="F489" s="25"/>
      <c r="G489" s="25"/>
      <c r="H489" s="46"/>
      <c r="I489" s="52"/>
      <c r="J489" s="46"/>
      <c r="K489" s="52"/>
      <c r="L489" s="46"/>
      <c r="M489" s="52"/>
      <c r="N489" s="53"/>
      <c r="O489" s="25"/>
      <c r="P489" s="55"/>
      <c r="Q489" s="34"/>
      <c r="R489" s="54"/>
      <c r="S489" s="55"/>
      <c r="T489" s="25"/>
      <c r="U489" s="25"/>
      <c r="V489" s="24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</row>
    <row r="490">
      <c r="A490" s="25"/>
      <c r="B490" s="25"/>
      <c r="C490" s="25"/>
      <c r="D490" s="25"/>
      <c r="E490" s="25"/>
      <c r="F490" s="25"/>
      <c r="G490" s="25"/>
      <c r="H490" s="46"/>
      <c r="I490" s="52"/>
      <c r="J490" s="46"/>
      <c r="K490" s="52"/>
      <c r="L490" s="46"/>
      <c r="M490" s="52"/>
      <c r="N490" s="53"/>
      <c r="O490" s="25"/>
      <c r="P490" s="55"/>
      <c r="Q490" s="34"/>
      <c r="R490" s="54"/>
      <c r="S490" s="55"/>
      <c r="T490" s="25"/>
      <c r="U490" s="25"/>
      <c r="V490" s="24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</row>
    <row r="491">
      <c r="A491" s="25"/>
      <c r="B491" s="25"/>
      <c r="C491" s="25"/>
      <c r="D491" s="25"/>
      <c r="E491" s="25"/>
      <c r="F491" s="25"/>
      <c r="G491" s="25"/>
      <c r="H491" s="46"/>
      <c r="I491" s="52"/>
      <c r="J491" s="46"/>
      <c r="K491" s="52"/>
      <c r="L491" s="46"/>
      <c r="M491" s="52"/>
      <c r="N491" s="53"/>
      <c r="O491" s="25"/>
      <c r="P491" s="55"/>
      <c r="Q491" s="34"/>
      <c r="R491" s="54"/>
      <c r="S491" s="55"/>
      <c r="T491" s="25"/>
      <c r="U491" s="25"/>
      <c r="V491" s="24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</row>
    <row r="492">
      <c r="A492" s="25"/>
      <c r="B492" s="25"/>
      <c r="C492" s="25"/>
      <c r="D492" s="25"/>
      <c r="E492" s="25"/>
      <c r="F492" s="25"/>
      <c r="G492" s="25"/>
      <c r="H492" s="46"/>
      <c r="I492" s="52"/>
      <c r="J492" s="46"/>
      <c r="K492" s="52"/>
      <c r="L492" s="46"/>
      <c r="M492" s="52"/>
      <c r="N492" s="53"/>
      <c r="O492" s="25"/>
      <c r="P492" s="55"/>
      <c r="Q492" s="34"/>
      <c r="R492" s="54"/>
      <c r="S492" s="55"/>
      <c r="T492" s="25"/>
      <c r="U492" s="25"/>
      <c r="V492" s="24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</row>
    <row r="493">
      <c r="A493" s="25"/>
      <c r="B493" s="25"/>
      <c r="C493" s="25"/>
      <c r="D493" s="25"/>
      <c r="E493" s="25"/>
      <c r="F493" s="25"/>
      <c r="G493" s="25"/>
      <c r="H493" s="46"/>
      <c r="I493" s="52"/>
      <c r="J493" s="46"/>
      <c r="K493" s="52"/>
      <c r="L493" s="46"/>
      <c r="M493" s="52"/>
      <c r="N493" s="53"/>
      <c r="O493" s="25"/>
      <c r="P493" s="55"/>
      <c r="Q493" s="34"/>
      <c r="R493" s="54"/>
      <c r="S493" s="55"/>
      <c r="T493" s="25"/>
      <c r="U493" s="25"/>
      <c r="V493" s="24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</row>
    <row r="494">
      <c r="A494" s="25"/>
      <c r="B494" s="25"/>
      <c r="C494" s="25"/>
      <c r="D494" s="25"/>
      <c r="E494" s="25"/>
      <c r="F494" s="25"/>
      <c r="G494" s="25"/>
      <c r="H494" s="46"/>
      <c r="I494" s="52"/>
      <c r="J494" s="46"/>
      <c r="K494" s="52"/>
      <c r="L494" s="46"/>
      <c r="M494" s="52"/>
      <c r="N494" s="53"/>
      <c r="O494" s="25"/>
      <c r="P494" s="55"/>
      <c r="Q494" s="34"/>
      <c r="R494" s="54"/>
      <c r="S494" s="55"/>
      <c r="T494" s="25"/>
      <c r="U494" s="25"/>
      <c r="V494" s="24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</row>
    <row r="495">
      <c r="A495" s="25"/>
      <c r="B495" s="25"/>
      <c r="C495" s="25"/>
      <c r="D495" s="25"/>
      <c r="E495" s="25"/>
      <c r="F495" s="25"/>
      <c r="G495" s="25"/>
      <c r="H495" s="46"/>
      <c r="I495" s="52"/>
      <c r="J495" s="46"/>
      <c r="K495" s="52"/>
      <c r="L495" s="46"/>
      <c r="M495" s="52"/>
      <c r="N495" s="53"/>
      <c r="O495" s="25"/>
      <c r="P495" s="55"/>
      <c r="Q495" s="34"/>
      <c r="R495" s="54"/>
      <c r="S495" s="55"/>
      <c r="T495" s="25"/>
      <c r="U495" s="25"/>
      <c r="V495" s="24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</row>
    <row r="496">
      <c r="A496" s="25"/>
      <c r="B496" s="25"/>
      <c r="C496" s="25"/>
      <c r="D496" s="25"/>
      <c r="E496" s="25"/>
      <c r="F496" s="25"/>
      <c r="G496" s="25"/>
      <c r="H496" s="46"/>
      <c r="I496" s="52"/>
      <c r="J496" s="46"/>
      <c r="K496" s="52"/>
      <c r="L496" s="46"/>
      <c r="M496" s="52"/>
      <c r="N496" s="53"/>
      <c r="O496" s="25"/>
      <c r="P496" s="55"/>
      <c r="Q496" s="34"/>
      <c r="R496" s="54"/>
      <c r="S496" s="55"/>
      <c r="T496" s="25"/>
      <c r="U496" s="25"/>
      <c r="V496" s="24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</row>
    <row r="497">
      <c r="A497" s="25"/>
      <c r="B497" s="25"/>
      <c r="C497" s="25"/>
      <c r="D497" s="25"/>
      <c r="E497" s="25"/>
      <c r="F497" s="25"/>
      <c r="G497" s="25"/>
      <c r="H497" s="46"/>
      <c r="I497" s="52"/>
      <c r="J497" s="46"/>
      <c r="K497" s="52"/>
      <c r="L497" s="46"/>
      <c r="M497" s="52"/>
      <c r="N497" s="53"/>
      <c r="O497" s="25"/>
      <c r="P497" s="55"/>
      <c r="Q497" s="34"/>
      <c r="R497" s="54"/>
      <c r="S497" s="55"/>
      <c r="T497" s="25"/>
      <c r="U497" s="25"/>
      <c r="V497" s="24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</row>
    <row r="498">
      <c r="A498" s="25"/>
      <c r="B498" s="25"/>
      <c r="C498" s="25"/>
      <c r="D498" s="25"/>
      <c r="E498" s="25"/>
      <c r="F498" s="25"/>
      <c r="G498" s="25"/>
      <c r="H498" s="46"/>
      <c r="I498" s="52"/>
      <c r="J498" s="46"/>
      <c r="K498" s="52"/>
      <c r="L498" s="46"/>
      <c r="M498" s="52"/>
      <c r="N498" s="53"/>
      <c r="O498" s="25"/>
      <c r="P498" s="55"/>
      <c r="Q498" s="34"/>
      <c r="R498" s="54"/>
      <c r="S498" s="55"/>
      <c r="T498" s="25"/>
      <c r="U498" s="25"/>
      <c r="V498" s="24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</row>
    <row r="499">
      <c r="A499" s="25"/>
      <c r="B499" s="25"/>
      <c r="C499" s="25"/>
      <c r="D499" s="25"/>
      <c r="E499" s="25"/>
      <c r="F499" s="25"/>
      <c r="G499" s="25"/>
      <c r="H499" s="46"/>
      <c r="I499" s="52"/>
      <c r="J499" s="46"/>
      <c r="K499" s="52"/>
      <c r="L499" s="46"/>
      <c r="M499" s="52"/>
      <c r="N499" s="53"/>
      <c r="O499" s="25"/>
      <c r="P499" s="55"/>
      <c r="Q499" s="34"/>
      <c r="R499" s="54"/>
      <c r="S499" s="55"/>
      <c r="T499" s="25"/>
      <c r="U499" s="25"/>
      <c r="V499" s="24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</row>
    <row r="500">
      <c r="A500" s="25"/>
      <c r="B500" s="25"/>
      <c r="C500" s="25"/>
      <c r="D500" s="25"/>
      <c r="E500" s="25"/>
      <c r="F500" s="25"/>
      <c r="G500" s="25"/>
      <c r="H500" s="46"/>
      <c r="I500" s="52"/>
      <c r="J500" s="46"/>
      <c r="K500" s="52"/>
      <c r="L500" s="46"/>
      <c r="M500" s="52"/>
      <c r="N500" s="53"/>
      <c r="O500" s="25"/>
      <c r="P500" s="55"/>
      <c r="Q500" s="34"/>
      <c r="R500" s="54"/>
      <c r="S500" s="55"/>
      <c r="T500" s="25"/>
      <c r="U500" s="25"/>
      <c r="V500" s="24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</row>
    <row r="501">
      <c r="A501" s="25"/>
      <c r="B501" s="25"/>
      <c r="C501" s="25"/>
      <c r="D501" s="25"/>
      <c r="E501" s="25"/>
      <c r="F501" s="25"/>
      <c r="G501" s="25"/>
      <c r="H501" s="46"/>
      <c r="I501" s="52"/>
      <c r="J501" s="46"/>
      <c r="K501" s="52"/>
      <c r="L501" s="46"/>
      <c r="M501" s="52"/>
      <c r="N501" s="53"/>
      <c r="O501" s="25"/>
      <c r="P501" s="55"/>
      <c r="Q501" s="34"/>
      <c r="R501" s="54"/>
      <c r="S501" s="55"/>
      <c r="T501" s="25"/>
      <c r="U501" s="25"/>
      <c r="V501" s="24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</row>
    <row r="502">
      <c r="A502" s="25"/>
      <c r="B502" s="25"/>
      <c r="C502" s="25"/>
      <c r="D502" s="25"/>
      <c r="E502" s="25"/>
      <c r="F502" s="25"/>
      <c r="G502" s="25"/>
      <c r="H502" s="46"/>
      <c r="I502" s="52"/>
      <c r="J502" s="46"/>
      <c r="K502" s="52"/>
      <c r="L502" s="46"/>
      <c r="M502" s="52"/>
      <c r="N502" s="53"/>
      <c r="O502" s="25"/>
      <c r="P502" s="55"/>
      <c r="Q502" s="34"/>
      <c r="R502" s="54"/>
      <c r="S502" s="55"/>
      <c r="T502" s="25"/>
      <c r="U502" s="25"/>
      <c r="V502" s="24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</row>
    <row r="503">
      <c r="A503" s="25"/>
      <c r="B503" s="25"/>
      <c r="C503" s="25"/>
      <c r="D503" s="25"/>
      <c r="E503" s="25"/>
      <c r="F503" s="25"/>
      <c r="G503" s="25"/>
      <c r="H503" s="46"/>
      <c r="I503" s="52"/>
      <c r="J503" s="46"/>
      <c r="K503" s="52"/>
      <c r="L503" s="46"/>
      <c r="M503" s="52"/>
      <c r="N503" s="53"/>
      <c r="O503" s="25"/>
      <c r="P503" s="55"/>
      <c r="Q503" s="34"/>
      <c r="R503" s="54"/>
      <c r="S503" s="55"/>
      <c r="T503" s="25"/>
      <c r="U503" s="25"/>
      <c r="V503" s="24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</row>
    <row r="504">
      <c r="A504" s="25"/>
      <c r="B504" s="25"/>
      <c r="C504" s="25"/>
      <c r="D504" s="25"/>
      <c r="E504" s="25"/>
      <c r="F504" s="25"/>
      <c r="G504" s="25"/>
      <c r="H504" s="46"/>
      <c r="I504" s="52"/>
      <c r="J504" s="46"/>
      <c r="K504" s="52"/>
      <c r="L504" s="46"/>
      <c r="M504" s="52"/>
      <c r="N504" s="53"/>
      <c r="O504" s="25"/>
      <c r="P504" s="55"/>
      <c r="Q504" s="34"/>
      <c r="R504" s="54"/>
      <c r="S504" s="55"/>
      <c r="T504" s="25"/>
      <c r="U504" s="25"/>
      <c r="V504" s="24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</row>
    <row r="505">
      <c r="A505" s="25"/>
      <c r="B505" s="25"/>
      <c r="C505" s="25"/>
      <c r="D505" s="25"/>
      <c r="E505" s="25"/>
      <c r="F505" s="25"/>
      <c r="G505" s="25"/>
      <c r="H505" s="46"/>
      <c r="I505" s="52"/>
      <c r="J505" s="46"/>
      <c r="K505" s="52"/>
      <c r="L505" s="46"/>
      <c r="M505" s="52"/>
      <c r="N505" s="53"/>
      <c r="O505" s="25"/>
      <c r="P505" s="55"/>
      <c r="Q505" s="34"/>
      <c r="R505" s="54"/>
      <c r="S505" s="55"/>
      <c r="T505" s="25"/>
      <c r="U505" s="25"/>
      <c r="V505" s="24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</row>
    <row r="506">
      <c r="A506" s="25"/>
      <c r="B506" s="25"/>
      <c r="C506" s="25"/>
      <c r="D506" s="25"/>
      <c r="E506" s="25"/>
      <c r="F506" s="25"/>
      <c r="G506" s="25"/>
      <c r="H506" s="46"/>
      <c r="I506" s="52"/>
      <c r="J506" s="46"/>
      <c r="K506" s="52"/>
      <c r="L506" s="46"/>
      <c r="M506" s="52"/>
      <c r="N506" s="53"/>
      <c r="O506" s="25"/>
      <c r="P506" s="55"/>
      <c r="Q506" s="34"/>
      <c r="R506" s="54"/>
      <c r="S506" s="55"/>
      <c r="T506" s="25"/>
      <c r="U506" s="25"/>
      <c r="V506" s="24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</row>
    <row r="507">
      <c r="A507" s="25"/>
      <c r="B507" s="25"/>
      <c r="C507" s="25"/>
      <c r="D507" s="25"/>
      <c r="E507" s="25"/>
      <c r="F507" s="25"/>
      <c r="G507" s="25"/>
      <c r="H507" s="46"/>
      <c r="I507" s="52"/>
      <c r="J507" s="46"/>
      <c r="K507" s="52"/>
      <c r="L507" s="46"/>
      <c r="M507" s="52"/>
      <c r="N507" s="53"/>
      <c r="O507" s="25"/>
      <c r="P507" s="55"/>
      <c r="Q507" s="34"/>
      <c r="R507" s="54"/>
      <c r="S507" s="55"/>
      <c r="T507" s="25"/>
      <c r="U507" s="25"/>
      <c r="V507" s="24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</row>
    <row r="508">
      <c r="A508" s="25"/>
      <c r="B508" s="25"/>
      <c r="C508" s="25"/>
      <c r="D508" s="25"/>
      <c r="E508" s="25"/>
      <c r="F508" s="25"/>
      <c r="G508" s="25"/>
      <c r="H508" s="46"/>
      <c r="I508" s="52"/>
      <c r="J508" s="46"/>
      <c r="K508" s="52"/>
      <c r="L508" s="46"/>
      <c r="M508" s="52"/>
      <c r="N508" s="53"/>
      <c r="O508" s="25"/>
      <c r="P508" s="55"/>
      <c r="Q508" s="34"/>
      <c r="R508" s="54"/>
      <c r="S508" s="55"/>
      <c r="T508" s="25"/>
      <c r="U508" s="25"/>
      <c r="V508" s="24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</row>
    <row r="509">
      <c r="A509" s="25"/>
      <c r="B509" s="25"/>
      <c r="C509" s="25"/>
      <c r="D509" s="25"/>
      <c r="E509" s="25"/>
      <c r="F509" s="25"/>
      <c r="G509" s="25"/>
      <c r="H509" s="46"/>
      <c r="I509" s="52"/>
      <c r="J509" s="46"/>
      <c r="K509" s="52"/>
      <c r="L509" s="46"/>
      <c r="M509" s="52"/>
      <c r="N509" s="53"/>
      <c r="O509" s="25"/>
      <c r="P509" s="55"/>
      <c r="Q509" s="34"/>
      <c r="R509" s="54"/>
      <c r="S509" s="55"/>
      <c r="T509" s="25"/>
      <c r="U509" s="25"/>
      <c r="V509" s="24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</row>
    <row r="510">
      <c r="A510" s="25"/>
      <c r="B510" s="25"/>
      <c r="C510" s="25"/>
      <c r="D510" s="25"/>
      <c r="E510" s="25"/>
      <c r="F510" s="25"/>
      <c r="G510" s="25"/>
      <c r="H510" s="46"/>
      <c r="I510" s="52"/>
      <c r="J510" s="46"/>
      <c r="K510" s="52"/>
      <c r="L510" s="46"/>
      <c r="M510" s="52"/>
      <c r="N510" s="53"/>
      <c r="O510" s="25"/>
      <c r="P510" s="55"/>
      <c r="Q510" s="34"/>
      <c r="R510" s="54"/>
      <c r="S510" s="55"/>
      <c r="T510" s="25"/>
      <c r="U510" s="25"/>
      <c r="V510" s="24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</row>
    <row r="511">
      <c r="A511" s="25"/>
      <c r="B511" s="25"/>
      <c r="C511" s="25"/>
      <c r="D511" s="25"/>
      <c r="E511" s="25"/>
      <c r="F511" s="25"/>
      <c r="G511" s="25"/>
      <c r="H511" s="46"/>
      <c r="I511" s="52"/>
      <c r="J511" s="46"/>
      <c r="K511" s="52"/>
      <c r="L511" s="46"/>
      <c r="M511" s="52"/>
      <c r="N511" s="53"/>
      <c r="O511" s="25"/>
      <c r="P511" s="55"/>
      <c r="Q511" s="34"/>
      <c r="R511" s="54"/>
      <c r="S511" s="55"/>
      <c r="T511" s="25"/>
      <c r="U511" s="25"/>
      <c r="V511" s="24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</row>
    <row r="512">
      <c r="A512" s="25"/>
      <c r="B512" s="25"/>
      <c r="C512" s="25"/>
      <c r="D512" s="25"/>
      <c r="E512" s="25"/>
      <c r="F512" s="25"/>
      <c r="G512" s="25"/>
      <c r="H512" s="46"/>
      <c r="I512" s="52"/>
      <c r="J512" s="46"/>
      <c r="K512" s="52"/>
      <c r="L512" s="46"/>
      <c r="M512" s="52"/>
      <c r="N512" s="53"/>
      <c r="O512" s="25"/>
      <c r="P512" s="55"/>
      <c r="Q512" s="34"/>
      <c r="R512" s="54"/>
      <c r="S512" s="55"/>
      <c r="T512" s="25"/>
      <c r="U512" s="25"/>
      <c r="V512" s="24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</row>
    <row r="513">
      <c r="A513" s="25"/>
      <c r="B513" s="25"/>
      <c r="C513" s="25"/>
      <c r="D513" s="25"/>
      <c r="E513" s="25"/>
      <c r="F513" s="25"/>
      <c r="G513" s="25"/>
      <c r="H513" s="46"/>
      <c r="I513" s="52"/>
      <c r="J513" s="46"/>
      <c r="K513" s="52"/>
      <c r="L513" s="46"/>
      <c r="M513" s="52"/>
      <c r="N513" s="53"/>
      <c r="O513" s="25"/>
      <c r="P513" s="55"/>
      <c r="Q513" s="34"/>
      <c r="R513" s="54"/>
      <c r="S513" s="55"/>
      <c r="T513" s="25"/>
      <c r="U513" s="25"/>
      <c r="V513" s="24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</row>
    <row r="514">
      <c r="A514" s="25"/>
      <c r="B514" s="25"/>
      <c r="C514" s="25"/>
      <c r="D514" s="25"/>
      <c r="E514" s="25"/>
      <c r="F514" s="25"/>
      <c r="G514" s="25"/>
      <c r="H514" s="46"/>
      <c r="I514" s="52"/>
      <c r="J514" s="46"/>
      <c r="K514" s="52"/>
      <c r="L514" s="46"/>
      <c r="M514" s="52"/>
      <c r="N514" s="53"/>
      <c r="O514" s="25"/>
      <c r="P514" s="55"/>
      <c r="Q514" s="34"/>
      <c r="R514" s="54"/>
      <c r="S514" s="55"/>
      <c r="T514" s="25"/>
      <c r="U514" s="25"/>
      <c r="V514" s="24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</row>
    <row r="515">
      <c r="A515" s="25"/>
      <c r="B515" s="25"/>
      <c r="C515" s="25"/>
      <c r="D515" s="25"/>
      <c r="E515" s="25"/>
      <c r="F515" s="25"/>
      <c r="G515" s="25"/>
      <c r="H515" s="46"/>
      <c r="I515" s="52"/>
      <c r="J515" s="46"/>
      <c r="K515" s="52"/>
      <c r="L515" s="46"/>
      <c r="M515" s="52"/>
      <c r="N515" s="53"/>
      <c r="O515" s="25"/>
      <c r="P515" s="55"/>
      <c r="Q515" s="34"/>
      <c r="R515" s="54"/>
      <c r="S515" s="55"/>
      <c r="T515" s="25"/>
      <c r="U515" s="25"/>
      <c r="V515" s="24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</row>
    <row r="516">
      <c r="A516" s="25"/>
      <c r="B516" s="25"/>
      <c r="C516" s="25"/>
      <c r="D516" s="25"/>
      <c r="E516" s="25"/>
      <c r="F516" s="25"/>
      <c r="G516" s="25"/>
      <c r="H516" s="46"/>
      <c r="I516" s="52"/>
      <c r="J516" s="46"/>
      <c r="K516" s="52"/>
      <c r="L516" s="46"/>
      <c r="M516" s="52"/>
      <c r="N516" s="53"/>
      <c r="O516" s="25"/>
      <c r="P516" s="55"/>
      <c r="Q516" s="34"/>
      <c r="R516" s="54"/>
      <c r="S516" s="55"/>
      <c r="T516" s="25"/>
      <c r="U516" s="25"/>
      <c r="V516" s="24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</row>
    <row r="517">
      <c r="A517" s="25"/>
      <c r="B517" s="25"/>
      <c r="C517" s="25"/>
      <c r="D517" s="25"/>
      <c r="E517" s="25"/>
      <c r="F517" s="25"/>
      <c r="G517" s="25"/>
      <c r="H517" s="46"/>
      <c r="I517" s="52"/>
      <c r="J517" s="46"/>
      <c r="K517" s="52"/>
      <c r="L517" s="46"/>
      <c r="M517" s="52"/>
      <c r="N517" s="53"/>
      <c r="O517" s="25"/>
      <c r="P517" s="55"/>
      <c r="Q517" s="34"/>
      <c r="R517" s="54"/>
      <c r="S517" s="55"/>
      <c r="T517" s="25"/>
      <c r="U517" s="25"/>
      <c r="V517" s="24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</row>
    <row r="518">
      <c r="A518" s="25"/>
      <c r="B518" s="25"/>
      <c r="C518" s="25"/>
      <c r="D518" s="25"/>
      <c r="E518" s="25"/>
      <c r="F518" s="25"/>
      <c r="G518" s="25"/>
      <c r="H518" s="46"/>
      <c r="I518" s="52"/>
      <c r="J518" s="46"/>
      <c r="K518" s="52"/>
      <c r="L518" s="46"/>
      <c r="M518" s="52"/>
      <c r="N518" s="53"/>
      <c r="O518" s="25"/>
      <c r="P518" s="55"/>
      <c r="Q518" s="34"/>
      <c r="R518" s="54"/>
      <c r="S518" s="55"/>
      <c r="T518" s="25"/>
      <c r="U518" s="25"/>
      <c r="V518" s="24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</row>
    <row r="519">
      <c r="A519" s="25"/>
      <c r="B519" s="25"/>
      <c r="C519" s="25"/>
      <c r="D519" s="25"/>
      <c r="E519" s="25"/>
      <c r="F519" s="25"/>
      <c r="G519" s="25"/>
      <c r="H519" s="46"/>
      <c r="I519" s="52"/>
      <c r="J519" s="46"/>
      <c r="K519" s="52"/>
      <c r="L519" s="46"/>
      <c r="M519" s="52"/>
      <c r="N519" s="53"/>
      <c r="O519" s="25"/>
      <c r="P519" s="55"/>
      <c r="Q519" s="34"/>
      <c r="R519" s="54"/>
      <c r="S519" s="55"/>
      <c r="T519" s="25"/>
      <c r="U519" s="25"/>
      <c r="V519" s="24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</row>
    <row r="520">
      <c r="A520" s="25"/>
      <c r="B520" s="25"/>
      <c r="C520" s="25"/>
      <c r="D520" s="25"/>
      <c r="E520" s="25"/>
      <c r="F520" s="25"/>
      <c r="G520" s="25"/>
      <c r="H520" s="46"/>
      <c r="I520" s="52"/>
      <c r="J520" s="46"/>
      <c r="K520" s="52"/>
      <c r="L520" s="46"/>
      <c r="M520" s="52"/>
      <c r="N520" s="53"/>
      <c r="O520" s="25"/>
      <c r="P520" s="55"/>
      <c r="Q520" s="34"/>
      <c r="R520" s="54"/>
      <c r="S520" s="55"/>
      <c r="T520" s="25"/>
      <c r="U520" s="25"/>
      <c r="V520" s="24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</row>
    <row r="521">
      <c r="A521" s="25"/>
      <c r="B521" s="25"/>
      <c r="C521" s="25"/>
      <c r="D521" s="25"/>
      <c r="E521" s="25"/>
      <c r="F521" s="25"/>
      <c r="G521" s="25"/>
      <c r="H521" s="46"/>
      <c r="I521" s="52"/>
      <c r="J521" s="46"/>
      <c r="K521" s="52"/>
      <c r="L521" s="46"/>
      <c r="M521" s="52"/>
      <c r="N521" s="53"/>
      <c r="O521" s="25"/>
      <c r="P521" s="55"/>
      <c r="Q521" s="34"/>
      <c r="R521" s="54"/>
      <c r="S521" s="55"/>
      <c r="T521" s="25"/>
      <c r="U521" s="25"/>
      <c r="V521" s="24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</row>
    <row r="522">
      <c r="A522" s="25"/>
      <c r="B522" s="25"/>
      <c r="C522" s="25"/>
      <c r="D522" s="25"/>
      <c r="E522" s="25"/>
      <c r="F522" s="25"/>
      <c r="G522" s="25"/>
      <c r="H522" s="46"/>
      <c r="I522" s="52"/>
      <c r="J522" s="46"/>
      <c r="K522" s="52"/>
      <c r="L522" s="46"/>
      <c r="M522" s="52"/>
      <c r="N522" s="53"/>
      <c r="O522" s="25"/>
      <c r="P522" s="55"/>
      <c r="Q522" s="34"/>
      <c r="R522" s="54"/>
      <c r="S522" s="55"/>
      <c r="T522" s="25"/>
      <c r="U522" s="25"/>
      <c r="V522" s="24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</row>
    <row r="523">
      <c r="A523" s="25"/>
      <c r="B523" s="25"/>
      <c r="C523" s="25"/>
      <c r="D523" s="25"/>
      <c r="E523" s="25"/>
      <c r="F523" s="25"/>
      <c r="G523" s="25"/>
      <c r="H523" s="46"/>
      <c r="I523" s="52"/>
      <c r="J523" s="46"/>
      <c r="K523" s="52"/>
      <c r="L523" s="46"/>
      <c r="M523" s="52"/>
      <c r="N523" s="53"/>
      <c r="O523" s="25"/>
      <c r="P523" s="55"/>
      <c r="Q523" s="34"/>
      <c r="R523" s="54"/>
      <c r="S523" s="55"/>
      <c r="T523" s="25"/>
      <c r="U523" s="25"/>
      <c r="V523" s="24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</row>
    <row r="524">
      <c r="A524" s="25"/>
      <c r="B524" s="25"/>
      <c r="C524" s="25"/>
      <c r="D524" s="25"/>
      <c r="E524" s="25"/>
      <c r="F524" s="25"/>
      <c r="G524" s="25"/>
      <c r="H524" s="46"/>
      <c r="I524" s="52"/>
      <c r="J524" s="46"/>
      <c r="K524" s="52"/>
      <c r="L524" s="46"/>
      <c r="M524" s="52"/>
      <c r="N524" s="53"/>
      <c r="O524" s="25"/>
      <c r="P524" s="55"/>
      <c r="Q524" s="34"/>
      <c r="R524" s="54"/>
      <c r="S524" s="55"/>
      <c r="T524" s="25"/>
      <c r="U524" s="25"/>
      <c r="V524" s="24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</row>
    <row r="525">
      <c r="A525" s="25"/>
      <c r="B525" s="25"/>
      <c r="C525" s="25"/>
      <c r="D525" s="25"/>
      <c r="E525" s="25"/>
      <c r="F525" s="25"/>
      <c r="G525" s="25"/>
      <c r="H525" s="46"/>
      <c r="I525" s="52"/>
      <c r="J525" s="46"/>
      <c r="K525" s="52"/>
      <c r="L525" s="46"/>
      <c r="M525" s="52"/>
      <c r="N525" s="53"/>
      <c r="O525" s="25"/>
      <c r="P525" s="55"/>
      <c r="Q525" s="34"/>
      <c r="R525" s="54"/>
      <c r="S525" s="55"/>
      <c r="T525" s="25"/>
      <c r="U525" s="25"/>
      <c r="V525" s="24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</row>
    <row r="526">
      <c r="A526" s="25"/>
      <c r="B526" s="25"/>
      <c r="C526" s="25"/>
      <c r="D526" s="25"/>
      <c r="E526" s="25"/>
      <c r="F526" s="25"/>
      <c r="G526" s="25"/>
      <c r="H526" s="46"/>
      <c r="I526" s="52"/>
      <c r="J526" s="46"/>
      <c r="K526" s="52"/>
      <c r="L526" s="46"/>
      <c r="M526" s="52"/>
      <c r="N526" s="53"/>
      <c r="O526" s="25"/>
      <c r="P526" s="55"/>
      <c r="Q526" s="34"/>
      <c r="R526" s="54"/>
      <c r="S526" s="55"/>
      <c r="T526" s="25"/>
      <c r="U526" s="25"/>
      <c r="V526" s="24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</row>
    <row r="527">
      <c r="A527" s="25"/>
      <c r="B527" s="25"/>
      <c r="C527" s="25"/>
      <c r="D527" s="25"/>
      <c r="E527" s="25"/>
      <c r="F527" s="25"/>
      <c r="G527" s="25"/>
      <c r="H527" s="46"/>
      <c r="I527" s="52"/>
      <c r="J527" s="46"/>
      <c r="K527" s="52"/>
      <c r="L527" s="46"/>
      <c r="M527" s="52"/>
      <c r="N527" s="53"/>
      <c r="O527" s="25"/>
      <c r="P527" s="55"/>
      <c r="Q527" s="34"/>
      <c r="R527" s="54"/>
      <c r="S527" s="55"/>
      <c r="T527" s="25"/>
      <c r="U527" s="25"/>
      <c r="V527" s="24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</row>
    <row r="528">
      <c r="A528" s="25"/>
      <c r="B528" s="25"/>
      <c r="C528" s="25"/>
      <c r="D528" s="25"/>
      <c r="E528" s="25"/>
      <c r="F528" s="25"/>
      <c r="G528" s="25"/>
      <c r="H528" s="46"/>
      <c r="I528" s="52"/>
      <c r="J528" s="46"/>
      <c r="K528" s="52"/>
      <c r="L528" s="46"/>
      <c r="M528" s="52"/>
      <c r="N528" s="53"/>
      <c r="O528" s="25"/>
      <c r="P528" s="55"/>
      <c r="Q528" s="34"/>
      <c r="R528" s="54"/>
      <c r="S528" s="55"/>
      <c r="T528" s="25"/>
      <c r="U528" s="25"/>
      <c r="V528" s="24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</row>
    <row r="529">
      <c r="A529" s="25"/>
      <c r="B529" s="25"/>
      <c r="C529" s="25"/>
      <c r="D529" s="25"/>
      <c r="E529" s="25"/>
      <c r="F529" s="25"/>
      <c r="G529" s="25"/>
      <c r="H529" s="46"/>
      <c r="I529" s="52"/>
      <c r="J529" s="46"/>
      <c r="K529" s="52"/>
      <c r="L529" s="46"/>
      <c r="M529" s="52"/>
      <c r="N529" s="53"/>
      <c r="O529" s="25"/>
      <c r="P529" s="55"/>
      <c r="Q529" s="34"/>
      <c r="R529" s="54"/>
      <c r="S529" s="55"/>
      <c r="T529" s="25"/>
      <c r="U529" s="25"/>
      <c r="V529" s="24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</row>
    <row r="530">
      <c r="A530" s="25"/>
      <c r="B530" s="25"/>
      <c r="C530" s="25"/>
      <c r="D530" s="25"/>
      <c r="E530" s="25"/>
      <c r="F530" s="25"/>
      <c r="G530" s="25"/>
      <c r="H530" s="46"/>
      <c r="I530" s="52"/>
      <c r="J530" s="46"/>
      <c r="K530" s="52"/>
      <c r="L530" s="46"/>
      <c r="M530" s="52"/>
      <c r="N530" s="53"/>
      <c r="O530" s="25"/>
      <c r="P530" s="55"/>
      <c r="Q530" s="34"/>
      <c r="R530" s="54"/>
      <c r="S530" s="55"/>
      <c r="T530" s="25"/>
      <c r="U530" s="25"/>
      <c r="V530" s="24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</row>
    <row r="531">
      <c r="A531" s="25"/>
      <c r="B531" s="25"/>
      <c r="C531" s="25"/>
      <c r="D531" s="25"/>
      <c r="E531" s="25"/>
      <c r="F531" s="25"/>
      <c r="G531" s="25"/>
      <c r="H531" s="46"/>
      <c r="I531" s="52"/>
      <c r="J531" s="46"/>
      <c r="K531" s="52"/>
      <c r="L531" s="46"/>
      <c r="M531" s="52"/>
      <c r="N531" s="53"/>
      <c r="O531" s="25"/>
      <c r="P531" s="55"/>
      <c r="Q531" s="34"/>
      <c r="R531" s="54"/>
      <c r="S531" s="55"/>
      <c r="T531" s="25"/>
      <c r="U531" s="25"/>
      <c r="V531" s="24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</row>
    <row r="532">
      <c r="A532" s="25"/>
      <c r="B532" s="25"/>
      <c r="C532" s="25"/>
      <c r="D532" s="25"/>
      <c r="E532" s="25"/>
      <c r="F532" s="25"/>
      <c r="G532" s="25"/>
      <c r="H532" s="46"/>
      <c r="I532" s="52"/>
      <c r="J532" s="46"/>
      <c r="K532" s="52"/>
      <c r="L532" s="46"/>
      <c r="M532" s="52"/>
      <c r="N532" s="53"/>
      <c r="O532" s="25"/>
      <c r="P532" s="55"/>
      <c r="Q532" s="34"/>
      <c r="R532" s="54"/>
      <c r="S532" s="55"/>
      <c r="T532" s="25"/>
      <c r="U532" s="25"/>
      <c r="V532" s="24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</row>
    <row r="533">
      <c r="A533" s="25"/>
      <c r="B533" s="25"/>
      <c r="C533" s="25"/>
      <c r="D533" s="25"/>
      <c r="E533" s="25"/>
      <c r="F533" s="25"/>
      <c r="G533" s="25"/>
      <c r="H533" s="46"/>
      <c r="I533" s="52"/>
      <c r="J533" s="46"/>
      <c r="K533" s="52"/>
      <c r="L533" s="46"/>
      <c r="M533" s="52"/>
      <c r="N533" s="53"/>
      <c r="O533" s="25"/>
      <c r="P533" s="55"/>
      <c r="Q533" s="34"/>
      <c r="R533" s="54"/>
      <c r="S533" s="55"/>
      <c r="T533" s="25"/>
      <c r="U533" s="25"/>
      <c r="V533" s="24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</row>
    <row r="534">
      <c r="A534" s="25"/>
      <c r="B534" s="25"/>
      <c r="C534" s="25"/>
      <c r="D534" s="25"/>
      <c r="E534" s="25"/>
      <c r="F534" s="25"/>
      <c r="G534" s="25"/>
      <c r="H534" s="46"/>
      <c r="I534" s="52"/>
      <c r="J534" s="46"/>
      <c r="K534" s="52"/>
      <c r="L534" s="46"/>
      <c r="M534" s="52"/>
      <c r="N534" s="53"/>
      <c r="O534" s="25"/>
      <c r="P534" s="55"/>
      <c r="Q534" s="34"/>
      <c r="R534" s="54"/>
      <c r="S534" s="55"/>
      <c r="T534" s="25"/>
      <c r="U534" s="25"/>
      <c r="V534" s="24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</row>
    <row r="535">
      <c r="A535" s="25"/>
      <c r="B535" s="25"/>
      <c r="C535" s="25"/>
      <c r="D535" s="25"/>
      <c r="E535" s="25"/>
      <c r="F535" s="25"/>
      <c r="G535" s="25"/>
      <c r="H535" s="46"/>
      <c r="I535" s="52"/>
      <c r="J535" s="46"/>
      <c r="K535" s="52"/>
      <c r="L535" s="46"/>
      <c r="M535" s="52"/>
      <c r="N535" s="53"/>
      <c r="O535" s="25"/>
      <c r="P535" s="55"/>
      <c r="Q535" s="34"/>
      <c r="R535" s="54"/>
      <c r="S535" s="55"/>
      <c r="T535" s="25"/>
      <c r="U535" s="25"/>
      <c r="V535" s="24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</row>
    <row r="536">
      <c r="A536" s="25"/>
      <c r="B536" s="25"/>
      <c r="C536" s="25"/>
      <c r="D536" s="25"/>
      <c r="E536" s="25"/>
      <c r="F536" s="25"/>
      <c r="G536" s="25"/>
      <c r="H536" s="46"/>
      <c r="I536" s="52"/>
      <c r="J536" s="46"/>
      <c r="K536" s="52"/>
      <c r="L536" s="46"/>
      <c r="M536" s="52"/>
      <c r="N536" s="53"/>
      <c r="O536" s="25"/>
      <c r="P536" s="55"/>
      <c r="Q536" s="34"/>
      <c r="R536" s="54"/>
      <c r="S536" s="55"/>
      <c r="T536" s="25"/>
      <c r="U536" s="25"/>
      <c r="V536" s="24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</row>
    <row r="537">
      <c r="A537" s="25"/>
      <c r="B537" s="25"/>
      <c r="C537" s="25"/>
      <c r="D537" s="25"/>
      <c r="E537" s="25"/>
      <c r="F537" s="25"/>
      <c r="G537" s="25"/>
      <c r="H537" s="46"/>
      <c r="I537" s="52"/>
      <c r="J537" s="46"/>
      <c r="K537" s="52"/>
      <c r="L537" s="46"/>
      <c r="M537" s="52"/>
      <c r="N537" s="53"/>
      <c r="O537" s="25"/>
      <c r="P537" s="55"/>
      <c r="Q537" s="34"/>
      <c r="R537" s="54"/>
      <c r="S537" s="55"/>
      <c r="T537" s="25"/>
      <c r="U537" s="25"/>
      <c r="V537" s="24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</row>
    <row r="538">
      <c r="A538" s="25"/>
      <c r="B538" s="25"/>
      <c r="C538" s="25"/>
      <c r="D538" s="25"/>
      <c r="E538" s="25"/>
      <c r="F538" s="25"/>
      <c r="G538" s="25"/>
      <c r="H538" s="46"/>
      <c r="I538" s="52"/>
      <c r="J538" s="46"/>
      <c r="K538" s="52"/>
      <c r="L538" s="46"/>
      <c r="M538" s="52"/>
      <c r="N538" s="53"/>
      <c r="O538" s="25"/>
      <c r="P538" s="55"/>
      <c r="Q538" s="34"/>
      <c r="R538" s="54"/>
      <c r="S538" s="55"/>
      <c r="T538" s="25"/>
      <c r="U538" s="25"/>
      <c r="V538" s="24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</row>
    <row r="539">
      <c r="A539" s="25"/>
      <c r="B539" s="25"/>
      <c r="C539" s="25"/>
      <c r="D539" s="25"/>
      <c r="E539" s="25"/>
      <c r="F539" s="25"/>
      <c r="G539" s="25"/>
      <c r="H539" s="46"/>
      <c r="I539" s="52"/>
      <c r="J539" s="46"/>
      <c r="K539" s="52"/>
      <c r="L539" s="46"/>
      <c r="M539" s="52"/>
      <c r="N539" s="53"/>
      <c r="O539" s="25"/>
      <c r="P539" s="55"/>
      <c r="Q539" s="34"/>
      <c r="R539" s="54"/>
      <c r="S539" s="55"/>
      <c r="T539" s="25"/>
      <c r="U539" s="25"/>
      <c r="V539" s="24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</row>
    <row r="540">
      <c r="A540" s="25"/>
      <c r="B540" s="25"/>
      <c r="C540" s="25"/>
      <c r="D540" s="25"/>
      <c r="E540" s="25"/>
      <c r="F540" s="25"/>
      <c r="G540" s="25"/>
      <c r="H540" s="46"/>
      <c r="I540" s="52"/>
      <c r="J540" s="46"/>
      <c r="K540" s="52"/>
      <c r="L540" s="46"/>
      <c r="M540" s="52"/>
      <c r="N540" s="53"/>
      <c r="O540" s="25"/>
      <c r="P540" s="55"/>
      <c r="Q540" s="34"/>
      <c r="R540" s="54"/>
      <c r="S540" s="55"/>
      <c r="T540" s="25"/>
      <c r="U540" s="25"/>
      <c r="V540" s="24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</row>
    <row r="541">
      <c r="A541" s="25"/>
      <c r="B541" s="25"/>
      <c r="C541" s="25"/>
      <c r="D541" s="25"/>
      <c r="E541" s="25"/>
      <c r="F541" s="25"/>
      <c r="G541" s="25"/>
      <c r="H541" s="46"/>
      <c r="I541" s="52"/>
      <c r="J541" s="46"/>
      <c r="K541" s="52"/>
      <c r="L541" s="46"/>
      <c r="M541" s="52"/>
      <c r="N541" s="53"/>
      <c r="O541" s="25"/>
      <c r="P541" s="55"/>
      <c r="Q541" s="34"/>
      <c r="R541" s="54"/>
      <c r="S541" s="55"/>
      <c r="T541" s="25"/>
      <c r="U541" s="25"/>
      <c r="V541" s="24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</row>
    <row r="542">
      <c r="A542" s="25"/>
      <c r="B542" s="25"/>
      <c r="C542" s="25"/>
      <c r="D542" s="25"/>
      <c r="E542" s="25"/>
      <c r="F542" s="25"/>
      <c r="G542" s="25"/>
      <c r="H542" s="46"/>
      <c r="I542" s="52"/>
      <c r="J542" s="46"/>
      <c r="K542" s="52"/>
      <c r="L542" s="46"/>
      <c r="M542" s="52"/>
      <c r="N542" s="53"/>
      <c r="O542" s="25"/>
      <c r="P542" s="55"/>
      <c r="Q542" s="34"/>
      <c r="R542" s="54"/>
      <c r="S542" s="55"/>
      <c r="T542" s="25"/>
      <c r="U542" s="25"/>
      <c r="V542" s="24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</row>
    <row r="543">
      <c r="A543" s="25"/>
      <c r="B543" s="25"/>
      <c r="C543" s="25"/>
      <c r="D543" s="25"/>
      <c r="E543" s="25"/>
      <c r="F543" s="25"/>
      <c r="G543" s="25"/>
      <c r="H543" s="46"/>
      <c r="I543" s="52"/>
      <c r="J543" s="46"/>
      <c r="K543" s="52"/>
      <c r="L543" s="46"/>
      <c r="M543" s="52"/>
      <c r="N543" s="53"/>
      <c r="O543" s="25"/>
      <c r="P543" s="55"/>
      <c r="Q543" s="34"/>
      <c r="R543" s="54"/>
      <c r="S543" s="55"/>
      <c r="T543" s="25"/>
      <c r="U543" s="25"/>
      <c r="V543" s="24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</row>
    <row r="544">
      <c r="A544" s="25"/>
      <c r="B544" s="25"/>
      <c r="C544" s="25"/>
      <c r="D544" s="25"/>
      <c r="E544" s="25"/>
      <c r="F544" s="25"/>
      <c r="G544" s="25"/>
      <c r="H544" s="46"/>
      <c r="I544" s="52"/>
      <c r="J544" s="46"/>
      <c r="K544" s="52"/>
      <c r="L544" s="46"/>
      <c r="M544" s="52"/>
      <c r="N544" s="53"/>
      <c r="O544" s="25"/>
      <c r="P544" s="55"/>
      <c r="Q544" s="34"/>
      <c r="R544" s="54"/>
      <c r="S544" s="55"/>
      <c r="T544" s="25"/>
      <c r="U544" s="25"/>
      <c r="V544" s="24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</row>
    <row r="545">
      <c r="A545" s="25"/>
      <c r="B545" s="25"/>
      <c r="C545" s="25"/>
      <c r="D545" s="25"/>
      <c r="E545" s="25"/>
      <c r="F545" s="25"/>
      <c r="G545" s="25"/>
      <c r="H545" s="46"/>
      <c r="I545" s="52"/>
      <c r="J545" s="46"/>
      <c r="K545" s="52"/>
      <c r="L545" s="46"/>
      <c r="M545" s="52"/>
      <c r="N545" s="53"/>
      <c r="O545" s="25"/>
      <c r="P545" s="55"/>
      <c r="Q545" s="34"/>
      <c r="R545" s="54"/>
      <c r="S545" s="55"/>
      <c r="T545" s="25"/>
      <c r="U545" s="25"/>
      <c r="V545" s="24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</row>
    <row r="546">
      <c r="A546" s="25"/>
      <c r="B546" s="25"/>
      <c r="C546" s="25"/>
      <c r="D546" s="25"/>
      <c r="E546" s="25"/>
      <c r="F546" s="25"/>
      <c r="G546" s="25"/>
      <c r="H546" s="46"/>
      <c r="I546" s="52"/>
      <c r="J546" s="46"/>
      <c r="K546" s="52"/>
      <c r="L546" s="46"/>
      <c r="M546" s="52"/>
      <c r="N546" s="53"/>
      <c r="O546" s="25"/>
      <c r="P546" s="55"/>
      <c r="Q546" s="34"/>
      <c r="R546" s="54"/>
      <c r="S546" s="55"/>
      <c r="T546" s="25"/>
      <c r="U546" s="25"/>
      <c r="V546" s="24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</row>
    <row r="547">
      <c r="A547" s="25"/>
      <c r="B547" s="25"/>
      <c r="C547" s="25"/>
      <c r="D547" s="25"/>
      <c r="E547" s="25"/>
      <c r="F547" s="25"/>
      <c r="G547" s="25"/>
      <c r="H547" s="46"/>
      <c r="I547" s="52"/>
      <c r="J547" s="46"/>
      <c r="K547" s="52"/>
      <c r="L547" s="46"/>
      <c r="M547" s="52"/>
      <c r="N547" s="53"/>
      <c r="O547" s="25"/>
      <c r="P547" s="55"/>
      <c r="Q547" s="34"/>
      <c r="R547" s="54"/>
      <c r="S547" s="55"/>
      <c r="T547" s="25"/>
      <c r="U547" s="25"/>
      <c r="V547" s="24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</row>
    <row r="548">
      <c r="A548" s="25"/>
      <c r="B548" s="25"/>
      <c r="C548" s="25"/>
      <c r="D548" s="25"/>
      <c r="E548" s="25"/>
      <c r="F548" s="25"/>
      <c r="G548" s="25"/>
      <c r="H548" s="46"/>
      <c r="I548" s="52"/>
      <c r="J548" s="46"/>
      <c r="K548" s="52"/>
      <c r="L548" s="46"/>
      <c r="M548" s="52"/>
      <c r="N548" s="53"/>
      <c r="O548" s="25"/>
      <c r="P548" s="55"/>
      <c r="Q548" s="34"/>
      <c r="R548" s="54"/>
      <c r="S548" s="55"/>
      <c r="T548" s="25"/>
      <c r="U548" s="25"/>
      <c r="V548" s="24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</row>
    <row r="549">
      <c r="A549" s="25"/>
      <c r="B549" s="25"/>
      <c r="C549" s="25"/>
      <c r="D549" s="25"/>
      <c r="E549" s="25"/>
      <c r="F549" s="25"/>
      <c r="G549" s="25"/>
      <c r="H549" s="46"/>
      <c r="I549" s="52"/>
      <c r="J549" s="46"/>
      <c r="K549" s="52"/>
      <c r="L549" s="46"/>
      <c r="M549" s="52"/>
      <c r="N549" s="53"/>
      <c r="O549" s="25"/>
      <c r="P549" s="55"/>
      <c r="Q549" s="34"/>
      <c r="R549" s="54"/>
      <c r="S549" s="55"/>
      <c r="T549" s="25"/>
      <c r="U549" s="25"/>
      <c r="V549" s="24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</row>
    <row r="550">
      <c r="A550" s="25"/>
      <c r="B550" s="25"/>
      <c r="C550" s="25"/>
      <c r="D550" s="25"/>
      <c r="E550" s="25"/>
      <c r="F550" s="25"/>
      <c r="G550" s="25"/>
      <c r="H550" s="46"/>
      <c r="I550" s="52"/>
      <c r="J550" s="46"/>
      <c r="K550" s="52"/>
      <c r="L550" s="46"/>
      <c r="M550" s="52"/>
      <c r="N550" s="53"/>
      <c r="O550" s="25"/>
      <c r="P550" s="55"/>
      <c r="Q550" s="34"/>
      <c r="R550" s="54"/>
      <c r="S550" s="55"/>
      <c r="T550" s="25"/>
      <c r="U550" s="25"/>
      <c r="V550" s="24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</row>
    <row r="551">
      <c r="A551" s="25"/>
      <c r="B551" s="25"/>
      <c r="C551" s="25"/>
      <c r="D551" s="25"/>
      <c r="E551" s="25"/>
      <c r="F551" s="25"/>
      <c r="G551" s="25"/>
      <c r="H551" s="46"/>
      <c r="I551" s="52"/>
      <c r="J551" s="46"/>
      <c r="K551" s="52"/>
      <c r="L551" s="46"/>
      <c r="M551" s="52"/>
      <c r="N551" s="53"/>
      <c r="O551" s="25"/>
      <c r="P551" s="55"/>
      <c r="Q551" s="34"/>
      <c r="R551" s="54"/>
      <c r="S551" s="55"/>
      <c r="T551" s="25"/>
      <c r="U551" s="25"/>
      <c r="V551" s="24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</row>
    <row r="552">
      <c r="A552" s="25"/>
      <c r="B552" s="25"/>
      <c r="C552" s="25"/>
      <c r="D552" s="25"/>
      <c r="E552" s="25"/>
      <c r="F552" s="25"/>
      <c r="G552" s="25"/>
      <c r="H552" s="46"/>
      <c r="I552" s="52"/>
      <c r="J552" s="46"/>
      <c r="K552" s="52"/>
      <c r="L552" s="46"/>
      <c r="M552" s="52"/>
      <c r="N552" s="53"/>
      <c r="O552" s="25"/>
      <c r="P552" s="55"/>
      <c r="Q552" s="34"/>
      <c r="R552" s="54"/>
      <c r="S552" s="55"/>
      <c r="T552" s="25"/>
      <c r="U552" s="25"/>
      <c r="V552" s="24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</row>
    <row r="553">
      <c r="A553" s="25"/>
      <c r="B553" s="25"/>
      <c r="C553" s="25"/>
      <c r="D553" s="25"/>
      <c r="E553" s="25"/>
      <c r="F553" s="25"/>
      <c r="G553" s="25"/>
      <c r="H553" s="46"/>
      <c r="I553" s="52"/>
      <c r="J553" s="46"/>
      <c r="K553" s="52"/>
      <c r="L553" s="46"/>
      <c r="M553" s="52"/>
      <c r="N553" s="53"/>
      <c r="O553" s="25"/>
      <c r="P553" s="55"/>
      <c r="Q553" s="34"/>
      <c r="R553" s="54"/>
      <c r="S553" s="55"/>
      <c r="T553" s="25"/>
      <c r="U553" s="25"/>
      <c r="V553" s="24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</row>
    <row r="554">
      <c r="A554" s="25"/>
      <c r="B554" s="25"/>
      <c r="C554" s="25"/>
      <c r="D554" s="25"/>
      <c r="E554" s="25"/>
      <c r="F554" s="25"/>
      <c r="G554" s="25"/>
      <c r="H554" s="46"/>
      <c r="I554" s="52"/>
      <c r="J554" s="46"/>
      <c r="K554" s="52"/>
      <c r="L554" s="46"/>
      <c r="M554" s="52"/>
      <c r="N554" s="53"/>
      <c r="O554" s="25"/>
      <c r="P554" s="55"/>
      <c r="Q554" s="34"/>
      <c r="R554" s="54"/>
      <c r="S554" s="55"/>
      <c r="T554" s="25"/>
      <c r="U554" s="25"/>
      <c r="V554" s="24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</row>
    <row r="555">
      <c r="A555" s="25"/>
      <c r="B555" s="25"/>
      <c r="C555" s="25"/>
      <c r="D555" s="25"/>
      <c r="E555" s="25"/>
      <c r="F555" s="25"/>
      <c r="G555" s="25"/>
      <c r="H555" s="46"/>
      <c r="I555" s="52"/>
      <c r="J555" s="46"/>
      <c r="K555" s="52"/>
      <c r="L555" s="46"/>
      <c r="M555" s="52"/>
      <c r="N555" s="53"/>
      <c r="O555" s="25"/>
      <c r="P555" s="55"/>
      <c r="Q555" s="34"/>
      <c r="R555" s="54"/>
      <c r="S555" s="55"/>
      <c r="T555" s="25"/>
      <c r="U555" s="25"/>
      <c r="V555" s="24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</row>
    <row r="556">
      <c r="A556" s="25"/>
      <c r="B556" s="25"/>
      <c r="C556" s="25"/>
      <c r="D556" s="25"/>
      <c r="E556" s="25"/>
      <c r="F556" s="25"/>
      <c r="G556" s="25"/>
      <c r="H556" s="46"/>
      <c r="I556" s="52"/>
      <c r="J556" s="46"/>
      <c r="K556" s="52"/>
      <c r="L556" s="46"/>
      <c r="M556" s="52"/>
      <c r="N556" s="53"/>
      <c r="O556" s="25"/>
      <c r="P556" s="55"/>
      <c r="Q556" s="34"/>
      <c r="R556" s="54"/>
      <c r="S556" s="55"/>
      <c r="T556" s="25"/>
      <c r="U556" s="25"/>
      <c r="V556" s="24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</row>
    <row r="557">
      <c r="A557" s="25"/>
      <c r="B557" s="25"/>
      <c r="C557" s="25"/>
      <c r="D557" s="25"/>
      <c r="E557" s="25"/>
      <c r="F557" s="25"/>
      <c r="G557" s="25"/>
      <c r="H557" s="46"/>
      <c r="I557" s="52"/>
      <c r="J557" s="46"/>
      <c r="K557" s="52"/>
      <c r="L557" s="46"/>
      <c r="M557" s="52"/>
      <c r="N557" s="53"/>
      <c r="O557" s="25"/>
      <c r="P557" s="55"/>
      <c r="Q557" s="34"/>
      <c r="R557" s="54"/>
      <c r="S557" s="55"/>
      <c r="T557" s="25"/>
      <c r="U557" s="25"/>
      <c r="V557" s="24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</row>
    <row r="558">
      <c r="A558" s="25"/>
      <c r="B558" s="25"/>
      <c r="C558" s="25"/>
      <c r="D558" s="25"/>
      <c r="E558" s="25"/>
      <c r="F558" s="25"/>
      <c r="G558" s="25"/>
      <c r="H558" s="46"/>
      <c r="I558" s="52"/>
      <c r="J558" s="46"/>
      <c r="K558" s="52"/>
      <c r="L558" s="46"/>
      <c r="M558" s="52"/>
      <c r="N558" s="53"/>
      <c r="O558" s="25"/>
      <c r="P558" s="55"/>
      <c r="Q558" s="34"/>
      <c r="R558" s="54"/>
      <c r="S558" s="55"/>
      <c r="T558" s="25"/>
      <c r="U558" s="25"/>
      <c r="V558" s="24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</row>
    <row r="559">
      <c r="A559" s="25"/>
      <c r="B559" s="25"/>
      <c r="C559" s="25"/>
      <c r="D559" s="25"/>
      <c r="E559" s="25"/>
      <c r="F559" s="25"/>
      <c r="G559" s="25"/>
      <c r="H559" s="46"/>
      <c r="I559" s="52"/>
      <c r="J559" s="46"/>
      <c r="K559" s="52"/>
      <c r="L559" s="46"/>
      <c r="M559" s="52"/>
      <c r="N559" s="53"/>
      <c r="O559" s="25"/>
      <c r="P559" s="55"/>
      <c r="Q559" s="34"/>
      <c r="R559" s="54"/>
      <c r="S559" s="55"/>
      <c r="T559" s="25"/>
      <c r="U559" s="25"/>
      <c r="V559" s="24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</row>
    <row r="560">
      <c r="A560" s="25"/>
      <c r="B560" s="25"/>
      <c r="C560" s="25"/>
      <c r="D560" s="25"/>
      <c r="E560" s="25"/>
      <c r="F560" s="25"/>
      <c r="G560" s="25"/>
      <c r="H560" s="46"/>
      <c r="I560" s="52"/>
      <c r="J560" s="46"/>
      <c r="K560" s="52"/>
      <c r="L560" s="46"/>
      <c r="M560" s="52"/>
      <c r="N560" s="53"/>
      <c r="O560" s="25"/>
      <c r="P560" s="55"/>
      <c r="Q560" s="34"/>
      <c r="R560" s="54"/>
      <c r="S560" s="55"/>
      <c r="T560" s="25"/>
      <c r="U560" s="25"/>
      <c r="V560" s="24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</row>
    <row r="561">
      <c r="A561" s="25"/>
      <c r="B561" s="25"/>
      <c r="C561" s="25"/>
      <c r="D561" s="25"/>
      <c r="E561" s="25"/>
      <c r="F561" s="25"/>
      <c r="G561" s="25"/>
      <c r="H561" s="46"/>
      <c r="I561" s="52"/>
      <c r="J561" s="46"/>
      <c r="K561" s="52"/>
      <c r="L561" s="46"/>
      <c r="M561" s="52"/>
      <c r="N561" s="53"/>
      <c r="O561" s="25"/>
      <c r="P561" s="55"/>
      <c r="Q561" s="34"/>
      <c r="R561" s="54"/>
      <c r="S561" s="55"/>
      <c r="T561" s="25"/>
      <c r="U561" s="25"/>
      <c r="V561" s="24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</row>
    <row r="562">
      <c r="A562" s="25"/>
      <c r="B562" s="25"/>
      <c r="C562" s="25"/>
      <c r="D562" s="25"/>
      <c r="E562" s="25"/>
      <c r="F562" s="25"/>
      <c r="G562" s="25"/>
      <c r="H562" s="46"/>
      <c r="I562" s="52"/>
      <c r="J562" s="46"/>
      <c r="K562" s="52"/>
      <c r="L562" s="46"/>
      <c r="M562" s="52"/>
      <c r="N562" s="53"/>
      <c r="O562" s="25"/>
      <c r="P562" s="55"/>
      <c r="Q562" s="34"/>
      <c r="R562" s="54"/>
      <c r="S562" s="55"/>
      <c r="T562" s="25"/>
      <c r="U562" s="25"/>
      <c r="V562" s="24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</row>
    <row r="563">
      <c r="A563" s="25"/>
      <c r="B563" s="25"/>
      <c r="C563" s="25"/>
      <c r="D563" s="25"/>
      <c r="E563" s="25"/>
      <c r="F563" s="25"/>
      <c r="G563" s="25"/>
      <c r="H563" s="46"/>
      <c r="I563" s="52"/>
      <c r="J563" s="46"/>
      <c r="K563" s="52"/>
      <c r="L563" s="46"/>
      <c r="M563" s="52"/>
      <c r="N563" s="53"/>
      <c r="O563" s="25"/>
      <c r="P563" s="55"/>
      <c r="Q563" s="34"/>
      <c r="R563" s="54"/>
      <c r="S563" s="55"/>
      <c r="T563" s="25"/>
      <c r="U563" s="25"/>
      <c r="V563" s="24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</row>
    <row r="564">
      <c r="A564" s="25"/>
      <c r="B564" s="25"/>
      <c r="C564" s="25"/>
      <c r="D564" s="25"/>
      <c r="E564" s="25"/>
      <c r="F564" s="25"/>
      <c r="G564" s="25"/>
      <c r="H564" s="46"/>
      <c r="I564" s="52"/>
      <c r="J564" s="46"/>
      <c r="K564" s="52"/>
      <c r="L564" s="46"/>
      <c r="M564" s="52"/>
      <c r="N564" s="53"/>
      <c r="O564" s="25"/>
      <c r="P564" s="55"/>
      <c r="Q564" s="34"/>
      <c r="R564" s="54"/>
      <c r="S564" s="55"/>
      <c r="T564" s="25"/>
      <c r="U564" s="25"/>
      <c r="V564" s="24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</row>
    <row r="565">
      <c r="A565" s="25"/>
      <c r="B565" s="25"/>
      <c r="C565" s="25"/>
      <c r="D565" s="25"/>
      <c r="E565" s="25"/>
      <c r="F565" s="25"/>
      <c r="G565" s="25"/>
      <c r="H565" s="46"/>
      <c r="I565" s="52"/>
      <c r="J565" s="46"/>
      <c r="K565" s="52"/>
      <c r="L565" s="46"/>
      <c r="M565" s="52"/>
      <c r="N565" s="53"/>
      <c r="O565" s="25"/>
      <c r="P565" s="55"/>
      <c r="Q565" s="34"/>
      <c r="R565" s="54"/>
      <c r="S565" s="55"/>
      <c r="T565" s="25"/>
      <c r="U565" s="25"/>
      <c r="V565" s="24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</row>
    <row r="566">
      <c r="A566" s="25"/>
      <c r="B566" s="25"/>
      <c r="C566" s="25"/>
      <c r="D566" s="25"/>
      <c r="E566" s="25"/>
      <c r="F566" s="25"/>
      <c r="G566" s="25"/>
      <c r="H566" s="46"/>
      <c r="I566" s="52"/>
      <c r="J566" s="46"/>
      <c r="K566" s="52"/>
      <c r="L566" s="46"/>
      <c r="M566" s="52"/>
      <c r="N566" s="53"/>
      <c r="O566" s="25"/>
      <c r="P566" s="55"/>
      <c r="Q566" s="34"/>
      <c r="R566" s="54"/>
      <c r="S566" s="55"/>
      <c r="T566" s="25"/>
      <c r="U566" s="25"/>
      <c r="V566" s="24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</row>
    <row r="567">
      <c r="A567" s="25"/>
      <c r="B567" s="25"/>
      <c r="C567" s="25"/>
      <c r="D567" s="25"/>
      <c r="E567" s="25"/>
      <c r="F567" s="25"/>
      <c r="G567" s="25"/>
      <c r="H567" s="46"/>
      <c r="I567" s="52"/>
      <c r="J567" s="46"/>
      <c r="K567" s="52"/>
      <c r="L567" s="46"/>
      <c r="M567" s="52"/>
      <c r="N567" s="53"/>
      <c r="O567" s="25"/>
      <c r="P567" s="55"/>
      <c r="Q567" s="34"/>
      <c r="R567" s="54"/>
      <c r="S567" s="55"/>
      <c r="T567" s="25"/>
      <c r="U567" s="25"/>
      <c r="V567" s="24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</row>
    <row r="568">
      <c r="A568" s="25"/>
      <c r="B568" s="25"/>
      <c r="C568" s="25"/>
      <c r="D568" s="25"/>
      <c r="E568" s="25"/>
      <c r="F568" s="25"/>
      <c r="G568" s="25"/>
      <c r="H568" s="46"/>
      <c r="I568" s="52"/>
      <c r="J568" s="46"/>
      <c r="K568" s="52"/>
      <c r="L568" s="46"/>
      <c r="M568" s="52"/>
      <c r="N568" s="53"/>
      <c r="O568" s="25"/>
      <c r="P568" s="55"/>
      <c r="Q568" s="34"/>
      <c r="R568" s="54"/>
      <c r="S568" s="55"/>
      <c r="T568" s="25"/>
      <c r="U568" s="25"/>
      <c r="V568" s="24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</row>
    <row r="569">
      <c r="A569" s="25"/>
      <c r="B569" s="25"/>
      <c r="C569" s="25"/>
      <c r="D569" s="25"/>
      <c r="E569" s="25"/>
      <c r="F569" s="25"/>
      <c r="G569" s="25"/>
      <c r="H569" s="46"/>
      <c r="I569" s="52"/>
      <c r="J569" s="46"/>
      <c r="K569" s="52"/>
      <c r="L569" s="46"/>
      <c r="M569" s="52"/>
      <c r="N569" s="53"/>
      <c r="O569" s="25"/>
      <c r="P569" s="55"/>
      <c r="Q569" s="34"/>
      <c r="R569" s="54"/>
      <c r="S569" s="55"/>
      <c r="T569" s="25"/>
      <c r="U569" s="25"/>
      <c r="V569" s="24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</row>
    <row r="570">
      <c r="A570" s="25"/>
      <c r="B570" s="25"/>
      <c r="C570" s="25"/>
      <c r="D570" s="25"/>
      <c r="E570" s="25"/>
      <c r="F570" s="25"/>
      <c r="G570" s="25"/>
      <c r="H570" s="46"/>
      <c r="I570" s="52"/>
      <c r="J570" s="46"/>
      <c r="K570" s="52"/>
      <c r="L570" s="46"/>
      <c r="M570" s="52"/>
      <c r="N570" s="53"/>
      <c r="O570" s="25"/>
      <c r="P570" s="55"/>
      <c r="Q570" s="34"/>
      <c r="R570" s="54"/>
      <c r="S570" s="55"/>
      <c r="T570" s="25"/>
      <c r="U570" s="25"/>
      <c r="V570" s="24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</row>
    <row r="571">
      <c r="A571" s="25"/>
      <c r="B571" s="25"/>
      <c r="C571" s="25"/>
      <c r="D571" s="25"/>
      <c r="E571" s="25"/>
      <c r="F571" s="25"/>
      <c r="G571" s="25"/>
      <c r="H571" s="46"/>
      <c r="I571" s="52"/>
      <c r="J571" s="46"/>
      <c r="K571" s="52"/>
      <c r="L571" s="46"/>
      <c r="M571" s="52"/>
      <c r="N571" s="53"/>
      <c r="O571" s="25"/>
      <c r="P571" s="55"/>
      <c r="Q571" s="34"/>
      <c r="R571" s="54"/>
      <c r="S571" s="55"/>
      <c r="T571" s="25"/>
      <c r="U571" s="25"/>
      <c r="V571" s="24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</row>
    <row r="572">
      <c r="A572" s="25"/>
      <c r="B572" s="25"/>
      <c r="C572" s="25"/>
      <c r="D572" s="25"/>
      <c r="E572" s="25"/>
      <c r="F572" s="25"/>
      <c r="G572" s="25"/>
      <c r="H572" s="46"/>
      <c r="I572" s="52"/>
      <c r="J572" s="46"/>
      <c r="K572" s="52"/>
      <c r="L572" s="46"/>
      <c r="M572" s="52"/>
      <c r="N572" s="53"/>
      <c r="O572" s="25"/>
      <c r="P572" s="55"/>
      <c r="Q572" s="34"/>
      <c r="R572" s="54"/>
      <c r="S572" s="55"/>
      <c r="T572" s="25"/>
      <c r="U572" s="25"/>
      <c r="V572" s="24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</row>
    <row r="573">
      <c r="A573" s="25"/>
      <c r="B573" s="25"/>
      <c r="C573" s="25"/>
      <c r="D573" s="25"/>
      <c r="E573" s="25"/>
      <c r="F573" s="25"/>
      <c r="G573" s="25"/>
      <c r="H573" s="46"/>
      <c r="I573" s="52"/>
      <c r="J573" s="46"/>
      <c r="K573" s="52"/>
      <c r="L573" s="46"/>
      <c r="M573" s="52"/>
      <c r="N573" s="53"/>
      <c r="O573" s="25"/>
      <c r="P573" s="55"/>
      <c r="Q573" s="34"/>
      <c r="R573" s="54"/>
      <c r="S573" s="55"/>
      <c r="T573" s="25"/>
      <c r="U573" s="25"/>
      <c r="V573" s="24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</row>
    <row r="574">
      <c r="A574" s="25"/>
      <c r="B574" s="25"/>
      <c r="C574" s="25"/>
      <c r="D574" s="25"/>
      <c r="E574" s="25"/>
      <c r="F574" s="25"/>
      <c r="G574" s="25"/>
      <c r="H574" s="46"/>
      <c r="I574" s="52"/>
      <c r="J574" s="46"/>
      <c r="K574" s="52"/>
      <c r="L574" s="46"/>
      <c r="M574" s="52"/>
      <c r="N574" s="53"/>
      <c r="O574" s="25"/>
      <c r="P574" s="55"/>
      <c r="Q574" s="34"/>
      <c r="R574" s="54"/>
      <c r="S574" s="55"/>
      <c r="T574" s="25"/>
      <c r="U574" s="25"/>
      <c r="V574" s="24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</row>
    <row r="575">
      <c r="A575" s="25"/>
      <c r="B575" s="25"/>
      <c r="C575" s="25"/>
      <c r="D575" s="25"/>
      <c r="E575" s="25"/>
      <c r="F575" s="25"/>
      <c r="G575" s="25"/>
      <c r="H575" s="46"/>
      <c r="I575" s="52"/>
      <c r="J575" s="46"/>
      <c r="K575" s="52"/>
      <c r="L575" s="46"/>
      <c r="M575" s="52"/>
      <c r="N575" s="53"/>
      <c r="O575" s="25"/>
      <c r="P575" s="55"/>
      <c r="Q575" s="34"/>
      <c r="R575" s="54"/>
      <c r="S575" s="55"/>
      <c r="T575" s="25"/>
      <c r="U575" s="25"/>
      <c r="V575" s="24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</row>
    <row r="576">
      <c r="A576" s="25"/>
      <c r="B576" s="25"/>
      <c r="C576" s="25"/>
      <c r="D576" s="25"/>
      <c r="E576" s="25"/>
      <c r="F576" s="25"/>
      <c r="G576" s="25"/>
      <c r="H576" s="46"/>
      <c r="I576" s="52"/>
      <c r="J576" s="46"/>
      <c r="K576" s="52"/>
      <c r="L576" s="46"/>
      <c r="M576" s="52"/>
      <c r="N576" s="53"/>
      <c r="O576" s="25"/>
      <c r="P576" s="55"/>
      <c r="Q576" s="34"/>
      <c r="R576" s="54"/>
      <c r="S576" s="55"/>
      <c r="T576" s="25"/>
      <c r="U576" s="25"/>
      <c r="V576" s="24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</row>
    <row r="577">
      <c r="A577" s="25"/>
      <c r="B577" s="25"/>
      <c r="C577" s="25"/>
      <c r="D577" s="25"/>
      <c r="E577" s="25"/>
      <c r="F577" s="25"/>
      <c r="G577" s="25"/>
      <c r="H577" s="46"/>
      <c r="I577" s="52"/>
      <c r="J577" s="46"/>
      <c r="K577" s="52"/>
      <c r="L577" s="46"/>
      <c r="M577" s="52"/>
      <c r="N577" s="53"/>
      <c r="O577" s="25"/>
      <c r="P577" s="55"/>
      <c r="Q577" s="34"/>
      <c r="R577" s="54"/>
      <c r="S577" s="55"/>
      <c r="T577" s="25"/>
      <c r="U577" s="25"/>
      <c r="V577" s="24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</row>
    <row r="578">
      <c r="A578" s="25"/>
      <c r="B578" s="25"/>
      <c r="C578" s="25"/>
      <c r="D578" s="25"/>
      <c r="E578" s="25"/>
      <c r="F578" s="25"/>
      <c r="G578" s="25"/>
      <c r="H578" s="46"/>
      <c r="I578" s="52"/>
      <c r="J578" s="46"/>
      <c r="K578" s="52"/>
      <c r="L578" s="46"/>
      <c r="M578" s="52"/>
      <c r="N578" s="53"/>
      <c r="O578" s="25"/>
      <c r="P578" s="55"/>
      <c r="Q578" s="34"/>
      <c r="R578" s="54"/>
      <c r="S578" s="55"/>
      <c r="T578" s="25"/>
      <c r="U578" s="25"/>
      <c r="V578" s="24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</row>
    <row r="579">
      <c r="A579" s="25"/>
      <c r="B579" s="25"/>
      <c r="C579" s="25"/>
      <c r="D579" s="25"/>
      <c r="E579" s="25"/>
      <c r="F579" s="25"/>
      <c r="G579" s="25"/>
      <c r="H579" s="46"/>
      <c r="I579" s="52"/>
      <c r="J579" s="46"/>
      <c r="K579" s="52"/>
      <c r="L579" s="46"/>
      <c r="M579" s="52"/>
      <c r="N579" s="53"/>
      <c r="O579" s="25"/>
      <c r="P579" s="55"/>
      <c r="Q579" s="34"/>
      <c r="R579" s="54"/>
      <c r="S579" s="55"/>
      <c r="T579" s="25"/>
      <c r="U579" s="25"/>
      <c r="V579" s="24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</row>
    <row r="580">
      <c r="A580" s="25"/>
      <c r="B580" s="25"/>
      <c r="C580" s="25"/>
      <c r="D580" s="25"/>
      <c r="E580" s="25"/>
      <c r="F580" s="25"/>
      <c r="G580" s="25"/>
      <c r="H580" s="46"/>
      <c r="I580" s="52"/>
      <c r="J580" s="46"/>
      <c r="K580" s="52"/>
      <c r="L580" s="46"/>
      <c r="M580" s="52"/>
      <c r="N580" s="53"/>
      <c r="O580" s="25"/>
      <c r="P580" s="55"/>
      <c r="Q580" s="34"/>
      <c r="R580" s="54"/>
      <c r="S580" s="55"/>
      <c r="T580" s="25"/>
      <c r="U580" s="25"/>
      <c r="V580" s="24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</row>
    <row r="581">
      <c r="A581" s="25"/>
      <c r="B581" s="25"/>
      <c r="C581" s="25"/>
      <c r="D581" s="25"/>
      <c r="E581" s="25"/>
      <c r="F581" s="25"/>
      <c r="G581" s="25"/>
      <c r="H581" s="46"/>
      <c r="I581" s="52"/>
      <c r="J581" s="46"/>
      <c r="K581" s="52"/>
      <c r="L581" s="46"/>
      <c r="M581" s="52"/>
      <c r="N581" s="53"/>
      <c r="O581" s="25"/>
      <c r="P581" s="55"/>
      <c r="Q581" s="34"/>
      <c r="R581" s="54"/>
      <c r="S581" s="55"/>
      <c r="T581" s="25"/>
      <c r="U581" s="25"/>
      <c r="V581" s="24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</row>
    <row r="582">
      <c r="A582" s="25"/>
      <c r="B582" s="25"/>
      <c r="C582" s="25"/>
      <c r="D582" s="25"/>
      <c r="E582" s="25"/>
      <c r="F582" s="25"/>
      <c r="G582" s="25"/>
      <c r="H582" s="46"/>
      <c r="I582" s="52"/>
      <c r="J582" s="46"/>
      <c r="K582" s="52"/>
      <c r="L582" s="46"/>
      <c r="M582" s="52"/>
      <c r="N582" s="53"/>
      <c r="O582" s="25"/>
      <c r="P582" s="55"/>
      <c r="Q582" s="34"/>
      <c r="R582" s="54"/>
      <c r="S582" s="55"/>
      <c r="T582" s="25"/>
      <c r="U582" s="25"/>
      <c r="V582" s="24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</row>
    <row r="583">
      <c r="A583" s="25"/>
      <c r="B583" s="25"/>
      <c r="C583" s="25"/>
      <c r="D583" s="25"/>
      <c r="E583" s="25"/>
      <c r="F583" s="25"/>
      <c r="G583" s="25"/>
      <c r="H583" s="46"/>
      <c r="I583" s="52"/>
      <c r="J583" s="46"/>
      <c r="K583" s="52"/>
      <c r="L583" s="46"/>
      <c r="M583" s="52"/>
      <c r="N583" s="53"/>
      <c r="O583" s="25"/>
      <c r="P583" s="55"/>
      <c r="Q583" s="34"/>
      <c r="R583" s="54"/>
      <c r="S583" s="55"/>
      <c r="T583" s="25"/>
      <c r="U583" s="25"/>
      <c r="V583" s="24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</row>
    <row r="584">
      <c r="A584" s="25"/>
      <c r="B584" s="25"/>
      <c r="C584" s="25"/>
      <c r="D584" s="25"/>
      <c r="E584" s="25"/>
      <c r="F584" s="25"/>
      <c r="G584" s="25"/>
      <c r="H584" s="46"/>
      <c r="I584" s="52"/>
      <c r="J584" s="46"/>
      <c r="K584" s="52"/>
      <c r="L584" s="46"/>
      <c r="M584" s="52"/>
      <c r="N584" s="53"/>
      <c r="O584" s="25"/>
      <c r="P584" s="55"/>
      <c r="Q584" s="34"/>
      <c r="R584" s="54"/>
      <c r="S584" s="55"/>
      <c r="T584" s="25"/>
      <c r="U584" s="25"/>
      <c r="V584" s="24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</row>
    <row r="585">
      <c r="A585" s="25"/>
      <c r="B585" s="25"/>
      <c r="C585" s="25"/>
      <c r="D585" s="25"/>
      <c r="E585" s="25"/>
      <c r="F585" s="25"/>
      <c r="G585" s="25"/>
      <c r="H585" s="46"/>
      <c r="I585" s="52"/>
      <c r="J585" s="46"/>
      <c r="K585" s="52"/>
      <c r="L585" s="46"/>
      <c r="M585" s="52"/>
      <c r="N585" s="53"/>
      <c r="O585" s="25"/>
      <c r="P585" s="55"/>
      <c r="Q585" s="34"/>
      <c r="R585" s="54"/>
      <c r="S585" s="55"/>
      <c r="T585" s="25"/>
      <c r="U585" s="25"/>
      <c r="V585" s="24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</row>
    <row r="586">
      <c r="A586" s="25"/>
      <c r="B586" s="25"/>
      <c r="C586" s="25"/>
      <c r="D586" s="25"/>
      <c r="E586" s="25"/>
      <c r="F586" s="25"/>
      <c r="G586" s="25"/>
      <c r="H586" s="46"/>
      <c r="I586" s="52"/>
      <c r="J586" s="46"/>
      <c r="K586" s="52"/>
      <c r="L586" s="46"/>
      <c r="M586" s="52"/>
      <c r="N586" s="53"/>
      <c r="O586" s="25"/>
      <c r="P586" s="55"/>
      <c r="Q586" s="34"/>
      <c r="R586" s="54"/>
      <c r="S586" s="55"/>
      <c r="T586" s="25"/>
      <c r="U586" s="25"/>
      <c r="V586" s="24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</row>
    <row r="587">
      <c r="A587" s="25"/>
      <c r="B587" s="25"/>
      <c r="C587" s="25"/>
      <c r="D587" s="25"/>
      <c r="E587" s="25"/>
      <c r="F587" s="25"/>
      <c r="G587" s="25"/>
      <c r="H587" s="46"/>
      <c r="I587" s="52"/>
      <c r="J587" s="46"/>
      <c r="K587" s="52"/>
      <c r="L587" s="46"/>
      <c r="M587" s="52"/>
      <c r="N587" s="53"/>
      <c r="O587" s="25"/>
      <c r="P587" s="55"/>
      <c r="Q587" s="34"/>
      <c r="R587" s="54"/>
      <c r="S587" s="55"/>
      <c r="T587" s="25"/>
      <c r="U587" s="25"/>
      <c r="V587" s="24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</row>
    <row r="588">
      <c r="A588" s="25"/>
      <c r="B588" s="25"/>
      <c r="C588" s="25"/>
      <c r="D588" s="25"/>
      <c r="E588" s="25"/>
      <c r="F588" s="25"/>
      <c r="G588" s="25"/>
      <c r="H588" s="46"/>
      <c r="I588" s="52"/>
      <c r="J588" s="46"/>
      <c r="K588" s="52"/>
      <c r="L588" s="46"/>
      <c r="M588" s="52"/>
      <c r="N588" s="53"/>
      <c r="O588" s="25"/>
      <c r="P588" s="55"/>
      <c r="Q588" s="34"/>
      <c r="R588" s="54"/>
      <c r="S588" s="55"/>
      <c r="T588" s="25"/>
      <c r="U588" s="25"/>
      <c r="V588" s="24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</row>
    <row r="589">
      <c r="A589" s="25"/>
      <c r="B589" s="25"/>
      <c r="C589" s="25"/>
      <c r="D589" s="25"/>
      <c r="E589" s="25"/>
      <c r="F589" s="25"/>
      <c r="G589" s="25"/>
      <c r="H589" s="46"/>
      <c r="I589" s="52"/>
      <c r="J589" s="46"/>
      <c r="K589" s="52"/>
      <c r="L589" s="46"/>
      <c r="M589" s="52"/>
      <c r="N589" s="53"/>
      <c r="O589" s="25"/>
      <c r="P589" s="55"/>
      <c r="Q589" s="34"/>
      <c r="R589" s="54"/>
      <c r="S589" s="55"/>
      <c r="T589" s="25"/>
      <c r="U589" s="25"/>
      <c r="V589" s="24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</row>
    <row r="590">
      <c r="A590" s="25"/>
      <c r="B590" s="25"/>
      <c r="C590" s="25"/>
      <c r="D590" s="25"/>
      <c r="E590" s="25"/>
      <c r="F590" s="25"/>
      <c r="G590" s="25"/>
      <c r="H590" s="46"/>
      <c r="I590" s="52"/>
      <c r="J590" s="46"/>
      <c r="K590" s="52"/>
      <c r="L590" s="46"/>
      <c r="M590" s="52"/>
      <c r="N590" s="53"/>
      <c r="O590" s="25"/>
      <c r="P590" s="55"/>
      <c r="Q590" s="34"/>
      <c r="R590" s="54"/>
      <c r="S590" s="55"/>
      <c r="T590" s="25"/>
      <c r="U590" s="25"/>
      <c r="V590" s="24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</row>
    <row r="591">
      <c r="A591" s="25"/>
      <c r="B591" s="25"/>
      <c r="C591" s="25"/>
      <c r="D591" s="25"/>
      <c r="E591" s="25"/>
      <c r="F591" s="25"/>
      <c r="G591" s="25"/>
      <c r="H591" s="46"/>
      <c r="I591" s="52"/>
      <c r="J591" s="46"/>
      <c r="K591" s="52"/>
      <c r="L591" s="46"/>
      <c r="M591" s="52"/>
      <c r="N591" s="53"/>
      <c r="O591" s="25"/>
      <c r="P591" s="55"/>
      <c r="Q591" s="34"/>
      <c r="R591" s="54"/>
      <c r="S591" s="55"/>
      <c r="T591" s="25"/>
      <c r="U591" s="25"/>
      <c r="V591" s="24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</row>
    <row r="592">
      <c r="A592" s="25"/>
      <c r="B592" s="25"/>
      <c r="C592" s="25"/>
      <c r="D592" s="25"/>
      <c r="E592" s="25"/>
      <c r="F592" s="25"/>
      <c r="G592" s="25"/>
      <c r="H592" s="46"/>
      <c r="I592" s="52"/>
      <c r="J592" s="46"/>
      <c r="K592" s="52"/>
      <c r="L592" s="46"/>
      <c r="M592" s="52"/>
      <c r="N592" s="53"/>
      <c r="O592" s="25"/>
      <c r="P592" s="55"/>
      <c r="Q592" s="34"/>
      <c r="R592" s="54"/>
      <c r="S592" s="55"/>
      <c r="T592" s="25"/>
      <c r="U592" s="25"/>
      <c r="V592" s="24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</row>
    <row r="593">
      <c r="A593" s="25"/>
      <c r="B593" s="25"/>
      <c r="C593" s="25"/>
      <c r="D593" s="25"/>
      <c r="E593" s="25"/>
      <c r="F593" s="25"/>
      <c r="G593" s="25"/>
      <c r="H593" s="46"/>
      <c r="I593" s="52"/>
      <c r="J593" s="46"/>
      <c r="K593" s="52"/>
      <c r="L593" s="46"/>
      <c r="M593" s="52"/>
      <c r="N593" s="53"/>
      <c r="O593" s="25"/>
      <c r="P593" s="55"/>
      <c r="Q593" s="34"/>
      <c r="R593" s="54"/>
      <c r="S593" s="55"/>
      <c r="T593" s="25"/>
      <c r="U593" s="25"/>
      <c r="V593" s="24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</row>
    <row r="594">
      <c r="A594" s="25"/>
      <c r="B594" s="25"/>
      <c r="C594" s="25"/>
      <c r="D594" s="25"/>
      <c r="E594" s="25"/>
      <c r="F594" s="25"/>
      <c r="G594" s="25"/>
      <c r="H594" s="46"/>
      <c r="I594" s="52"/>
      <c r="J594" s="46"/>
      <c r="K594" s="52"/>
      <c r="L594" s="46"/>
      <c r="M594" s="52"/>
      <c r="N594" s="53"/>
      <c r="O594" s="25"/>
      <c r="P594" s="55"/>
      <c r="Q594" s="34"/>
      <c r="R594" s="54"/>
      <c r="S594" s="55"/>
      <c r="T594" s="25"/>
      <c r="U594" s="25"/>
      <c r="V594" s="24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</row>
    <row r="595">
      <c r="A595" s="25"/>
      <c r="B595" s="25"/>
      <c r="C595" s="25"/>
      <c r="D595" s="25"/>
      <c r="E595" s="25"/>
      <c r="F595" s="25"/>
      <c r="G595" s="25"/>
      <c r="H595" s="46"/>
      <c r="I595" s="52"/>
      <c r="J595" s="46"/>
      <c r="K595" s="52"/>
      <c r="L595" s="46"/>
      <c r="M595" s="52"/>
      <c r="N595" s="53"/>
      <c r="O595" s="25"/>
      <c r="P595" s="55"/>
      <c r="Q595" s="34"/>
      <c r="R595" s="54"/>
      <c r="S595" s="55"/>
      <c r="T595" s="25"/>
      <c r="U595" s="25"/>
      <c r="V595" s="24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</row>
    <row r="596">
      <c r="A596" s="25"/>
      <c r="B596" s="25"/>
      <c r="C596" s="25"/>
      <c r="D596" s="25"/>
      <c r="E596" s="25"/>
      <c r="F596" s="25"/>
      <c r="G596" s="25"/>
      <c r="H596" s="46"/>
      <c r="I596" s="52"/>
      <c r="J596" s="46"/>
      <c r="K596" s="52"/>
      <c r="L596" s="46"/>
      <c r="M596" s="52"/>
      <c r="N596" s="53"/>
      <c r="O596" s="25"/>
      <c r="P596" s="55"/>
      <c r="Q596" s="34"/>
      <c r="R596" s="54"/>
      <c r="S596" s="55"/>
      <c r="T596" s="25"/>
      <c r="U596" s="25"/>
      <c r="V596" s="24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</row>
    <row r="597">
      <c r="A597" s="25"/>
      <c r="B597" s="25"/>
      <c r="C597" s="25"/>
      <c r="D597" s="25"/>
      <c r="E597" s="25"/>
      <c r="F597" s="25"/>
      <c r="G597" s="25"/>
      <c r="H597" s="46"/>
      <c r="I597" s="52"/>
      <c r="J597" s="46"/>
      <c r="K597" s="52"/>
      <c r="L597" s="46"/>
      <c r="M597" s="52"/>
      <c r="N597" s="53"/>
      <c r="O597" s="25"/>
      <c r="P597" s="55"/>
      <c r="Q597" s="34"/>
      <c r="R597" s="54"/>
      <c r="S597" s="55"/>
      <c r="T597" s="25"/>
      <c r="U597" s="25"/>
      <c r="V597" s="24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</row>
    <row r="598">
      <c r="A598" s="25"/>
      <c r="B598" s="25"/>
      <c r="C598" s="25"/>
      <c r="D598" s="25"/>
      <c r="E598" s="25"/>
      <c r="F598" s="25"/>
      <c r="G598" s="25"/>
      <c r="H598" s="46"/>
      <c r="I598" s="52"/>
      <c r="J598" s="46"/>
      <c r="K598" s="52"/>
      <c r="L598" s="46"/>
      <c r="M598" s="52"/>
      <c r="N598" s="53"/>
      <c r="O598" s="25"/>
      <c r="P598" s="55"/>
      <c r="Q598" s="34"/>
      <c r="R598" s="54"/>
      <c r="S598" s="55"/>
      <c r="T598" s="25"/>
      <c r="U598" s="25"/>
      <c r="V598" s="24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</row>
    <row r="599">
      <c r="A599" s="25"/>
      <c r="B599" s="25"/>
      <c r="C599" s="25"/>
      <c r="D599" s="25"/>
      <c r="E599" s="25"/>
      <c r="F599" s="25"/>
      <c r="G599" s="25"/>
      <c r="H599" s="46"/>
      <c r="I599" s="52"/>
      <c r="J599" s="46"/>
      <c r="K599" s="52"/>
      <c r="L599" s="46"/>
      <c r="M599" s="52"/>
      <c r="N599" s="53"/>
      <c r="O599" s="25"/>
      <c r="P599" s="55"/>
      <c r="Q599" s="34"/>
      <c r="R599" s="54"/>
      <c r="S599" s="55"/>
      <c r="T599" s="25"/>
      <c r="U599" s="25"/>
      <c r="V599" s="24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</row>
    <row r="600">
      <c r="A600" s="25"/>
      <c r="B600" s="25"/>
      <c r="C600" s="25"/>
      <c r="D600" s="25"/>
      <c r="E600" s="25"/>
      <c r="F600" s="25"/>
      <c r="G600" s="25"/>
      <c r="H600" s="46"/>
      <c r="I600" s="52"/>
      <c r="J600" s="46"/>
      <c r="K600" s="52"/>
      <c r="L600" s="46"/>
      <c r="M600" s="52"/>
      <c r="N600" s="53"/>
      <c r="O600" s="25"/>
      <c r="P600" s="55"/>
      <c r="Q600" s="34"/>
      <c r="R600" s="54"/>
      <c r="S600" s="55"/>
      <c r="T600" s="25"/>
      <c r="U600" s="25"/>
      <c r="V600" s="24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</row>
    <row r="601">
      <c r="A601" s="25"/>
      <c r="B601" s="25"/>
      <c r="C601" s="25"/>
      <c r="D601" s="25"/>
      <c r="E601" s="25"/>
      <c r="F601" s="25"/>
      <c r="G601" s="25"/>
      <c r="H601" s="46"/>
      <c r="I601" s="52"/>
      <c r="J601" s="46"/>
      <c r="K601" s="52"/>
      <c r="L601" s="46"/>
      <c r="M601" s="52"/>
      <c r="N601" s="53"/>
      <c r="O601" s="25"/>
      <c r="P601" s="55"/>
      <c r="Q601" s="34"/>
      <c r="R601" s="54"/>
      <c r="S601" s="55"/>
      <c r="T601" s="25"/>
      <c r="U601" s="25"/>
      <c r="V601" s="24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</row>
    <row r="602">
      <c r="A602" s="25"/>
      <c r="B602" s="25"/>
      <c r="C602" s="25"/>
      <c r="D602" s="25"/>
      <c r="E602" s="25"/>
      <c r="F602" s="25"/>
      <c r="G602" s="25"/>
      <c r="H602" s="46"/>
      <c r="I602" s="52"/>
      <c r="J602" s="46"/>
      <c r="K602" s="52"/>
      <c r="L602" s="46"/>
      <c r="M602" s="52"/>
      <c r="N602" s="53"/>
      <c r="O602" s="25"/>
      <c r="P602" s="55"/>
      <c r="Q602" s="34"/>
      <c r="R602" s="54"/>
      <c r="S602" s="55"/>
      <c r="T602" s="25"/>
      <c r="U602" s="25"/>
      <c r="V602" s="24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</row>
    <row r="603">
      <c r="A603" s="25"/>
      <c r="B603" s="25"/>
      <c r="C603" s="25"/>
      <c r="D603" s="25"/>
      <c r="E603" s="25"/>
      <c r="F603" s="25"/>
      <c r="G603" s="25"/>
      <c r="H603" s="46"/>
      <c r="I603" s="52"/>
      <c r="J603" s="46"/>
      <c r="K603" s="52"/>
      <c r="L603" s="46"/>
      <c r="M603" s="52"/>
      <c r="N603" s="53"/>
      <c r="O603" s="25"/>
      <c r="P603" s="55"/>
      <c r="Q603" s="34"/>
      <c r="R603" s="54"/>
      <c r="S603" s="55"/>
      <c r="T603" s="25"/>
      <c r="U603" s="25"/>
      <c r="V603" s="24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</row>
    <row r="604">
      <c r="A604" s="25"/>
      <c r="B604" s="25"/>
      <c r="C604" s="25"/>
      <c r="D604" s="25"/>
      <c r="E604" s="25"/>
      <c r="F604" s="25"/>
      <c r="G604" s="25"/>
      <c r="H604" s="46"/>
      <c r="I604" s="52"/>
      <c r="J604" s="46"/>
      <c r="K604" s="52"/>
      <c r="L604" s="46"/>
      <c r="M604" s="52"/>
      <c r="N604" s="53"/>
      <c r="O604" s="25"/>
      <c r="P604" s="55"/>
      <c r="Q604" s="34"/>
      <c r="R604" s="54"/>
      <c r="S604" s="55"/>
      <c r="T604" s="25"/>
      <c r="U604" s="25"/>
      <c r="V604" s="24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</row>
    <row r="605">
      <c r="A605" s="25"/>
      <c r="B605" s="25"/>
      <c r="C605" s="25"/>
      <c r="D605" s="25"/>
      <c r="E605" s="25"/>
      <c r="F605" s="25"/>
      <c r="G605" s="25"/>
      <c r="H605" s="46"/>
      <c r="I605" s="52"/>
      <c r="J605" s="46"/>
      <c r="K605" s="52"/>
      <c r="L605" s="46"/>
      <c r="M605" s="52"/>
      <c r="N605" s="53"/>
      <c r="O605" s="25"/>
      <c r="P605" s="55"/>
      <c r="Q605" s="34"/>
      <c r="R605" s="54"/>
      <c r="S605" s="55"/>
      <c r="T605" s="25"/>
      <c r="U605" s="25"/>
      <c r="V605" s="24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</row>
    <row r="606">
      <c r="A606" s="25"/>
      <c r="B606" s="25"/>
      <c r="C606" s="25"/>
      <c r="D606" s="25"/>
      <c r="E606" s="25"/>
      <c r="F606" s="25"/>
      <c r="G606" s="25"/>
      <c r="H606" s="46"/>
      <c r="I606" s="52"/>
      <c r="J606" s="46"/>
      <c r="K606" s="52"/>
      <c r="L606" s="46"/>
      <c r="M606" s="52"/>
      <c r="N606" s="53"/>
      <c r="O606" s="25"/>
      <c r="P606" s="55"/>
      <c r="Q606" s="34"/>
      <c r="R606" s="54"/>
      <c r="S606" s="55"/>
      <c r="T606" s="25"/>
      <c r="U606" s="25"/>
      <c r="V606" s="24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</row>
    <row r="607">
      <c r="A607" s="25"/>
      <c r="B607" s="25"/>
      <c r="C607" s="25"/>
      <c r="D607" s="25"/>
      <c r="E607" s="25"/>
      <c r="F607" s="25"/>
      <c r="G607" s="25"/>
      <c r="H607" s="46"/>
      <c r="I607" s="52"/>
      <c r="J607" s="46"/>
      <c r="K607" s="52"/>
      <c r="L607" s="46"/>
      <c r="M607" s="52"/>
      <c r="N607" s="53"/>
      <c r="O607" s="25"/>
      <c r="P607" s="55"/>
      <c r="Q607" s="34"/>
      <c r="R607" s="54"/>
      <c r="S607" s="55"/>
      <c r="T607" s="25"/>
      <c r="U607" s="25"/>
      <c r="V607" s="24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</row>
    <row r="608">
      <c r="A608" s="25"/>
      <c r="B608" s="25"/>
      <c r="C608" s="25"/>
      <c r="D608" s="25"/>
      <c r="E608" s="25"/>
      <c r="F608" s="25"/>
      <c r="G608" s="25"/>
      <c r="H608" s="46"/>
      <c r="I608" s="52"/>
      <c r="J608" s="46"/>
      <c r="K608" s="52"/>
      <c r="L608" s="46"/>
      <c r="M608" s="52"/>
      <c r="N608" s="53"/>
      <c r="O608" s="25"/>
      <c r="P608" s="55"/>
      <c r="Q608" s="34"/>
      <c r="R608" s="54"/>
      <c r="S608" s="55"/>
      <c r="T608" s="25"/>
      <c r="U608" s="25"/>
      <c r="V608" s="24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</row>
    <row r="609">
      <c r="A609" s="25"/>
      <c r="B609" s="25"/>
      <c r="C609" s="25"/>
      <c r="D609" s="25"/>
      <c r="E609" s="25"/>
      <c r="F609" s="25"/>
      <c r="G609" s="25"/>
      <c r="H609" s="46"/>
      <c r="I609" s="52"/>
      <c r="J609" s="46"/>
      <c r="K609" s="52"/>
      <c r="L609" s="46"/>
      <c r="M609" s="52"/>
      <c r="N609" s="53"/>
      <c r="O609" s="25"/>
      <c r="P609" s="55"/>
      <c r="Q609" s="34"/>
      <c r="R609" s="54"/>
      <c r="S609" s="55"/>
      <c r="T609" s="25"/>
      <c r="U609" s="25"/>
      <c r="V609" s="24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</row>
    <row r="610">
      <c r="A610" s="25"/>
      <c r="B610" s="25"/>
      <c r="C610" s="25"/>
      <c r="D610" s="25"/>
      <c r="E610" s="25"/>
      <c r="F610" s="25"/>
      <c r="G610" s="25"/>
      <c r="H610" s="46"/>
      <c r="I610" s="52"/>
      <c r="J610" s="46"/>
      <c r="K610" s="52"/>
      <c r="L610" s="46"/>
      <c r="M610" s="52"/>
      <c r="N610" s="53"/>
      <c r="O610" s="25"/>
      <c r="P610" s="55"/>
      <c r="Q610" s="34"/>
      <c r="R610" s="54"/>
      <c r="S610" s="55"/>
      <c r="T610" s="25"/>
      <c r="U610" s="25"/>
      <c r="V610" s="24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</row>
    <row r="611">
      <c r="A611" s="25"/>
      <c r="B611" s="25"/>
      <c r="C611" s="25"/>
      <c r="D611" s="25"/>
      <c r="E611" s="25"/>
      <c r="F611" s="25"/>
      <c r="G611" s="25"/>
      <c r="H611" s="46"/>
      <c r="I611" s="52"/>
      <c r="J611" s="46"/>
      <c r="K611" s="52"/>
      <c r="L611" s="46"/>
      <c r="M611" s="52"/>
      <c r="N611" s="53"/>
      <c r="O611" s="25"/>
      <c r="P611" s="55"/>
      <c r="Q611" s="34"/>
      <c r="R611" s="54"/>
      <c r="S611" s="55"/>
      <c r="T611" s="25"/>
      <c r="U611" s="25"/>
      <c r="V611" s="24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</row>
    <row r="612">
      <c r="A612" s="25"/>
      <c r="B612" s="25"/>
      <c r="C612" s="25"/>
      <c r="D612" s="25"/>
      <c r="E612" s="25"/>
      <c r="F612" s="25"/>
      <c r="G612" s="25"/>
      <c r="H612" s="46"/>
      <c r="I612" s="52"/>
      <c r="J612" s="46"/>
      <c r="K612" s="52"/>
      <c r="L612" s="46"/>
      <c r="M612" s="52"/>
      <c r="N612" s="53"/>
      <c r="O612" s="25"/>
      <c r="P612" s="55"/>
      <c r="Q612" s="34"/>
      <c r="R612" s="54"/>
      <c r="S612" s="55"/>
      <c r="T612" s="25"/>
      <c r="U612" s="25"/>
      <c r="V612" s="24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</row>
    <row r="613">
      <c r="A613" s="25"/>
      <c r="B613" s="25"/>
      <c r="C613" s="25"/>
      <c r="D613" s="25"/>
      <c r="E613" s="25"/>
      <c r="F613" s="25"/>
      <c r="G613" s="25"/>
      <c r="H613" s="46"/>
      <c r="I613" s="52"/>
      <c r="J613" s="46"/>
      <c r="K613" s="52"/>
      <c r="L613" s="46"/>
      <c r="M613" s="52"/>
      <c r="N613" s="53"/>
      <c r="O613" s="25"/>
      <c r="P613" s="55"/>
      <c r="Q613" s="34"/>
      <c r="R613" s="54"/>
      <c r="S613" s="55"/>
      <c r="T613" s="25"/>
      <c r="U613" s="25"/>
      <c r="V613" s="24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</row>
    <row r="614">
      <c r="A614" s="25"/>
      <c r="B614" s="25"/>
      <c r="C614" s="25"/>
      <c r="D614" s="25"/>
      <c r="E614" s="25"/>
      <c r="F614" s="25"/>
      <c r="G614" s="25"/>
      <c r="H614" s="46"/>
      <c r="I614" s="52"/>
      <c r="J614" s="46"/>
      <c r="K614" s="52"/>
      <c r="L614" s="46"/>
      <c r="M614" s="52"/>
      <c r="N614" s="53"/>
      <c r="O614" s="25"/>
      <c r="P614" s="55"/>
      <c r="Q614" s="34"/>
      <c r="R614" s="54"/>
      <c r="S614" s="55"/>
      <c r="T614" s="25"/>
      <c r="U614" s="25"/>
      <c r="V614" s="24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</row>
    <row r="615">
      <c r="A615" s="25"/>
      <c r="B615" s="25"/>
      <c r="C615" s="25"/>
      <c r="D615" s="25"/>
      <c r="E615" s="25"/>
      <c r="F615" s="25"/>
      <c r="G615" s="25"/>
      <c r="H615" s="46"/>
      <c r="I615" s="52"/>
      <c r="J615" s="46"/>
      <c r="K615" s="52"/>
      <c r="L615" s="46"/>
      <c r="M615" s="52"/>
      <c r="N615" s="53"/>
      <c r="O615" s="25"/>
      <c r="P615" s="55"/>
      <c r="Q615" s="34"/>
      <c r="R615" s="54"/>
      <c r="S615" s="55"/>
      <c r="T615" s="25"/>
      <c r="U615" s="25"/>
      <c r="V615" s="24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</row>
    <row r="616">
      <c r="A616" s="25"/>
      <c r="B616" s="25"/>
      <c r="C616" s="25"/>
      <c r="D616" s="25"/>
      <c r="E616" s="25"/>
      <c r="F616" s="25"/>
      <c r="G616" s="25"/>
      <c r="H616" s="46"/>
      <c r="I616" s="52"/>
      <c r="J616" s="46"/>
      <c r="K616" s="52"/>
      <c r="L616" s="46"/>
      <c r="M616" s="52"/>
      <c r="N616" s="53"/>
      <c r="O616" s="25"/>
      <c r="P616" s="55"/>
      <c r="Q616" s="34"/>
      <c r="R616" s="54"/>
      <c r="S616" s="55"/>
      <c r="T616" s="25"/>
      <c r="U616" s="25"/>
      <c r="V616" s="24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</row>
    <row r="617">
      <c r="A617" s="25"/>
      <c r="B617" s="25"/>
      <c r="C617" s="25"/>
      <c r="D617" s="25"/>
      <c r="E617" s="25"/>
      <c r="F617" s="25"/>
      <c r="G617" s="25"/>
      <c r="H617" s="46"/>
      <c r="I617" s="52"/>
      <c r="J617" s="46"/>
      <c r="K617" s="52"/>
      <c r="L617" s="46"/>
      <c r="M617" s="52"/>
      <c r="N617" s="53"/>
      <c r="O617" s="25"/>
      <c r="P617" s="55"/>
      <c r="Q617" s="34"/>
      <c r="R617" s="54"/>
      <c r="S617" s="55"/>
      <c r="T617" s="25"/>
      <c r="U617" s="25"/>
      <c r="V617" s="24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</row>
    <row r="618">
      <c r="A618" s="25"/>
      <c r="B618" s="25"/>
      <c r="C618" s="25"/>
      <c r="D618" s="25"/>
      <c r="E618" s="25"/>
      <c r="F618" s="25"/>
      <c r="G618" s="25"/>
      <c r="H618" s="46"/>
      <c r="I618" s="52"/>
      <c r="J618" s="46"/>
      <c r="K618" s="52"/>
      <c r="L618" s="46"/>
      <c r="M618" s="52"/>
      <c r="N618" s="53"/>
      <c r="O618" s="25"/>
      <c r="P618" s="55"/>
      <c r="Q618" s="34"/>
      <c r="R618" s="54"/>
      <c r="S618" s="55"/>
      <c r="T618" s="25"/>
      <c r="U618" s="25"/>
      <c r="V618" s="24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</row>
    <row r="619">
      <c r="A619" s="25"/>
      <c r="B619" s="25"/>
      <c r="C619" s="25"/>
      <c r="D619" s="25"/>
      <c r="E619" s="25"/>
      <c r="F619" s="25"/>
      <c r="G619" s="25"/>
      <c r="H619" s="46"/>
      <c r="I619" s="52"/>
      <c r="J619" s="46"/>
      <c r="K619" s="52"/>
      <c r="L619" s="46"/>
      <c r="M619" s="52"/>
      <c r="N619" s="53"/>
      <c r="O619" s="25"/>
      <c r="P619" s="55"/>
      <c r="Q619" s="34"/>
      <c r="R619" s="54"/>
      <c r="S619" s="55"/>
      <c r="T619" s="25"/>
      <c r="U619" s="25"/>
      <c r="V619" s="24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</row>
    <row r="620">
      <c r="A620" s="25"/>
      <c r="B620" s="25"/>
      <c r="C620" s="25"/>
      <c r="D620" s="25"/>
      <c r="E620" s="25"/>
      <c r="F620" s="25"/>
      <c r="G620" s="25"/>
      <c r="H620" s="46"/>
      <c r="I620" s="52"/>
      <c r="J620" s="46"/>
      <c r="K620" s="52"/>
      <c r="L620" s="46"/>
      <c r="M620" s="52"/>
      <c r="N620" s="53"/>
      <c r="O620" s="25"/>
      <c r="P620" s="55"/>
      <c r="Q620" s="34"/>
      <c r="R620" s="54"/>
      <c r="S620" s="55"/>
      <c r="T620" s="25"/>
      <c r="U620" s="25"/>
      <c r="V620" s="24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</row>
    <row r="621">
      <c r="A621" s="25"/>
      <c r="B621" s="25"/>
      <c r="C621" s="25"/>
      <c r="D621" s="25"/>
      <c r="E621" s="25"/>
      <c r="F621" s="25"/>
      <c r="G621" s="25"/>
      <c r="H621" s="46"/>
      <c r="I621" s="52"/>
      <c r="J621" s="46"/>
      <c r="K621" s="52"/>
      <c r="L621" s="46"/>
      <c r="M621" s="52"/>
      <c r="N621" s="53"/>
      <c r="O621" s="25"/>
      <c r="P621" s="55"/>
      <c r="Q621" s="34"/>
      <c r="R621" s="54"/>
      <c r="S621" s="55"/>
      <c r="T621" s="25"/>
      <c r="U621" s="25"/>
      <c r="V621" s="24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</row>
    <row r="622">
      <c r="A622" s="25"/>
      <c r="B622" s="25"/>
      <c r="C622" s="25"/>
      <c r="D622" s="25"/>
      <c r="E622" s="25"/>
      <c r="F622" s="25"/>
      <c r="G622" s="25"/>
      <c r="H622" s="46"/>
      <c r="I622" s="52"/>
      <c r="J622" s="46"/>
      <c r="K622" s="52"/>
      <c r="L622" s="46"/>
      <c r="M622" s="52"/>
      <c r="N622" s="53"/>
      <c r="O622" s="25"/>
      <c r="P622" s="55"/>
      <c r="Q622" s="34"/>
      <c r="R622" s="54"/>
      <c r="S622" s="55"/>
      <c r="T622" s="25"/>
      <c r="U622" s="25"/>
      <c r="V622" s="24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</row>
    <row r="623">
      <c r="A623" s="25"/>
      <c r="B623" s="25"/>
      <c r="C623" s="25"/>
      <c r="D623" s="25"/>
      <c r="E623" s="25"/>
      <c r="F623" s="25"/>
      <c r="G623" s="25"/>
      <c r="H623" s="46"/>
      <c r="I623" s="52"/>
      <c r="J623" s="46"/>
      <c r="K623" s="52"/>
      <c r="L623" s="46"/>
      <c r="M623" s="52"/>
      <c r="N623" s="53"/>
      <c r="O623" s="25"/>
      <c r="P623" s="55"/>
      <c r="Q623" s="34"/>
      <c r="R623" s="54"/>
      <c r="S623" s="55"/>
      <c r="T623" s="25"/>
      <c r="U623" s="25"/>
      <c r="V623" s="24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</row>
    <row r="624">
      <c r="A624" s="25"/>
      <c r="B624" s="25"/>
      <c r="C624" s="25"/>
      <c r="D624" s="25"/>
      <c r="E624" s="25"/>
      <c r="F624" s="25"/>
      <c r="G624" s="25"/>
      <c r="H624" s="46"/>
      <c r="I624" s="52"/>
      <c r="J624" s="46"/>
      <c r="K624" s="52"/>
      <c r="L624" s="46"/>
      <c r="M624" s="52"/>
      <c r="N624" s="53"/>
      <c r="O624" s="25"/>
      <c r="P624" s="55"/>
      <c r="Q624" s="34"/>
      <c r="R624" s="54"/>
      <c r="S624" s="55"/>
      <c r="T624" s="25"/>
      <c r="U624" s="25"/>
      <c r="V624" s="24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</row>
    <row r="625">
      <c r="A625" s="25"/>
      <c r="B625" s="25"/>
      <c r="C625" s="25"/>
      <c r="D625" s="25"/>
      <c r="E625" s="25"/>
      <c r="F625" s="25"/>
      <c r="G625" s="25"/>
      <c r="H625" s="46"/>
      <c r="I625" s="52"/>
      <c r="J625" s="46"/>
      <c r="K625" s="52"/>
      <c r="L625" s="46"/>
      <c r="M625" s="52"/>
      <c r="N625" s="53"/>
      <c r="O625" s="25"/>
      <c r="P625" s="55"/>
      <c r="Q625" s="34"/>
      <c r="R625" s="54"/>
      <c r="S625" s="55"/>
      <c r="T625" s="25"/>
      <c r="U625" s="25"/>
      <c r="V625" s="24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</row>
    <row r="626">
      <c r="A626" s="25"/>
      <c r="B626" s="25"/>
      <c r="C626" s="25"/>
      <c r="D626" s="25"/>
      <c r="E626" s="25"/>
      <c r="F626" s="25"/>
      <c r="G626" s="25"/>
      <c r="H626" s="46"/>
      <c r="I626" s="52"/>
      <c r="J626" s="46"/>
      <c r="K626" s="52"/>
      <c r="L626" s="46"/>
      <c r="M626" s="52"/>
      <c r="N626" s="53"/>
      <c r="O626" s="25"/>
      <c r="P626" s="55"/>
      <c r="Q626" s="34"/>
      <c r="R626" s="54"/>
      <c r="S626" s="55"/>
      <c r="T626" s="25"/>
      <c r="U626" s="25"/>
      <c r="V626" s="24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</row>
    <row r="627">
      <c r="A627" s="25"/>
      <c r="B627" s="25"/>
      <c r="C627" s="25"/>
      <c r="D627" s="25"/>
      <c r="E627" s="25"/>
      <c r="F627" s="25"/>
      <c r="G627" s="25"/>
      <c r="H627" s="46"/>
      <c r="I627" s="52"/>
      <c r="J627" s="46"/>
      <c r="K627" s="52"/>
      <c r="L627" s="46"/>
      <c r="M627" s="52"/>
      <c r="N627" s="53"/>
      <c r="O627" s="25"/>
      <c r="P627" s="55"/>
      <c r="Q627" s="34"/>
      <c r="R627" s="54"/>
      <c r="S627" s="55"/>
      <c r="T627" s="25"/>
      <c r="U627" s="25"/>
      <c r="V627" s="24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</row>
    <row r="628">
      <c r="A628" s="25"/>
      <c r="B628" s="25"/>
      <c r="C628" s="25"/>
      <c r="D628" s="25"/>
      <c r="E628" s="25"/>
      <c r="F628" s="25"/>
      <c r="G628" s="25"/>
      <c r="H628" s="46"/>
      <c r="I628" s="52"/>
      <c r="J628" s="46"/>
      <c r="K628" s="52"/>
      <c r="L628" s="46"/>
      <c r="M628" s="52"/>
      <c r="N628" s="53"/>
      <c r="O628" s="25"/>
      <c r="P628" s="55"/>
      <c r="Q628" s="34"/>
      <c r="R628" s="54"/>
      <c r="S628" s="55"/>
      <c r="T628" s="25"/>
      <c r="U628" s="25"/>
      <c r="V628" s="24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</row>
    <row r="629">
      <c r="A629" s="25"/>
      <c r="B629" s="25"/>
      <c r="C629" s="25"/>
      <c r="D629" s="25"/>
      <c r="E629" s="25"/>
      <c r="F629" s="25"/>
      <c r="G629" s="25"/>
      <c r="H629" s="46"/>
      <c r="I629" s="52"/>
      <c r="J629" s="46"/>
      <c r="K629" s="52"/>
      <c r="L629" s="46"/>
      <c r="M629" s="52"/>
      <c r="N629" s="53"/>
      <c r="O629" s="25"/>
      <c r="P629" s="55"/>
      <c r="Q629" s="34"/>
      <c r="R629" s="54"/>
      <c r="S629" s="55"/>
      <c r="T629" s="25"/>
      <c r="U629" s="25"/>
      <c r="V629" s="24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</row>
    <row r="630">
      <c r="A630" s="25"/>
      <c r="B630" s="25"/>
      <c r="C630" s="25"/>
      <c r="D630" s="25"/>
      <c r="E630" s="25"/>
      <c r="F630" s="25"/>
      <c r="G630" s="25"/>
      <c r="H630" s="46"/>
      <c r="I630" s="52"/>
      <c r="J630" s="46"/>
      <c r="K630" s="52"/>
      <c r="L630" s="46"/>
      <c r="M630" s="52"/>
      <c r="N630" s="53"/>
      <c r="O630" s="25"/>
      <c r="P630" s="55"/>
      <c r="Q630" s="34"/>
      <c r="R630" s="54"/>
      <c r="S630" s="55"/>
      <c r="T630" s="25"/>
      <c r="U630" s="25"/>
      <c r="V630" s="24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</row>
    <row r="631">
      <c r="A631" s="25"/>
      <c r="B631" s="25"/>
      <c r="C631" s="25"/>
      <c r="D631" s="25"/>
      <c r="E631" s="25"/>
      <c r="F631" s="25"/>
      <c r="G631" s="25"/>
      <c r="H631" s="46"/>
      <c r="I631" s="52"/>
      <c r="J631" s="46"/>
      <c r="K631" s="52"/>
      <c r="L631" s="46"/>
      <c r="M631" s="52"/>
      <c r="N631" s="53"/>
      <c r="O631" s="25"/>
      <c r="P631" s="55"/>
      <c r="Q631" s="34"/>
      <c r="R631" s="54"/>
      <c r="S631" s="55"/>
      <c r="T631" s="25"/>
      <c r="U631" s="25"/>
      <c r="V631" s="24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</row>
    <row r="632">
      <c r="A632" s="25"/>
      <c r="B632" s="25"/>
      <c r="C632" s="25"/>
      <c r="D632" s="25"/>
      <c r="E632" s="25"/>
      <c r="F632" s="25"/>
      <c r="G632" s="25"/>
      <c r="H632" s="46"/>
      <c r="I632" s="52"/>
      <c r="J632" s="46"/>
      <c r="K632" s="52"/>
      <c r="L632" s="46"/>
      <c r="M632" s="52"/>
      <c r="N632" s="53"/>
      <c r="O632" s="25"/>
      <c r="P632" s="55"/>
      <c r="Q632" s="34"/>
      <c r="R632" s="54"/>
      <c r="S632" s="55"/>
      <c r="T632" s="25"/>
      <c r="U632" s="25"/>
      <c r="V632" s="24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</row>
    <row r="633">
      <c r="A633" s="25"/>
      <c r="B633" s="25"/>
      <c r="C633" s="25"/>
      <c r="D633" s="25"/>
      <c r="E633" s="25"/>
      <c r="F633" s="25"/>
      <c r="G633" s="25"/>
      <c r="H633" s="46"/>
      <c r="I633" s="52"/>
      <c r="J633" s="46"/>
      <c r="K633" s="52"/>
      <c r="L633" s="46"/>
      <c r="M633" s="52"/>
      <c r="N633" s="53"/>
      <c r="O633" s="25"/>
      <c r="P633" s="55"/>
      <c r="Q633" s="34"/>
      <c r="R633" s="54"/>
      <c r="S633" s="55"/>
      <c r="T633" s="25"/>
      <c r="U633" s="25"/>
      <c r="V633" s="24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</row>
    <row r="634">
      <c r="A634" s="25"/>
      <c r="B634" s="25"/>
      <c r="C634" s="25"/>
      <c r="D634" s="25"/>
      <c r="E634" s="25"/>
      <c r="F634" s="25"/>
      <c r="G634" s="25"/>
      <c r="H634" s="46"/>
      <c r="I634" s="52"/>
      <c r="J634" s="46"/>
      <c r="K634" s="52"/>
      <c r="L634" s="46"/>
      <c r="M634" s="52"/>
      <c r="N634" s="53"/>
      <c r="O634" s="25"/>
      <c r="P634" s="55"/>
      <c r="Q634" s="34"/>
      <c r="R634" s="54"/>
      <c r="S634" s="55"/>
      <c r="T634" s="25"/>
      <c r="U634" s="25"/>
      <c r="V634" s="24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</row>
    <row r="635">
      <c r="A635" s="25"/>
      <c r="B635" s="25"/>
      <c r="C635" s="25"/>
      <c r="D635" s="25"/>
      <c r="E635" s="25"/>
      <c r="F635" s="25"/>
      <c r="G635" s="25"/>
      <c r="H635" s="46"/>
      <c r="I635" s="52"/>
      <c r="J635" s="46"/>
      <c r="K635" s="52"/>
      <c r="L635" s="46"/>
      <c r="M635" s="52"/>
      <c r="N635" s="53"/>
      <c r="O635" s="25"/>
      <c r="P635" s="55"/>
      <c r="Q635" s="34"/>
      <c r="R635" s="54"/>
      <c r="S635" s="55"/>
      <c r="T635" s="25"/>
      <c r="U635" s="25"/>
      <c r="V635" s="24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</row>
    <row r="636">
      <c r="A636" s="25"/>
      <c r="B636" s="25"/>
      <c r="C636" s="25"/>
      <c r="D636" s="25"/>
      <c r="E636" s="25"/>
      <c r="F636" s="25"/>
      <c r="G636" s="25"/>
      <c r="H636" s="46"/>
      <c r="I636" s="52"/>
      <c r="J636" s="46"/>
      <c r="K636" s="52"/>
      <c r="L636" s="46"/>
      <c r="M636" s="52"/>
      <c r="N636" s="53"/>
      <c r="O636" s="25"/>
      <c r="P636" s="55"/>
      <c r="Q636" s="34"/>
      <c r="R636" s="54"/>
      <c r="S636" s="55"/>
      <c r="T636" s="25"/>
      <c r="U636" s="25"/>
      <c r="V636" s="24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</row>
    <row r="637">
      <c r="A637" s="25"/>
      <c r="B637" s="25"/>
      <c r="C637" s="25"/>
      <c r="D637" s="25"/>
      <c r="E637" s="25"/>
      <c r="F637" s="25"/>
      <c r="G637" s="25"/>
      <c r="H637" s="46"/>
      <c r="I637" s="52"/>
      <c r="J637" s="46"/>
      <c r="K637" s="52"/>
      <c r="L637" s="46"/>
      <c r="M637" s="52"/>
      <c r="N637" s="53"/>
      <c r="O637" s="25"/>
      <c r="P637" s="55"/>
      <c r="Q637" s="34"/>
      <c r="R637" s="54"/>
      <c r="S637" s="55"/>
      <c r="T637" s="25"/>
      <c r="U637" s="25"/>
      <c r="V637" s="24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</row>
    <row r="638">
      <c r="A638" s="25"/>
      <c r="B638" s="25"/>
      <c r="C638" s="25"/>
      <c r="D638" s="25"/>
      <c r="E638" s="25"/>
      <c r="F638" s="25"/>
      <c r="G638" s="25"/>
      <c r="H638" s="46"/>
      <c r="I638" s="52"/>
      <c r="J638" s="46"/>
      <c r="K638" s="52"/>
      <c r="L638" s="46"/>
      <c r="M638" s="52"/>
      <c r="N638" s="53"/>
      <c r="O638" s="25"/>
      <c r="P638" s="55"/>
      <c r="Q638" s="34"/>
      <c r="R638" s="54"/>
      <c r="S638" s="55"/>
      <c r="T638" s="25"/>
      <c r="U638" s="25"/>
      <c r="V638" s="24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</row>
    <row r="639">
      <c r="A639" s="25"/>
      <c r="B639" s="25"/>
      <c r="C639" s="25"/>
      <c r="D639" s="25"/>
      <c r="E639" s="25"/>
      <c r="F639" s="25"/>
      <c r="G639" s="25"/>
      <c r="H639" s="46"/>
      <c r="I639" s="52"/>
      <c r="J639" s="46"/>
      <c r="K639" s="52"/>
      <c r="L639" s="46"/>
      <c r="M639" s="52"/>
      <c r="N639" s="53"/>
      <c r="O639" s="25"/>
      <c r="P639" s="55"/>
      <c r="Q639" s="34"/>
      <c r="R639" s="54"/>
      <c r="S639" s="55"/>
      <c r="T639" s="25"/>
      <c r="U639" s="25"/>
      <c r="V639" s="24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</row>
    <row r="640">
      <c r="A640" s="25"/>
      <c r="B640" s="25"/>
      <c r="C640" s="25"/>
      <c r="D640" s="25"/>
      <c r="E640" s="25"/>
      <c r="F640" s="25"/>
      <c r="G640" s="25"/>
      <c r="H640" s="46"/>
      <c r="I640" s="52"/>
      <c r="J640" s="46"/>
      <c r="K640" s="52"/>
      <c r="L640" s="46"/>
      <c r="M640" s="52"/>
      <c r="N640" s="53"/>
      <c r="O640" s="25"/>
      <c r="P640" s="55"/>
      <c r="Q640" s="34"/>
      <c r="R640" s="54"/>
      <c r="S640" s="55"/>
      <c r="T640" s="25"/>
      <c r="U640" s="25"/>
      <c r="V640" s="24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</row>
    <row r="641">
      <c r="A641" s="25"/>
      <c r="B641" s="25"/>
      <c r="C641" s="25"/>
      <c r="D641" s="25"/>
      <c r="E641" s="25"/>
      <c r="F641" s="25"/>
      <c r="G641" s="25"/>
      <c r="H641" s="46"/>
      <c r="I641" s="52"/>
      <c r="J641" s="46"/>
      <c r="K641" s="52"/>
      <c r="L641" s="46"/>
      <c r="M641" s="52"/>
      <c r="N641" s="53"/>
      <c r="O641" s="25"/>
      <c r="P641" s="55"/>
      <c r="Q641" s="34"/>
      <c r="R641" s="54"/>
      <c r="S641" s="55"/>
      <c r="T641" s="25"/>
      <c r="U641" s="25"/>
      <c r="V641" s="24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</row>
    <row r="642">
      <c r="A642" s="25"/>
      <c r="B642" s="25"/>
      <c r="C642" s="25"/>
      <c r="D642" s="25"/>
      <c r="E642" s="25"/>
      <c r="F642" s="25"/>
      <c r="G642" s="25"/>
      <c r="H642" s="46"/>
      <c r="I642" s="52"/>
      <c r="J642" s="46"/>
      <c r="K642" s="52"/>
      <c r="L642" s="46"/>
      <c r="M642" s="52"/>
      <c r="N642" s="53"/>
      <c r="O642" s="25"/>
      <c r="P642" s="55"/>
      <c r="Q642" s="34"/>
      <c r="R642" s="54"/>
      <c r="S642" s="55"/>
      <c r="T642" s="25"/>
      <c r="U642" s="25"/>
      <c r="V642" s="24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</row>
    <row r="643">
      <c r="A643" s="25"/>
      <c r="B643" s="25"/>
      <c r="C643" s="25"/>
      <c r="D643" s="25"/>
      <c r="E643" s="25"/>
      <c r="F643" s="25"/>
      <c r="G643" s="25"/>
      <c r="H643" s="46"/>
      <c r="I643" s="52"/>
      <c r="J643" s="46"/>
      <c r="K643" s="52"/>
      <c r="L643" s="46"/>
      <c r="M643" s="52"/>
      <c r="N643" s="53"/>
      <c r="O643" s="25"/>
      <c r="P643" s="55"/>
      <c r="Q643" s="34"/>
      <c r="R643" s="54"/>
      <c r="S643" s="55"/>
      <c r="T643" s="25"/>
      <c r="U643" s="25"/>
      <c r="V643" s="24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</row>
    <row r="644">
      <c r="A644" s="25"/>
      <c r="B644" s="25"/>
      <c r="C644" s="25"/>
      <c r="D644" s="25"/>
      <c r="E644" s="25"/>
      <c r="F644" s="25"/>
      <c r="G644" s="25"/>
      <c r="H644" s="46"/>
      <c r="I644" s="52"/>
      <c r="J644" s="46"/>
      <c r="K644" s="52"/>
      <c r="L644" s="46"/>
      <c r="M644" s="52"/>
      <c r="N644" s="53"/>
      <c r="O644" s="25"/>
      <c r="P644" s="55"/>
      <c r="Q644" s="34"/>
      <c r="R644" s="54"/>
      <c r="S644" s="55"/>
      <c r="T644" s="25"/>
      <c r="U644" s="25"/>
      <c r="V644" s="24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</row>
    <row r="645">
      <c r="A645" s="25"/>
      <c r="B645" s="25"/>
      <c r="C645" s="25"/>
      <c r="D645" s="25"/>
      <c r="E645" s="25"/>
      <c r="F645" s="25"/>
      <c r="G645" s="25"/>
      <c r="H645" s="46"/>
      <c r="I645" s="52"/>
      <c r="J645" s="46"/>
      <c r="K645" s="52"/>
      <c r="L645" s="46"/>
      <c r="M645" s="52"/>
      <c r="N645" s="53"/>
      <c r="O645" s="25"/>
      <c r="P645" s="55"/>
      <c r="Q645" s="34"/>
      <c r="R645" s="54"/>
      <c r="S645" s="55"/>
      <c r="T645" s="25"/>
      <c r="U645" s="25"/>
      <c r="V645" s="24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</row>
    <row r="646">
      <c r="A646" s="25"/>
      <c r="B646" s="25"/>
      <c r="C646" s="25"/>
      <c r="D646" s="25"/>
      <c r="E646" s="25"/>
      <c r="F646" s="25"/>
      <c r="G646" s="25"/>
      <c r="H646" s="46"/>
      <c r="I646" s="52"/>
      <c r="J646" s="46"/>
      <c r="K646" s="52"/>
      <c r="L646" s="46"/>
      <c r="M646" s="52"/>
      <c r="N646" s="53"/>
      <c r="O646" s="25"/>
      <c r="P646" s="55"/>
      <c r="Q646" s="34"/>
      <c r="R646" s="54"/>
      <c r="S646" s="55"/>
      <c r="T646" s="25"/>
      <c r="U646" s="25"/>
      <c r="V646" s="24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</row>
    <row r="647">
      <c r="A647" s="25"/>
      <c r="B647" s="25"/>
      <c r="C647" s="25"/>
      <c r="D647" s="25"/>
      <c r="E647" s="25"/>
      <c r="F647" s="25"/>
      <c r="G647" s="25"/>
      <c r="H647" s="46"/>
      <c r="I647" s="52"/>
      <c r="J647" s="46"/>
      <c r="K647" s="52"/>
      <c r="L647" s="46"/>
      <c r="M647" s="52"/>
      <c r="N647" s="53"/>
      <c r="O647" s="25"/>
      <c r="P647" s="55"/>
      <c r="Q647" s="34"/>
      <c r="R647" s="54"/>
      <c r="S647" s="55"/>
      <c r="T647" s="25"/>
      <c r="U647" s="25"/>
      <c r="V647" s="24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</row>
    <row r="648">
      <c r="A648" s="25"/>
      <c r="B648" s="25"/>
      <c r="C648" s="25"/>
      <c r="D648" s="25"/>
      <c r="E648" s="25"/>
      <c r="F648" s="25"/>
      <c r="G648" s="25"/>
      <c r="H648" s="46"/>
      <c r="I648" s="52"/>
      <c r="J648" s="46"/>
      <c r="K648" s="52"/>
      <c r="L648" s="46"/>
      <c r="M648" s="52"/>
      <c r="N648" s="53"/>
      <c r="O648" s="25"/>
      <c r="P648" s="55"/>
      <c r="Q648" s="34"/>
      <c r="R648" s="54"/>
      <c r="S648" s="55"/>
      <c r="T648" s="25"/>
      <c r="U648" s="25"/>
      <c r="V648" s="24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</row>
    <row r="649">
      <c r="A649" s="25"/>
      <c r="B649" s="25"/>
      <c r="C649" s="25"/>
      <c r="D649" s="25"/>
      <c r="E649" s="25"/>
      <c r="F649" s="25"/>
      <c r="G649" s="25"/>
      <c r="H649" s="46"/>
      <c r="I649" s="52"/>
      <c r="J649" s="46"/>
      <c r="K649" s="52"/>
      <c r="L649" s="46"/>
      <c r="M649" s="52"/>
      <c r="N649" s="53"/>
      <c r="O649" s="25"/>
      <c r="P649" s="55"/>
      <c r="Q649" s="34"/>
      <c r="R649" s="54"/>
      <c r="S649" s="55"/>
      <c r="T649" s="25"/>
      <c r="U649" s="25"/>
      <c r="V649" s="24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</row>
    <row r="650">
      <c r="A650" s="25"/>
      <c r="B650" s="25"/>
      <c r="C650" s="25"/>
      <c r="D650" s="25"/>
      <c r="E650" s="25"/>
      <c r="F650" s="25"/>
      <c r="G650" s="25"/>
      <c r="H650" s="46"/>
      <c r="I650" s="52"/>
      <c r="J650" s="46"/>
      <c r="K650" s="52"/>
      <c r="L650" s="46"/>
      <c r="M650" s="52"/>
      <c r="N650" s="53"/>
      <c r="O650" s="25"/>
      <c r="P650" s="55"/>
      <c r="Q650" s="34"/>
      <c r="R650" s="54"/>
      <c r="S650" s="55"/>
      <c r="T650" s="25"/>
      <c r="U650" s="25"/>
      <c r="V650" s="24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</row>
    <row r="651">
      <c r="A651" s="25"/>
      <c r="B651" s="25"/>
      <c r="C651" s="25"/>
      <c r="D651" s="25"/>
      <c r="E651" s="25"/>
      <c r="F651" s="25"/>
      <c r="G651" s="25"/>
      <c r="H651" s="46"/>
      <c r="I651" s="52"/>
      <c r="J651" s="46"/>
      <c r="K651" s="52"/>
      <c r="L651" s="46"/>
      <c r="M651" s="52"/>
      <c r="N651" s="53"/>
      <c r="O651" s="25"/>
      <c r="P651" s="55"/>
      <c r="Q651" s="34"/>
      <c r="R651" s="54"/>
      <c r="S651" s="55"/>
      <c r="T651" s="25"/>
      <c r="U651" s="25"/>
      <c r="V651" s="24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</row>
    <row r="652">
      <c r="A652" s="25"/>
      <c r="B652" s="25"/>
      <c r="C652" s="25"/>
      <c r="D652" s="25"/>
      <c r="E652" s="25"/>
      <c r="F652" s="25"/>
      <c r="G652" s="25"/>
      <c r="H652" s="46"/>
      <c r="I652" s="52"/>
      <c r="J652" s="46"/>
      <c r="K652" s="52"/>
      <c r="L652" s="46"/>
      <c r="M652" s="52"/>
      <c r="N652" s="53"/>
      <c r="O652" s="25"/>
      <c r="P652" s="55"/>
      <c r="Q652" s="34"/>
      <c r="R652" s="54"/>
      <c r="S652" s="55"/>
      <c r="T652" s="25"/>
      <c r="U652" s="25"/>
      <c r="V652" s="24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</row>
    <row r="653">
      <c r="A653" s="25"/>
      <c r="B653" s="25"/>
      <c r="C653" s="25"/>
      <c r="D653" s="25"/>
      <c r="E653" s="25"/>
      <c r="F653" s="25"/>
      <c r="G653" s="25"/>
      <c r="H653" s="46"/>
      <c r="I653" s="52"/>
      <c r="J653" s="46"/>
      <c r="K653" s="52"/>
      <c r="L653" s="46"/>
      <c r="M653" s="52"/>
      <c r="N653" s="53"/>
      <c r="O653" s="25"/>
      <c r="P653" s="55"/>
      <c r="Q653" s="34"/>
      <c r="R653" s="54"/>
      <c r="S653" s="55"/>
      <c r="T653" s="25"/>
      <c r="U653" s="25"/>
      <c r="V653" s="24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</row>
    <row r="654">
      <c r="A654" s="25"/>
      <c r="B654" s="25"/>
      <c r="C654" s="25"/>
      <c r="D654" s="25"/>
      <c r="E654" s="25"/>
      <c r="F654" s="25"/>
      <c r="G654" s="25"/>
      <c r="H654" s="46"/>
      <c r="I654" s="52"/>
      <c r="J654" s="46"/>
      <c r="K654" s="52"/>
      <c r="L654" s="46"/>
      <c r="M654" s="52"/>
      <c r="N654" s="53"/>
      <c r="O654" s="25"/>
      <c r="P654" s="55"/>
      <c r="Q654" s="34"/>
      <c r="R654" s="54"/>
      <c r="S654" s="55"/>
      <c r="T654" s="25"/>
      <c r="U654" s="25"/>
      <c r="V654" s="24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</row>
    <row r="655">
      <c r="A655" s="25"/>
      <c r="B655" s="25"/>
      <c r="C655" s="25"/>
      <c r="D655" s="25"/>
      <c r="E655" s="25"/>
      <c r="F655" s="25"/>
      <c r="G655" s="25"/>
      <c r="H655" s="46"/>
      <c r="I655" s="52"/>
      <c r="J655" s="46"/>
      <c r="K655" s="52"/>
      <c r="L655" s="46"/>
      <c r="M655" s="52"/>
      <c r="N655" s="53"/>
      <c r="O655" s="25"/>
      <c r="P655" s="55"/>
      <c r="Q655" s="34"/>
      <c r="R655" s="54"/>
      <c r="S655" s="55"/>
      <c r="T655" s="25"/>
      <c r="U655" s="25"/>
      <c r="V655" s="24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</row>
    <row r="656">
      <c r="A656" s="25"/>
      <c r="B656" s="25"/>
      <c r="C656" s="25"/>
      <c r="D656" s="25"/>
      <c r="E656" s="25"/>
      <c r="F656" s="25"/>
      <c r="G656" s="25"/>
      <c r="H656" s="46"/>
      <c r="I656" s="52"/>
      <c r="J656" s="46"/>
      <c r="K656" s="52"/>
      <c r="L656" s="46"/>
      <c r="M656" s="52"/>
      <c r="N656" s="53"/>
      <c r="O656" s="25"/>
      <c r="P656" s="55"/>
      <c r="Q656" s="34"/>
      <c r="R656" s="54"/>
      <c r="S656" s="55"/>
      <c r="T656" s="25"/>
      <c r="U656" s="25"/>
      <c r="V656" s="24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</row>
    <row r="657">
      <c r="A657" s="25"/>
      <c r="B657" s="25"/>
      <c r="C657" s="25"/>
      <c r="D657" s="25"/>
      <c r="E657" s="25"/>
      <c r="F657" s="25"/>
      <c r="G657" s="25"/>
      <c r="H657" s="46"/>
      <c r="I657" s="52"/>
      <c r="J657" s="46"/>
      <c r="K657" s="52"/>
      <c r="L657" s="46"/>
      <c r="M657" s="52"/>
      <c r="N657" s="53"/>
      <c r="O657" s="25"/>
      <c r="P657" s="55"/>
      <c r="Q657" s="34"/>
      <c r="R657" s="54"/>
      <c r="S657" s="55"/>
      <c r="T657" s="25"/>
      <c r="U657" s="25"/>
      <c r="V657" s="24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</row>
    <row r="658">
      <c r="A658" s="25"/>
      <c r="B658" s="25"/>
      <c r="C658" s="25"/>
      <c r="D658" s="25"/>
      <c r="E658" s="25"/>
      <c r="F658" s="25"/>
      <c r="G658" s="25"/>
      <c r="H658" s="46"/>
      <c r="I658" s="52"/>
      <c r="J658" s="46"/>
      <c r="K658" s="52"/>
      <c r="L658" s="46"/>
      <c r="M658" s="52"/>
      <c r="N658" s="53"/>
      <c r="O658" s="25"/>
      <c r="P658" s="55"/>
      <c r="Q658" s="34"/>
      <c r="R658" s="54"/>
      <c r="S658" s="55"/>
      <c r="T658" s="25"/>
      <c r="U658" s="25"/>
      <c r="V658" s="24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</row>
    <row r="659">
      <c r="A659" s="25"/>
      <c r="B659" s="25"/>
      <c r="C659" s="25"/>
      <c r="D659" s="25"/>
      <c r="E659" s="25"/>
      <c r="F659" s="25"/>
      <c r="G659" s="25"/>
      <c r="H659" s="46"/>
      <c r="I659" s="52"/>
      <c r="J659" s="46"/>
      <c r="K659" s="52"/>
      <c r="L659" s="46"/>
      <c r="M659" s="52"/>
      <c r="N659" s="53"/>
      <c r="O659" s="25"/>
      <c r="P659" s="55"/>
      <c r="Q659" s="34"/>
      <c r="R659" s="54"/>
      <c r="S659" s="55"/>
      <c r="T659" s="25"/>
      <c r="U659" s="25"/>
      <c r="V659" s="24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</row>
    <row r="660">
      <c r="A660" s="25"/>
      <c r="B660" s="25"/>
      <c r="C660" s="25"/>
      <c r="D660" s="25"/>
      <c r="E660" s="25"/>
      <c r="F660" s="25"/>
      <c r="G660" s="25"/>
      <c r="H660" s="46"/>
      <c r="I660" s="52"/>
      <c r="J660" s="46"/>
      <c r="K660" s="52"/>
      <c r="L660" s="46"/>
      <c r="M660" s="52"/>
      <c r="N660" s="53"/>
      <c r="O660" s="25"/>
      <c r="P660" s="55"/>
      <c r="Q660" s="34"/>
      <c r="R660" s="54"/>
      <c r="S660" s="55"/>
      <c r="T660" s="25"/>
      <c r="U660" s="25"/>
      <c r="V660" s="24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</row>
    <row r="661">
      <c r="A661" s="25"/>
      <c r="B661" s="25"/>
      <c r="C661" s="25"/>
      <c r="D661" s="25"/>
      <c r="E661" s="25"/>
      <c r="F661" s="25"/>
      <c r="G661" s="25"/>
      <c r="H661" s="46"/>
      <c r="I661" s="52"/>
      <c r="J661" s="46"/>
      <c r="K661" s="52"/>
      <c r="L661" s="46"/>
      <c r="M661" s="52"/>
      <c r="N661" s="53"/>
      <c r="O661" s="25"/>
      <c r="P661" s="55"/>
      <c r="Q661" s="34"/>
      <c r="R661" s="54"/>
      <c r="S661" s="55"/>
      <c r="T661" s="25"/>
      <c r="U661" s="25"/>
      <c r="V661" s="24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</row>
    <row r="662">
      <c r="A662" s="25"/>
      <c r="B662" s="25"/>
      <c r="C662" s="25"/>
      <c r="D662" s="25"/>
      <c r="E662" s="25"/>
      <c r="F662" s="25"/>
      <c r="G662" s="25"/>
      <c r="H662" s="46"/>
      <c r="I662" s="52"/>
      <c r="J662" s="46"/>
      <c r="K662" s="52"/>
      <c r="L662" s="46"/>
      <c r="M662" s="52"/>
      <c r="N662" s="53"/>
      <c r="O662" s="25"/>
      <c r="P662" s="55"/>
      <c r="Q662" s="34"/>
      <c r="R662" s="54"/>
      <c r="S662" s="55"/>
      <c r="T662" s="25"/>
      <c r="U662" s="25"/>
      <c r="V662" s="24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</row>
    <row r="663">
      <c r="A663" s="25"/>
      <c r="B663" s="25"/>
      <c r="C663" s="25"/>
      <c r="D663" s="25"/>
      <c r="E663" s="25"/>
      <c r="F663" s="25"/>
      <c r="G663" s="25"/>
      <c r="H663" s="46"/>
      <c r="I663" s="52"/>
      <c r="J663" s="46"/>
      <c r="K663" s="52"/>
      <c r="L663" s="46"/>
      <c r="M663" s="52"/>
      <c r="N663" s="53"/>
      <c r="O663" s="25"/>
      <c r="P663" s="55"/>
      <c r="Q663" s="34"/>
      <c r="R663" s="54"/>
      <c r="S663" s="55"/>
      <c r="T663" s="25"/>
      <c r="U663" s="25"/>
      <c r="V663" s="24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</row>
    <row r="664">
      <c r="A664" s="25"/>
      <c r="B664" s="25"/>
      <c r="C664" s="25"/>
      <c r="D664" s="25"/>
      <c r="E664" s="25"/>
      <c r="F664" s="25"/>
      <c r="G664" s="25"/>
      <c r="H664" s="46"/>
      <c r="I664" s="52"/>
      <c r="J664" s="46"/>
      <c r="K664" s="52"/>
      <c r="L664" s="46"/>
      <c r="M664" s="52"/>
      <c r="N664" s="53"/>
      <c r="O664" s="25"/>
      <c r="P664" s="55"/>
      <c r="Q664" s="34"/>
      <c r="R664" s="54"/>
      <c r="S664" s="55"/>
      <c r="T664" s="25"/>
      <c r="U664" s="25"/>
      <c r="V664" s="24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</row>
    <row r="665">
      <c r="A665" s="25"/>
      <c r="B665" s="25"/>
      <c r="C665" s="25"/>
      <c r="D665" s="25"/>
      <c r="E665" s="25"/>
      <c r="F665" s="25"/>
      <c r="G665" s="25"/>
      <c r="H665" s="46"/>
      <c r="I665" s="52"/>
      <c r="J665" s="46"/>
      <c r="K665" s="52"/>
      <c r="L665" s="46"/>
      <c r="M665" s="52"/>
      <c r="N665" s="53"/>
      <c r="O665" s="25"/>
      <c r="P665" s="55"/>
      <c r="Q665" s="34"/>
      <c r="R665" s="54"/>
      <c r="S665" s="55"/>
      <c r="T665" s="25"/>
      <c r="U665" s="25"/>
      <c r="V665" s="24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</row>
    <row r="666">
      <c r="A666" s="25"/>
      <c r="B666" s="25"/>
      <c r="C666" s="25"/>
      <c r="D666" s="25"/>
      <c r="E666" s="25"/>
      <c r="F666" s="25"/>
      <c r="G666" s="25"/>
      <c r="H666" s="46"/>
      <c r="I666" s="52"/>
      <c r="J666" s="46"/>
      <c r="K666" s="52"/>
      <c r="L666" s="46"/>
      <c r="M666" s="52"/>
      <c r="N666" s="53"/>
      <c r="O666" s="25"/>
      <c r="P666" s="55"/>
      <c r="Q666" s="34"/>
      <c r="R666" s="54"/>
      <c r="S666" s="55"/>
      <c r="T666" s="25"/>
      <c r="U666" s="25"/>
      <c r="V666" s="24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</row>
    <row r="667">
      <c r="A667" s="25"/>
      <c r="B667" s="25"/>
      <c r="C667" s="25"/>
      <c r="D667" s="25"/>
      <c r="E667" s="25"/>
      <c r="F667" s="25"/>
      <c r="G667" s="25"/>
      <c r="H667" s="46"/>
      <c r="I667" s="52"/>
      <c r="J667" s="46"/>
      <c r="K667" s="52"/>
      <c r="L667" s="46"/>
      <c r="M667" s="52"/>
      <c r="N667" s="53"/>
      <c r="O667" s="25"/>
      <c r="P667" s="55"/>
      <c r="Q667" s="34"/>
      <c r="R667" s="54"/>
      <c r="S667" s="55"/>
      <c r="T667" s="25"/>
      <c r="U667" s="25"/>
      <c r="V667" s="24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</row>
    <row r="668">
      <c r="A668" s="25"/>
      <c r="B668" s="25"/>
      <c r="C668" s="25"/>
      <c r="D668" s="25"/>
      <c r="E668" s="25"/>
      <c r="F668" s="25"/>
      <c r="G668" s="25"/>
      <c r="H668" s="46"/>
      <c r="I668" s="52"/>
      <c r="J668" s="46"/>
      <c r="K668" s="52"/>
      <c r="L668" s="46"/>
      <c r="M668" s="52"/>
      <c r="N668" s="53"/>
      <c r="O668" s="25"/>
      <c r="P668" s="55"/>
      <c r="Q668" s="34"/>
      <c r="R668" s="54"/>
      <c r="S668" s="55"/>
      <c r="T668" s="25"/>
      <c r="U668" s="25"/>
      <c r="V668" s="24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</row>
    <row r="669">
      <c r="A669" s="25"/>
      <c r="B669" s="25"/>
      <c r="C669" s="25"/>
      <c r="D669" s="25"/>
      <c r="E669" s="25"/>
      <c r="F669" s="25"/>
      <c r="G669" s="25"/>
      <c r="H669" s="46"/>
      <c r="I669" s="52"/>
      <c r="J669" s="46"/>
      <c r="K669" s="52"/>
      <c r="L669" s="46"/>
      <c r="M669" s="52"/>
      <c r="N669" s="53"/>
      <c r="O669" s="25"/>
      <c r="P669" s="55"/>
      <c r="Q669" s="34"/>
      <c r="R669" s="54"/>
      <c r="S669" s="55"/>
      <c r="T669" s="25"/>
      <c r="U669" s="25"/>
      <c r="V669" s="24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</row>
    <row r="670">
      <c r="A670" s="25"/>
      <c r="B670" s="25"/>
      <c r="C670" s="25"/>
      <c r="D670" s="25"/>
      <c r="E670" s="25"/>
      <c r="F670" s="25"/>
      <c r="G670" s="25"/>
      <c r="H670" s="46"/>
      <c r="I670" s="52"/>
      <c r="J670" s="46"/>
      <c r="K670" s="52"/>
      <c r="L670" s="46"/>
      <c r="M670" s="52"/>
      <c r="N670" s="53"/>
      <c r="O670" s="25"/>
      <c r="P670" s="55"/>
      <c r="Q670" s="34"/>
      <c r="R670" s="54"/>
      <c r="S670" s="55"/>
      <c r="T670" s="25"/>
      <c r="U670" s="25"/>
      <c r="V670" s="24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</row>
    <row r="671">
      <c r="A671" s="25"/>
      <c r="B671" s="25"/>
      <c r="C671" s="25"/>
      <c r="D671" s="25"/>
      <c r="E671" s="25"/>
      <c r="F671" s="25"/>
      <c r="G671" s="25"/>
      <c r="H671" s="46"/>
      <c r="I671" s="52"/>
      <c r="J671" s="46"/>
      <c r="K671" s="52"/>
      <c r="L671" s="46"/>
      <c r="M671" s="52"/>
      <c r="N671" s="53"/>
      <c r="O671" s="25"/>
      <c r="P671" s="55"/>
      <c r="Q671" s="34"/>
      <c r="R671" s="54"/>
      <c r="S671" s="55"/>
      <c r="T671" s="25"/>
      <c r="U671" s="25"/>
      <c r="V671" s="24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</row>
    <row r="672">
      <c r="A672" s="25"/>
      <c r="B672" s="25"/>
      <c r="C672" s="25"/>
      <c r="D672" s="25"/>
      <c r="E672" s="25"/>
      <c r="F672" s="25"/>
      <c r="G672" s="25"/>
      <c r="H672" s="46"/>
      <c r="I672" s="52"/>
      <c r="J672" s="46"/>
      <c r="K672" s="52"/>
      <c r="L672" s="46"/>
      <c r="M672" s="52"/>
      <c r="N672" s="53"/>
      <c r="O672" s="25"/>
      <c r="P672" s="55"/>
      <c r="Q672" s="34"/>
      <c r="R672" s="54"/>
      <c r="S672" s="55"/>
      <c r="T672" s="25"/>
      <c r="U672" s="25"/>
      <c r="V672" s="24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</row>
    <row r="673">
      <c r="A673" s="25"/>
      <c r="B673" s="25"/>
      <c r="C673" s="25"/>
      <c r="D673" s="25"/>
      <c r="E673" s="25"/>
      <c r="F673" s="25"/>
      <c r="G673" s="25"/>
      <c r="H673" s="46"/>
      <c r="I673" s="52"/>
      <c r="J673" s="46"/>
      <c r="K673" s="52"/>
      <c r="L673" s="46"/>
      <c r="M673" s="52"/>
      <c r="N673" s="53"/>
      <c r="O673" s="25"/>
      <c r="P673" s="55"/>
      <c r="Q673" s="34"/>
      <c r="R673" s="54"/>
      <c r="S673" s="55"/>
      <c r="T673" s="25"/>
      <c r="U673" s="25"/>
      <c r="V673" s="24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</row>
    <row r="674">
      <c r="A674" s="25"/>
      <c r="B674" s="25"/>
      <c r="C674" s="25"/>
      <c r="D674" s="25"/>
      <c r="E674" s="25"/>
      <c r="F674" s="25"/>
      <c r="G674" s="25"/>
      <c r="H674" s="46"/>
      <c r="I674" s="52"/>
      <c r="J674" s="46"/>
      <c r="K674" s="52"/>
      <c r="L674" s="46"/>
      <c r="M674" s="52"/>
      <c r="N674" s="53"/>
      <c r="O674" s="25"/>
      <c r="P674" s="55"/>
      <c r="Q674" s="34"/>
      <c r="R674" s="54"/>
      <c r="S674" s="55"/>
      <c r="T674" s="25"/>
      <c r="U674" s="25"/>
      <c r="V674" s="24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</row>
    <row r="675">
      <c r="A675" s="25"/>
      <c r="B675" s="25"/>
      <c r="C675" s="25"/>
      <c r="D675" s="25"/>
      <c r="E675" s="25"/>
      <c r="F675" s="25"/>
      <c r="G675" s="25"/>
      <c r="H675" s="46"/>
      <c r="I675" s="52"/>
      <c r="J675" s="46"/>
      <c r="K675" s="52"/>
      <c r="L675" s="46"/>
      <c r="M675" s="52"/>
      <c r="N675" s="53"/>
      <c r="O675" s="25"/>
      <c r="P675" s="55"/>
      <c r="Q675" s="34"/>
      <c r="R675" s="54"/>
      <c r="S675" s="55"/>
      <c r="T675" s="25"/>
      <c r="U675" s="25"/>
      <c r="V675" s="24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</row>
    <row r="676">
      <c r="A676" s="25"/>
      <c r="B676" s="25"/>
      <c r="C676" s="25"/>
      <c r="D676" s="25"/>
      <c r="E676" s="25"/>
      <c r="F676" s="25"/>
      <c r="G676" s="25"/>
      <c r="H676" s="46"/>
      <c r="I676" s="52"/>
      <c r="J676" s="46"/>
      <c r="K676" s="52"/>
      <c r="L676" s="46"/>
      <c r="M676" s="52"/>
      <c r="N676" s="53"/>
      <c r="O676" s="25"/>
      <c r="P676" s="55"/>
      <c r="Q676" s="34"/>
      <c r="R676" s="54"/>
      <c r="S676" s="55"/>
      <c r="T676" s="25"/>
      <c r="U676" s="25"/>
      <c r="V676" s="24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</row>
    <row r="677">
      <c r="A677" s="25"/>
      <c r="B677" s="25"/>
      <c r="C677" s="25"/>
      <c r="D677" s="25"/>
      <c r="E677" s="25"/>
      <c r="F677" s="25"/>
      <c r="G677" s="25"/>
      <c r="H677" s="46"/>
      <c r="I677" s="52"/>
      <c r="J677" s="46"/>
      <c r="K677" s="52"/>
      <c r="L677" s="46"/>
      <c r="M677" s="52"/>
      <c r="N677" s="53"/>
      <c r="O677" s="25"/>
      <c r="P677" s="55"/>
      <c r="Q677" s="34"/>
      <c r="R677" s="54"/>
      <c r="S677" s="55"/>
      <c r="T677" s="25"/>
      <c r="U677" s="25"/>
      <c r="V677" s="24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</row>
    <row r="678">
      <c r="A678" s="25"/>
      <c r="B678" s="25"/>
      <c r="C678" s="25"/>
      <c r="D678" s="25"/>
      <c r="E678" s="25"/>
      <c r="F678" s="25"/>
      <c r="G678" s="25"/>
      <c r="H678" s="46"/>
      <c r="I678" s="52"/>
      <c r="J678" s="46"/>
      <c r="K678" s="52"/>
      <c r="L678" s="46"/>
      <c r="M678" s="52"/>
      <c r="N678" s="53"/>
      <c r="O678" s="25"/>
      <c r="P678" s="55"/>
      <c r="Q678" s="34"/>
      <c r="R678" s="54"/>
      <c r="S678" s="55"/>
      <c r="T678" s="25"/>
      <c r="U678" s="25"/>
      <c r="V678" s="24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</row>
    <row r="679">
      <c r="A679" s="25"/>
      <c r="B679" s="25"/>
      <c r="C679" s="25"/>
      <c r="D679" s="25"/>
      <c r="E679" s="25"/>
      <c r="F679" s="25"/>
      <c r="G679" s="25"/>
      <c r="H679" s="46"/>
      <c r="I679" s="52"/>
      <c r="J679" s="46"/>
      <c r="K679" s="52"/>
      <c r="L679" s="46"/>
      <c r="M679" s="52"/>
      <c r="N679" s="53"/>
      <c r="O679" s="25"/>
      <c r="P679" s="55"/>
      <c r="Q679" s="34"/>
      <c r="R679" s="54"/>
      <c r="S679" s="55"/>
      <c r="T679" s="25"/>
      <c r="U679" s="25"/>
      <c r="V679" s="24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</row>
    <row r="680">
      <c r="A680" s="25"/>
      <c r="B680" s="25"/>
      <c r="C680" s="25"/>
      <c r="D680" s="25"/>
      <c r="E680" s="25"/>
      <c r="F680" s="25"/>
      <c r="G680" s="25"/>
      <c r="H680" s="46"/>
      <c r="I680" s="52"/>
      <c r="J680" s="46"/>
      <c r="K680" s="52"/>
      <c r="L680" s="46"/>
      <c r="M680" s="52"/>
      <c r="N680" s="53"/>
      <c r="O680" s="25"/>
      <c r="P680" s="55"/>
      <c r="Q680" s="34"/>
      <c r="R680" s="54"/>
      <c r="S680" s="55"/>
      <c r="T680" s="25"/>
      <c r="U680" s="25"/>
      <c r="V680" s="24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</row>
    <row r="681">
      <c r="A681" s="25"/>
      <c r="B681" s="25"/>
      <c r="C681" s="25"/>
      <c r="D681" s="25"/>
      <c r="E681" s="25"/>
      <c r="F681" s="25"/>
      <c r="G681" s="25"/>
      <c r="H681" s="46"/>
      <c r="I681" s="52"/>
      <c r="J681" s="46"/>
      <c r="K681" s="52"/>
      <c r="L681" s="46"/>
      <c r="M681" s="52"/>
      <c r="N681" s="53"/>
      <c r="O681" s="25"/>
      <c r="P681" s="55"/>
      <c r="Q681" s="34"/>
      <c r="R681" s="54"/>
      <c r="S681" s="55"/>
      <c r="T681" s="25"/>
      <c r="U681" s="25"/>
      <c r="V681" s="24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</row>
    <row r="682">
      <c r="A682" s="25"/>
      <c r="B682" s="25"/>
      <c r="C682" s="25"/>
      <c r="D682" s="25"/>
      <c r="E682" s="25"/>
      <c r="F682" s="25"/>
      <c r="G682" s="25"/>
      <c r="H682" s="46"/>
      <c r="I682" s="52"/>
      <c r="J682" s="46"/>
      <c r="K682" s="52"/>
      <c r="L682" s="46"/>
      <c r="M682" s="52"/>
      <c r="N682" s="53"/>
      <c r="O682" s="25"/>
      <c r="P682" s="55"/>
      <c r="Q682" s="34"/>
      <c r="R682" s="54"/>
      <c r="S682" s="55"/>
      <c r="T682" s="25"/>
      <c r="U682" s="25"/>
      <c r="V682" s="24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</row>
    <row r="683">
      <c r="A683" s="25"/>
      <c r="B683" s="25"/>
      <c r="C683" s="25"/>
      <c r="D683" s="25"/>
      <c r="E683" s="25"/>
      <c r="F683" s="25"/>
      <c r="G683" s="25"/>
      <c r="H683" s="46"/>
      <c r="I683" s="52"/>
      <c r="J683" s="46"/>
      <c r="K683" s="52"/>
      <c r="L683" s="46"/>
      <c r="M683" s="52"/>
      <c r="N683" s="53"/>
      <c r="O683" s="25"/>
      <c r="P683" s="55"/>
      <c r="Q683" s="34"/>
      <c r="R683" s="54"/>
      <c r="S683" s="55"/>
      <c r="T683" s="25"/>
      <c r="U683" s="25"/>
      <c r="V683" s="24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</row>
    <row r="684">
      <c r="A684" s="25"/>
      <c r="B684" s="25"/>
      <c r="C684" s="25"/>
      <c r="D684" s="25"/>
      <c r="E684" s="25"/>
      <c r="F684" s="25"/>
      <c r="G684" s="25"/>
      <c r="H684" s="46"/>
      <c r="I684" s="52"/>
      <c r="J684" s="46"/>
      <c r="K684" s="52"/>
      <c r="L684" s="46"/>
      <c r="M684" s="52"/>
      <c r="N684" s="53"/>
      <c r="O684" s="25"/>
      <c r="P684" s="55"/>
      <c r="Q684" s="34"/>
      <c r="R684" s="54"/>
      <c r="S684" s="55"/>
      <c r="T684" s="25"/>
      <c r="U684" s="25"/>
      <c r="V684" s="24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</row>
    <row r="685">
      <c r="A685" s="25"/>
      <c r="B685" s="25"/>
      <c r="C685" s="25"/>
      <c r="D685" s="25"/>
      <c r="E685" s="25"/>
      <c r="F685" s="25"/>
      <c r="G685" s="25"/>
      <c r="H685" s="46"/>
      <c r="I685" s="52"/>
      <c r="J685" s="46"/>
      <c r="K685" s="52"/>
      <c r="L685" s="46"/>
      <c r="M685" s="52"/>
      <c r="N685" s="53"/>
      <c r="O685" s="25"/>
      <c r="P685" s="55"/>
      <c r="Q685" s="34"/>
      <c r="R685" s="54"/>
      <c r="S685" s="55"/>
      <c r="T685" s="25"/>
      <c r="U685" s="25"/>
      <c r="V685" s="24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</row>
    <row r="686">
      <c r="A686" s="25"/>
      <c r="B686" s="25"/>
      <c r="C686" s="25"/>
      <c r="D686" s="25"/>
      <c r="E686" s="25"/>
      <c r="F686" s="25"/>
      <c r="G686" s="25"/>
      <c r="H686" s="46"/>
      <c r="I686" s="52"/>
      <c r="J686" s="46"/>
      <c r="K686" s="52"/>
      <c r="L686" s="46"/>
      <c r="M686" s="52"/>
      <c r="N686" s="53"/>
      <c r="O686" s="25"/>
      <c r="P686" s="55"/>
      <c r="Q686" s="34"/>
      <c r="R686" s="54"/>
      <c r="S686" s="55"/>
      <c r="T686" s="25"/>
      <c r="U686" s="25"/>
      <c r="V686" s="24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</row>
    <row r="687">
      <c r="A687" s="25"/>
      <c r="B687" s="25"/>
      <c r="C687" s="25"/>
      <c r="D687" s="25"/>
      <c r="E687" s="25"/>
      <c r="F687" s="25"/>
      <c r="G687" s="25"/>
      <c r="H687" s="46"/>
      <c r="I687" s="52"/>
      <c r="J687" s="46"/>
      <c r="K687" s="52"/>
      <c r="L687" s="46"/>
      <c r="M687" s="52"/>
      <c r="N687" s="53"/>
      <c r="O687" s="25"/>
      <c r="P687" s="55"/>
      <c r="Q687" s="34"/>
      <c r="R687" s="54"/>
      <c r="S687" s="55"/>
      <c r="T687" s="25"/>
      <c r="U687" s="25"/>
      <c r="V687" s="24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</row>
    <row r="688">
      <c r="A688" s="25"/>
      <c r="B688" s="25"/>
      <c r="C688" s="25"/>
      <c r="D688" s="25"/>
      <c r="E688" s="25"/>
      <c r="F688" s="25"/>
      <c r="G688" s="25"/>
      <c r="H688" s="46"/>
      <c r="I688" s="52"/>
      <c r="J688" s="46"/>
      <c r="K688" s="52"/>
      <c r="L688" s="46"/>
      <c r="M688" s="52"/>
      <c r="N688" s="53"/>
      <c r="O688" s="25"/>
      <c r="P688" s="55"/>
      <c r="Q688" s="34"/>
      <c r="R688" s="54"/>
      <c r="S688" s="55"/>
      <c r="T688" s="25"/>
      <c r="U688" s="25"/>
      <c r="V688" s="24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</row>
    <row r="689">
      <c r="A689" s="25"/>
      <c r="B689" s="25"/>
      <c r="C689" s="25"/>
      <c r="D689" s="25"/>
      <c r="E689" s="25"/>
      <c r="F689" s="25"/>
      <c r="G689" s="25"/>
      <c r="H689" s="46"/>
      <c r="I689" s="52"/>
      <c r="J689" s="46"/>
      <c r="K689" s="52"/>
      <c r="L689" s="46"/>
      <c r="M689" s="52"/>
      <c r="N689" s="53"/>
      <c r="O689" s="25"/>
      <c r="P689" s="55"/>
      <c r="Q689" s="34"/>
      <c r="R689" s="54"/>
      <c r="S689" s="55"/>
      <c r="T689" s="25"/>
      <c r="U689" s="25"/>
      <c r="V689" s="24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</row>
    <row r="690">
      <c r="A690" s="25"/>
      <c r="B690" s="25"/>
      <c r="C690" s="25"/>
      <c r="D690" s="25"/>
      <c r="E690" s="25"/>
      <c r="F690" s="25"/>
      <c r="G690" s="25"/>
      <c r="H690" s="46"/>
      <c r="I690" s="52"/>
      <c r="J690" s="46"/>
      <c r="K690" s="52"/>
      <c r="L690" s="46"/>
      <c r="M690" s="52"/>
      <c r="N690" s="53"/>
      <c r="O690" s="25"/>
      <c r="P690" s="55"/>
      <c r="Q690" s="34"/>
      <c r="R690" s="54"/>
      <c r="S690" s="55"/>
      <c r="T690" s="25"/>
      <c r="U690" s="25"/>
      <c r="V690" s="24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</row>
    <row r="691">
      <c r="A691" s="25"/>
      <c r="B691" s="25"/>
      <c r="C691" s="25"/>
      <c r="D691" s="25"/>
      <c r="E691" s="25"/>
      <c r="F691" s="25"/>
      <c r="G691" s="25"/>
      <c r="H691" s="46"/>
      <c r="I691" s="52"/>
      <c r="J691" s="46"/>
      <c r="K691" s="52"/>
      <c r="L691" s="46"/>
      <c r="M691" s="52"/>
      <c r="N691" s="53"/>
      <c r="O691" s="25"/>
      <c r="P691" s="55"/>
      <c r="Q691" s="34"/>
      <c r="R691" s="54"/>
      <c r="S691" s="55"/>
      <c r="T691" s="25"/>
      <c r="U691" s="25"/>
      <c r="V691" s="24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</row>
    <row r="692">
      <c r="A692" s="25"/>
      <c r="B692" s="25"/>
      <c r="C692" s="25"/>
      <c r="D692" s="25"/>
      <c r="E692" s="25"/>
      <c r="F692" s="25"/>
      <c r="G692" s="25"/>
      <c r="H692" s="46"/>
      <c r="I692" s="52"/>
      <c r="J692" s="46"/>
      <c r="K692" s="52"/>
      <c r="L692" s="46"/>
      <c r="M692" s="52"/>
      <c r="N692" s="53"/>
      <c r="O692" s="25"/>
      <c r="P692" s="55"/>
      <c r="Q692" s="34"/>
      <c r="R692" s="54"/>
      <c r="S692" s="55"/>
      <c r="T692" s="25"/>
      <c r="U692" s="25"/>
      <c r="V692" s="24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</row>
    <row r="693">
      <c r="A693" s="25"/>
      <c r="B693" s="25"/>
      <c r="C693" s="25"/>
      <c r="D693" s="25"/>
      <c r="E693" s="25"/>
      <c r="F693" s="25"/>
      <c r="G693" s="25"/>
      <c r="H693" s="46"/>
      <c r="I693" s="52"/>
      <c r="J693" s="46"/>
      <c r="K693" s="52"/>
      <c r="L693" s="46"/>
      <c r="M693" s="52"/>
      <c r="N693" s="53"/>
      <c r="O693" s="25"/>
      <c r="P693" s="55"/>
      <c r="Q693" s="34"/>
      <c r="R693" s="54"/>
      <c r="S693" s="55"/>
      <c r="T693" s="25"/>
      <c r="U693" s="25"/>
      <c r="V693" s="24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</row>
    <row r="694">
      <c r="A694" s="25"/>
      <c r="B694" s="25"/>
      <c r="C694" s="25"/>
      <c r="D694" s="25"/>
      <c r="E694" s="25"/>
      <c r="F694" s="25"/>
      <c r="G694" s="25"/>
      <c r="H694" s="46"/>
      <c r="I694" s="52"/>
      <c r="J694" s="46"/>
      <c r="K694" s="52"/>
      <c r="L694" s="46"/>
      <c r="M694" s="52"/>
      <c r="N694" s="53"/>
      <c r="O694" s="25"/>
      <c r="P694" s="55"/>
      <c r="Q694" s="34"/>
      <c r="R694" s="54"/>
      <c r="S694" s="55"/>
      <c r="T694" s="25"/>
      <c r="U694" s="25"/>
      <c r="V694" s="24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</row>
    <row r="695">
      <c r="A695" s="25"/>
      <c r="B695" s="25"/>
      <c r="C695" s="25"/>
      <c r="D695" s="25"/>
      <c r="E695" s="25"/>
      <c r="F695" s="25"/>
      <c r="G695" s="25"/>
      <c r="H695" s="46"/>
      <c r="I695" s="52"/>
      <c r="J695" s="46"/>
      <c r="K695" s="52"/>
      <c r="L695" s="46"/>
      <c r="M695" s="52"/>
      <c r="N695" s="53"/>
      <c r="O695" s="25"/>
      <c r="P695" s="55"/>
      <c r="Q695" s="34"/>
      <c r="R695" s="54"/>
      <c r="S695" s="55"/>
      <c r="T695" s="25"/>
      <c r="U695" s="25"/>
      <c r="V695" s="24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</row>
    <row r="696">
      <c r="A696" s="25"/>
      <c r="B696" s="25"/>
      <c r="C696" s="25"/>
      <c r="D696" s="25"/>
      <c r="E696" s="25"/>
      <c r="F696" s="25"/>
      <c r="G696" s="25"/>
      <c r="H696" s="46"/>
      <c r="I696" s="52"/>
      <c r="J696" s="46"/>
      <c r="K696" s="52"/>
      <c r="L696" s="46"/>
      <c r="M696" s="52"/>
      <c r="N696" s="53"/>
      <c r="O696" s="25"/>
      <c r="P696" s="55"/>
      <c r="Q696" s="34"/>
      <c r="R696" s="54"/>
      <c r="S696" s="55"/>
      <c r="T696" s="25"/>
      <c r="U696" s="25"/>
      <c r="V696" s="24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</row>
    <row r="697">
      <c r="A697" s="25"/>
      <c r="B697" s="25"/>
      <c r="C697" s="25"/>
      <c r="D697" s="25"/>
      <c r="E697" s="25"/>
      <c r="F697" s="25"/>
      <c r="G697" s="25"/>
      <c r="H697" s="46"/>
      <c r="I697" s="52"/>
      <c r="J697" s="46"/>
      <c r="K697" s="52"/>
      <c r="L697" s="46"/>
      <c r="M697" s="52"/>
      <c r="N697" s="53"/>
      <c r="O697" s="25"/>
      <c r="P697" s="55"/>
      <c r="Q697" s="34"/>
      <c r="R697" s="54"/>
      <c r="S697" s="55"/>
      <c r="T697" s="25"/>
      <c r="U697" s="25"/>
      <c r="V697" s="24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</row>
    <row r="698">
      <c r="A698" s="25"/>
      <c r="B698" s="25"/>
      <c r="C698" s="25"/>
      <c r="D698" s="25"/>
      <c r="E698" s="25"/>
      <c r="F698" s="25"/>
      <c r="G698" s="25"/>
      <c r="H698" s="46"/>
      <c r="I698" s="52"/>
      <c r="J698" s="46"/>
      <c r="K698" s="52"/>
      <c r="L698" s="46"/>
      <c r="M698" s="52"/>
      <c r="N698" s="53"/>
      <c r="O698" s="25"/>
      <c r="P698" s="55"/>
      <c r="Q698" s="34"/>
      <c r="R698" s="54"/>
      <c r="S698" s="55"/>
      <c r="T698" s="25"/>
      <c r="U698" s="25"/>
      <c r="V698" s="24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</row>
    <row r="699">
      <c r="A699" s="25"/>
      <c r="B699" s="25"/>
      <c r="C699" s="25"/>
      <c r="D699" s="25"/>
      <c r="E699" s="25"/>
      <c r="F699" s="25"/>
      <c r="G699" s="25"/>
      <c r="H699" s="46"/>
      <c r="I699" s="52"/>
      <c r="J699" s="46"/>
      <c r="K699" s="52"/>
      <c r="L699" s="46"/>
      <c r="M699" s="52"/>
      <c r="N699" s="53"/>
      <c r="O699" s="25"/>
      <c r="P699" s="55"/>
      <c r="Q699" s="34"/>
      <c r="R699" s="54"/>
      <c r="S699" s="55"/>
      <c r="T699" s="25"/>
      <c r="U699" s="25"/>
      <c r="V699" s="24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</row>
    <row r="700">
      <c r="A700" s="25"/>
      <c r="B700" s="25"/>
      <c r="C700" s="25"/>
      <c r="D700" s="25"/>
      <c r="E700" s="25"/>
      <c r="F700" s="25"/>
      <c r="G700" s="25"/>
      <c r="H700" s="46"/>
      <c r="I700" s="52"/>
      <c r="J700" s="46"/>
      <c r="K700" s="52"/>
      <c r="L700" s="46"/>
      <c r="M700" s="52"/>
      <c r="N700" s="53"/>
      <c r="O700" s="25"/>
      <c r="P700" s="55"/>
      <c r="Q700" s="34"/>
      <c r="R700" s="54"/>
      <c r="S700" s="55"/>
      <c r="T700" s="25"/>
      <c r="U700" s="25"/>
      <c r="V700" s="24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</row>
    <row r="701">
      <c r="A701" s="25"/>
      <c r="B701" s="25"/>
      <c r="C701" s="25"/>
      <c r="D701" s="25"/>
      <c r="E701" s="25"/>
      <c r="F701" s="25"/>
      <c r="G701" s="25"/>
      <c r="H701" s="46"/>
      <c r="I701" s="52"/>
      <c r="J701" s="46"/>
      <c r="K701" s="52"/>
      <c r="L701" s="46"/>
      <c r="M701" s="52"/>
      <c r="N701" s="53"/>
      <c r="O701" s="25"/>
      <c r="P701" s="55"/>
      <c r="Q701" s="34"/>
      <c r="R701" s="54"/>
      <c r="S701" s="55"/>
      <c r="T701" s="25"/>
      <c r="U701" s="25"/>
      <c r="V701" s="24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</row>
    <row r="702">
      <c r="A702" s="25"/>
      <c r="B702" s="25"/>
      <c r="C702" s="25"/>
      <c r="D702" s="25"/>
      <c r="E702" s="25"/>
      <c r="F702" s="25"/>
      <c r="G702" s="25"/>
      <c r="H702" s="46"/>
      <c r="I702" s="52"/>
      <c r="J702" s="46"/>
      <c r="K702" s="52"/>
      <c r="L702" s="46"/>
      <c r="M702" s="52"/>
      <c r="N702" s="53"/>
      <c r="O702" s="25"/>
      <c r="P702" s="55"/>
      <c r="Q702" s="34"/>
      <c r="R702" s="54"/>
      <c r="S702" s="55"/>
      <c r="T702" s="25"/>
      <c r="U702" s="25"/>
      <c r="V702" s="24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</row>
    <row r="703">
      <c r="A703" s="25"/>
      <c r="B703" s="25"/>
      <c r="C703" s="25"/>
      <c r="D703" s="25"/>
      <c r="E703" s="25"/>
      <c r="F703" s="25"/>
      <c r="G703" s="25"/>
      <c r="H703" s="46"/>
      <c r="I703" s="52"/>
      <c r="J703" s="46"/>
      <c r="K703" s="52"/>
      <c r="L703" s="46"/>
      <c r="M703" s="52"/>
      <c r="N703" s="53"/>
      <c r="O703" s="25"/>
      <c r="P703" s="55"/>
      <c r="Q703" s="34"/>
      <c r="R703" s="54"/>
      <c r="S703" s="55"/>
      <c r="T703" s="25"/>
      <c r="U703" s="25"/>
      <c r="V703" s="24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</row>
    <row r="704">
      <c r="A704" s="25"/>
      <c r="B704" s="25"/>
      <c r="C704" s="25"/>
      <c r="D704" s="25"/>
      <c r="E704" s="25"/>
      <c r="F704" s="25"/>
      <c r="G704" s="25"/>
      <c r="H704" s="46"/>
      <c r="I704" s="52"/>
      <c r="J704" s="46"/>
      <c r="K704" s="52"/>
      <c r="L704" s="46"/>
      <c r="M704" s="52"/>
      <c r="N704" s="53"/>
      <c r="O704" s="25"/>
      <c r="P704" s="55"/>
      <c r="Q704" s="34"/>
      <c r="R704" s="54"/>
      <c r="S704" s="55"/>
      <c r="T704" s="25"/>
      <c r="U704" s="25"/>
      <c r="V704" s="24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</row>
    <row r="705">
      <c r="A705" s="25"/>
      <c r="B705" s="25"/>
      <c r="C705" s="25"/>
      <c r="D705" s="25"/>
      <c r="E705" s="25"/>
      <c r="F705" s="25"/>
      <c r="G705" s="25"/>
      <c r="H705" s="46"/>
      <c r="I705" s="52"/>
      <c r="J705" s="46"/>
      <c r="K705" s="52"/>
      <c r="L705" s="46"/>
      <c r="M705" s="52"/>
      <c r="N705" s="53"/>
      <c r="O705" s="25"/>
      <c r="P705" s="55"/>
      <c r="Q705" s="34"/>
      <c r="R705" s="54"/>
      <c r="S705" s="55"/>
      <c r="T705" s="25"/>
      <c r="U705" s="25"/>
      <c r="V705" s="24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</row>
    <row r="706">
      <c r="A706" s="25"/>
      <c r="B706" s="25"/>
      <c r="C706" s="25"/>
      <c r="D706" s="25"/>
      <c r="E706" s="25"/>
      <c r="F706" s="25"/>
      <c r="G706" s="25"/>
      <c r="H706" s="46"/>
      <c r="I706" s="52"/>
      <c r="J706" s="46"/>
      <c r="K706" s="52"/>
      <c r="L706" s="46"/>
      <c r="M706" s="52"/>
      <c r="N706" s="53"/>
      <c r="O706" s="25"/>
      <c r="P706" s="55"/>
      <c r="Q706" s="34"/>
      <c r="R706" s="54"/>
      <c r="S706" s="55"/>
      <c r="T706" s="25"/>
      <c r="U706" s="25"/>
      <c r="V706" s="24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</row>
    <row r="707">
      <c r="A707" s="25"/>
      <c r="B707" s="25"/>
      <c r="C707" s="25"/>
      <c r="D707" s="25"/>
      <c r="E707" s="25"/>
      <c r="F707" s="25"/>
      <c r="G707" s="25"/>
      <c r="H707" s="46"/>
      <c r="I707" s="52"/>
      <c r="J707" s="46"/>
      <c r="K707" s="52"/>
      <c r="L707" s="46"/>
      <c r="M707" s="52"/>
      <c r="N707" s="53"/>
      <c r="O707" s="25"/>
      <c r="P707" s="55"/>
      <c r="Q707" s="34"/>
      <c r="R707" s="54"/>
      <c r="S707" s="55"/>
      <c r="T707" s="25"/>
      <c r="U707" s="25"/>
      <c r="V707" s="24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</row>
    <row r="708">
      <c r="A708" s="25"/>
      <c r="B708" s="25"/>
      <c r="C708" s="25"/>
      <c r="D708" s="25"/>
      <c r="E708" s="25"/>
      <c r="F708" s="25"/>
      <c r="G708" s="25"/>
      <c r="H708" s="46"/>
      <c r="I708" s="52"/>
      <c r="J708" s="46"/>
      <c r="K708" s="52"/>
      <c r="L708" s="46"/>
      <c r="M708" s="52"/>
      <c r="N708" s="53"/>
      <c r="O708" s="25"/>
      <c r="P708" s="55"/>
      <c r="Q708" s="34"/>
      <c r="R708" s="54"/>
      <c r="S708" s="55"/>
      <c r="T708" s="25"/>
      <c r="U708" s="25"/>
      <c r="V708" s="24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</row>
    <row r="709">
      <c r="A709" s="25"/>
      <c r="B709" s="25"/>
      <c r="C709" s="25"/>
      <c r="D709" s="25"/>
      <c r="E709" s="25"/>
      <c r="F709" s="25"/>
      <c r="G709" s="25"/>
      <c r="H709" s="46"/>
      <c r="I709" s="52"/>
      <c r="J709" s="46"/>
      <c r="K709" s="52"/>
      <c r="L709" s="46"/>
      <c r="M709" s="52"/>
      <c r="N709" s="53"/>
      <c r="O709" s="25"/>
      <c r="P709" s="55"/>
      <c r="Q709" s="34"/>
      <c r="R709" s="54"/>
      <c r="S709" s="55"/>
      <c r="T709" s="25"/>
      <c r="U709" s="25"/>
      <c r="V709" s="24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</row>
    <row r="710">
      <c r="A710" s="25"/>
      <c r="B710" s="25"/>
      <c r="C710" s="25"/>
      <c r="D710" s="25"/>
      <c r="E710" s="25"/>
      <c r="F710" s="25"/>
      <c r="G710" s="25"/>
      <c r="H710" s="46"/>
      <c r="I710" s="52"/>
      <c r="J710" s="46"/>
      <c r="K710" s="52"/>
      <c r="L710" s="46"/>
      <c r="M710" s="52"/>
      <c r="N710" s="53"/>
      <c r="O710" s="25"/>
      <c r="P710" s="55"/>
      <c r="Q710" s="34"/>
      <c r="R710" s="54"/>
      <c r="S710" s="55"/>
      <c r="T710" s="25"/>
      <c r="U710" s="25"/>
      <c r="V710" s="24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</row>
    <row r="711">
      <c r="A711" s="25"/>
      <c r="B711" s="25"/>
      <c r="C711" s="25"/>
      <c r="D711" s="25"/>
      <c r="E711" s="25"/>
      <c r="F711" s="25"/>
      <c r="G711" s="25"/>
      <c r="H711" s="46"/>
      <c r="I711" s="52"/>
      <c r="J711" s="46"/>
      <c r="K711" s="52"/>
      <c r="L711" s="46"/>
      <c r="M711" s="52"/>
      <c r="N711" s="53"/>
      <c r="O711" s="25"/>
      <c r="P711" s="55"/>
      <c r="Q711" s="34"/>
      <c r="R711" s="54"/>
      <c r="S711" s="55"/>
      <c r="T711" s="25"/>
      <c r="U711" s="25"/>
      <c r="V711" s="24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</row>
    <row r="712">
      <c r="A712" s="25"/>
      <c r="B712" s="25"/>
      <c r="C712" s="25"/>
      <c r="D712" s="25"/>
      <c r="E712" s="25"/>
      <c r="F712" s="25"/>
      <c r="G712" s="25"/>
      <c r="H712" s="46"/>
      <c r="I712" s="52"/>
      <c r="J712" s="46"/>
      <c r="K712" s="52"/>
      <c r="L712" s="46"/>
      <c r="M712" s="52"/>
      <c r="N712" s="53"/>
      <c r="O712" s="25"/>
      <c r="P712" s="55"/>
      <c r="Q712" s="34"/>
      <c r="R712" s="54"/>
      <c r="S712" s="55"/>
      <c r="T712" s="25"/>
      <c r="U712" s="25"/>
      <c r="V712" s="24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</row>
    <row r="713">
      <c r="A713" s="25"/>
      <c r="B713" s="25"/>
      <c r="C713" s="25"/>
      <c r="D713" s="25"/>
      <c r="E713" s="25"/>
      <c r="F713" s="25"/>
      <c r="G713" s="25"/>
      <c r="H713" s="46"/>
      <c r="I713" s="52"/>
      <c r="J713" s="46"/>
      <c r="K713" s="52"/>
      <c r="L713" s="46"/>
      <c r="M713" s="52"/>
      <c r="N713" s="53"/>
      <c r="O713" s="25"/>
      <c r="P713" s="55"/>
      <c r="Q713" s="34"/>
      <c r="R713" s="54"/>
      <c r="S713" s="55"/>
      <c r="T713" s="25"/>
      <c r="U713" s="25"/>
      <c r="V713" s="24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</row>
    <row r="714">
      <c r="A714" s="25"/>
      <c r="B714" s="25"/>
      <c r="C714" s="25"/>
      <c r="D714" s="25"/>
      <c r="E714" s="25"/>
      <c r="F714" s="25"/>
      <c r="G714" s="25"/>
      <c r="H714" s="46"/>
      <c r="I714" s="52"/>
      <c r="J714" s="46"/>
      <c r="K714" s="52"/>
      <c r="L714" s="46"/>
      <c r="M714" s="52"/>
      <c r="N714" s="53"/>
      <c r="O714" s="25"/>
      <c r="P714" s="55"/>
      <c r="Q714" s="34"/>
      <c r="R714" s="54"/>
      <c r="S714" s="55"/>
      <c r="T714" s="25"/>
      <c r="U714" s="25"/>
      <c r="V714" s="24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</row>
    <row r="715">
      <c r="A715" s="25"/>
      <c r="B715" s="25"/>
      <c r="C715" s="25"/>
      <c r="D715" s="25"/>
      <c r="E715" s="25"/>
      <c r="F715" s="25"/>
      <c r="G715" s="25"/>
      <c r="H715" s="46"/>
      <c r="I715" s="52"/>
      <c r="J715" s="46"/>
      <c r="K715" s="52"/>
      <c r="L715" s="46"/>
      <c r="M715" s="52"/>
      <c r="N715" s="53"/>
      <c r="O715" s="25"/>
      <c r="P715" s="55"/>
      <c r="Q715" s="34"/>
      <c r="R715" s="54"/>
      <c r="S715" s="55"/>
      <c r="T715" s="25"/>
      <c r="U715" s="25"/>
      <c r="V715" s="24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</row>
    <row r="716">
      <c r="A716" s="25"/>
      <c r="B716" s="25"/>
      <c r="C716" s="25"/>
      <c r="D716" s="25"/>
      <c r="E716" s="25"/>
      <c r="F716" s="25"/>
      <c r="G716" s="25"/>
      <c r="H716" s="46"/>
      <c r="I716" s="52"/>
      <c r="J716" s="46"/>
      <c r="K716" s="52"/>
      <c r="L716" s="46"/>
      <c r="M716" s="52"/>
      <c r="N716" s="53"/>
      <c r="O716" s="25"/>
      <c r="P716" s="55"/>
      <c r="Q716" s="34"/>
      <c r="R716" s="54"/>
      <c r="S716" s="55"/>
      <c r="T716" s="25"/>
      <c r="U716" s="25"/>
      <c r="V716" s="24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</row>
    <row r="717">
      <c r="A717" s="25"/>
      <c r="B717" s="25"/>
      <c r="C717" s="25"/>
      <c r="D717" s="25"/>
      <c r="E717" s="25"/>
      <c r="F717" s="25"/>
      <c r="G717" s="25"/>
      <c r="H717" s="46"/>
      <c r="I717" s="52"/>
      <c r="J717" s="46"/>
      <c r="K717" s="52"/>
      <c r="L717" s="46"/>
      <c r="M717" s="52"/>
      <c r="N717" s="53"/>
      <c r="O717" s="25"/>
      <c r="P717" s="55"/>
      <c r="Q717" s="34"/>
      <c r="R717" s="54"/>
      <c r="S717" s="55"/>
      <c r="T717" s="25"/>
      <c r="U717" s="25"/>
      <c r="V717" s="24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</row>
    <row r="718">
      <c r="A718" s="25"/>
      <c r="B718" s="25"/>
      <c r="C718" s="25"/>
      <c r="D718" s="25"/>
      <c r="E718" s="25"/>
      <c r="F718" s="25"/>
      <c r="G718" s="25"/>
      <c r="H718" s="46"/>
      <c r="I718" s="52"/>
      <c r="J718" s="46"/>
      <c r="K718" s="52"/>
      <c r="L718" s="46"/>
      <c r="M718" s="52"/>
      <c r="N718" s="53"/>
      <c r="O718" s="25"/>
      <c r="P718" s="55"/>
      <c r="Q718" s="34"/>
      <c r="R718" s="54"/>
      <c r="S718" s="55"/>
      <c r="T718" s="25"/>
      <c r="U718" s="25"/>
      <c r="V718" s="24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</row>
    <row r="719">
      <c r="A719" s="25"/>
      <c r="B719" s="25"/>
      <c r="C719" s="25"/>
      <c r="D719" s="25"/>
      <c r="E719" s="25"/>
      <c r="F719" s="25"/>
      <c r="G719" s="25"/>
      <c r="H719" s="46"/>
      <c r="I719" s="52"/>
      <c r="J719" s="46"/>
      <c r="K719" s="52"/>
      <c r="L719" s="46"/>
      <c r="M719" s="52"/>
      <c r="N719" s="53"/>
      <c r="O719" s="25"/>
      <c r="P719" s="55"/>
      <c r="Q719" s="34"/>
      <c r="R719" s="54"/>
      <c r="S719" s="55"/>
      <c r="T719" s="25"/>
      <c r="U719" s="25"/>
      <c r="V719" s="24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</row>
    <row r="720">
      <c r="A720" s="25"/>
      <c r="B720" s="25"/>
      <c r="C720" s="25"/>
      <c r="D720" s="25"/>
      <c r="E720" s="25"/>
      <c r="F720" s="25"/>
      <c r="G720" s="25"/>
      <c r="H720" s="46"/>
      <c r="I720" s="52"/>
      <c r="J720" s="46"/>
      <c r="K720" s="52"/>
      <c r="L720" s="46"/>
      <c r="M720" s="52"/>
      <c r="N720" s="53"/>
      <c r="O720" s="25"/>
      <c r="P720" s="55"/>
      <c r="Q720" s="34"/>
      <c r="R720" s="54"/>
      <c r="S720" s="55"/>
      <c r="T720" s="25"/>
      <c r="U720" s="25"/>
      <c r="V720" s="24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</row>
    <row r="721">
      <c r="A721" s="25"/>
      <c r="B721" s="25"/>
      <c r="C721" s="25"/>
      <c r="D721" s="25"/>
      <c r="E721" s="25"/>
      <c r="F721" s="25"/>
      <c r="G721" s="25"/>
      <c r="H721" s="46"/>
      <c r="I721" s="52"/>
      <c r="J721" s="46"/>
      <c r="K721" s="52"/>
      <c r="L721" s="46"/>
      <c r="M721" s="52"/>
      <c r="N721" s="53"/>
      <c r="O721" s="25"/>
      <c r="P721" s="55"/>
      <c r="Q721" s="34"/>
      <c r="R721" s="54"/>
      <c r="S721" s="55"/>
      <c r="T721" s="25"/>
      <c r="U721" s="25"/>
      <c r="V721" s="24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</row>
    <row r="722">
      <c r="A722" s="25"/>
      <c r="B722" s="25"/>
      <c r="C722" s="25"/>
      <c r="D722" s="25"/>
      <c r="E722" s="25"/>
      <c r="F722" s="25"/>
      <c r="G722" s="25"/>
      <c r="H722" s="46"/>
      <c r="I722" s="52"/>
      <c r="J722" s="46"/>
      <c r="K722" s="52"/>
      <c r="L722" s="46"/>
      <c r="M722" s="52"/>
      <c r="N722" s="53"/>
      <c r="O722" s="25"/>
      <c r="P722" s="55"/>
      <c r="Q722" s="34"/>
      <c r="R722" s="54"/>
      <c r="S722" s="55"/>
      <c r="T722" s="25"/>
      <c r="U722" s="25"/>
      <c r="V722" s="24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</row>
    <row r="723">
      <c r="A723" s="25"/>
      <c r="B723" s="25"/>
      <c r="C723" s="25"/>
      <c r="D723" s="25"/>
      <c r="E723" s="25"/>
      <c r="F723" s="25"/>
      <c r="G723" s="25"/>
      <c r="H723" s="46"/>
      <c r="I723" s="52"/>
      <c r="J723" s="46"/>
      <c r="K723" s="52"/>
      <c r="L723" s="46"/>
      <c r="M723" s="52"/>
      <c r="N723" s="53"/>
      <c r="O723" s="25"/>
      <c r="P723" s="55"/>
      <c r="Q723" s="34"/>
      <c r="R723" s="54"/>
      <c r="S723" s="55"/>
      <c r="T723" s="25"/>
      <c r="U723" s="25"/>
      <c r="V723" s="24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</row>
    <row r="724">
      <c r="A724" s="25"/>
      <c r="B724" s="25"/>
      <c r="C724" s="25"/>
      <c r="D724" s="25"/>
      <c r="E724" s="25"/>
      <c r="F724" s="25"/>
      <c r="G724" s="25"/>
      <c r="H724" s="46"/>
      <c r="I724" s="52"/>
      <c r="J724" s="46"/>
      <c r="K724" s="52"/>
      <c r="L724" s="46"/>
      <c r="M724" s="52"/>
      <c r="N724" s="53"/>
      <c r="O724" s="25"/>
      <c r="P724" s="55"/>
      <c r="Q724" s="34"/>
      <c r="R724" s="54"/>
      <c r="S724" s="55"/>
      <c r="T724" s="25"/>
      <c r="U724" s="25"/>
      <c r="V724" s="24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</row>
    <row r="725">
      <c r="A725" s="25"/>
      <c r="B725" s="25"/>
      <c r="C725" s="25"/>
      <c r="D725" s="25"/>
      <c r="E725" s="25"/>
      <c r="F725" s="25"/>
      <c r="G725" s="25"/>
      <c r="H725" s="46"/>
      <c r="I725" s="52"/>
      <c r="J725" s="46"/>
      <c r="K725" s="52"/>
      <c r="L725" s="46"/>
      <c r="M725" s="52"/>
      <c r="N725" s="53"/>
      <c r="O725" s="25"/>
      <c r="P725" s="55"/>
      <c r="Q725" s="34"/>
      <c r="R725" s="54"/>
      <c r="S725" s="55"/>
      <c r="T725" s="25"/>
      <c r="U725" s="25"/>
      <c r="V725" s="24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</row>
    <row r="726">
      <c r="A726" s="25"/>
      <c r="B726" s="25"/>
      <c r="C726" s="25"/>
      <c r="D726" s="25"/>
      <c r="E726" s="25"/>
      <c r="F726" s="25"/>
      <c r="G726" s="25"/>
      <c r="H726" s="46"/>
      <c r="I726" s="52"/>
      <c r="J726" s="46"/>
      <c r="K726" s="52"/>
      <c r="L726" s="46"/>
      <c r="M726" s="52"/>
      <c r="N726" s="53"/>
      <c r="O726" s="25"/>
      <c r="P726" s="55"/>
      <c r="Q726" s="34"/>
      <c r="R726" s="54"/>
      <c r="S726" s="55"/>
      <c r="T726" s="25"/>
      <c r="U726" s="25"/>
      <c r="V726" s="24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</row>
    <row r="727">
      <c r="A727" s="25"/>
      <c r="B727" s="25"/>
      <c r="C727" s="25"/>
      <c r="D727" s="25"/>
      <c r="E727" s="25"/>
      <c r="F727" s="25"/>
      <c r="G727" s="25"/>
      <c r="H727" s="46"/>
      <c r="I727" s="52"/>
      <c r="J727" s="46"/>
      <c r="K727" s="52"/>
      <c r="L727" s="46"/>
      <c r="M727" s="52"/>
      <c r="N727" s="53"/>
      <c r="O727" s="25"/>
      <c r="P727" s="55"/>
      <c r="Q727" s="34"/>
      <c r="R727" s="54"/>
      <c r="S727" s="55"/>
      <c r="T727" s="25"/>
      <c r="U727" s="25"/>
      <c r="V727" s="24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</row>
    <row r="728">
      <c r="A728" s="25"/>
      <c r="B728" s="25"/>
      <c r="C728" s="25"/>
      <c r="D728" s="25"/>
      <c r="E728" s="25"/>
      <c r="F728" s="25"/>
      <c r="G728" s="25"/>
      <c r="H728" s="46"/>
      <c r="I728" s="52"/>
      <c r="J728" s="46"/>
      <c r="K728" s="52"/>
      <c r="L728" s="46"/>
      <c r="M728" s="52"/>
      <c r="N728" s="53"/>
      <c r="O728" s="25"/>
      <c r="P728" s="55"/>
      <c r="Q728" s="34"/>
      <c r="R728" s="54"/>
      <c r="S728" s="55"/>
      <c r="T728" s="25"/>
      <c r="U728" s="25"/>
      <c r="V728" s="24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</row>
    <row r="729">
      <c r="A729" s="25"/>
      <c r="B729" s="25"/>
      <c r="C729" s="25"/>
      <c r="D729" s="25"/>
      <c r="E729" s="25"/>
      <c r="F729" s="25"/>
      <c r="G729" s="25"/>
      <c r="H729" s="46"/>
      <c r="I729" s="52"/>
      <c r="J729" s="46"/>
      <c r="K729" s="52"/>
      <c r="L729" s="46"/>
      <c r="M729" s="52"/>
      <c r="N729" s="53"/>
      <c r="O729" s="25"/>
      <c r="P729" s="55"/>
      <c r="Q729" s="34"/>
      <c r="R729" s="54"/>
      <c r="S729" s="55"/>
      <c r="T729" s="25"/>
      <c r="U729" s="25"/>
      <c r="V729" s="24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</row>
    <row r="730">
      <c r="A730" s="25"/>
      <c r="B730" s="25"/>
      <c r="C730" s="25"/>
      <c r="D730" s="25"/>
      <c r="E730" s="25"/>
      <c r="F730" s="25"/>
      <c r="G730" s="25"/>
      <c r="H730" s="46"/>
      <c r="I730" s="52"/>
      <c r="J730" s="46"/>
      <c r="K730" s="52"/>
      <c r="L730" s="46"/>
      <c r="M730" s="52"/>
      <c r="N730" s="53"/>
      <c r="O730" s="25"/>
      <c r="P730" s="55"/>
      <c r="Q730" s="34"/>
      <c r="R730" s="54"/>
      <c r="S730" s="55"/>
      <c r="T730" s="25"/>
      <c r="U730" s="25"/>
      <c r="V730" s="24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</row>
    <row r="731">
      <c r="A731" s="25"/>
      <c r="B731" s="25"/>
      <c r="C731" s="25"/>
      <c r="D731" s="25"/>
      <c r="E731" s="25"/>
      <c r="F731" s="25"/>
      <c r="G731" s="25"/>
      <c r="H731" s="46"/>
      <c r="I731" s="52"/>
      <c r="J731" s="46"/>
      <c r="K731" s="52"/>
      <c r="L731" s="46"/>
      <c r="M731" s="52"/>
      <c r="N731" s="53"/>
      <c r="O731" s="25"/>
      <c r="P731" s="55"/>
      <c r="Q731" s="34"/>
      <c r="R731" s="54"/>
      <c r="S731" s="55"/>
      <c r="T731" s="25"/>
      <c r="U731" s="25"/>
      <c r="V731" s="24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</row>
    <row r="732">
      <c r="A732" s="25"/>
      <c r="B732" s="25"/>
      <c r="C732" s="25"/>
      <c r="D732" s="25"/>
      <c r="E732" s="25"/>
      <c r="F732" s="25"/>
      <c r="G732" s="25"/>
      <c r="H732" s="46"/>
      <c r="I732" s="52"/>
      <c r="J732" s="46"/>
      <c r="K732" s="52"/>
      <c r="L732" s="46"/>
      <c r="M732" s="52"/>
      <c r="N732" s="53"/>
      <c r="O732" s="25"/>
      <c r="P732" s="55"/>
      <c r="Q732" s="34"/>
      <c r="R732" s="54"/>
      <c r="S732" s="55"/>
      <c r="T732" s="25"/>
      <c r="U732" s="25"/>
      <c r="V732" s="24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</row>
    <row r="733">
      <c r="A733" s="25"/>
      <c r="B733" s="25"/>
      <c r="C733" s="25"/>
      <c r="D733" s="25"/>
      <c r="E733" s="25"/>
      <c r="F733" s="25"/>
      <c r="G733" s="25"/>
      <c r="H733" s="46"/>
      <c r="I733" s="52"/>
      <c r="J733" s="46"/>
      <c r="K733" s="52"/>
      <c r="L733" s="46"/>
      <c r="M733" s="52"/>
      <c r="N733" s="53"/>
      <c r="O733" s="25"/>
      <c r="P733" s="55"/>
      <c r="Q733" s="34"/>
      <c r="R733" s="54"/>
      <c r="S733" s="55"/>
      <c r="T733" s="25"/>
      <c r="U733" s="25"/>
      <c r="V733" s="24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</row>
    <row r="734">
      <c r="A734" s="25"/>
      <c r="B734" s="25"/>
      <c r="C734" s="25"/>
      <c r="D734" s="25"/>
      <c r="E734" s="25"/>
      <c r="F734" s="25"/>
      <c r="G734" s="25"/>
      <c r="H734" s="46"/>
      <c r="I734" s="52"/>
      <c r="J734" s="46"/>
      <c r="K734" s="52"/>
      <c r="L734" s="46"/>
      <c r="M734" s="52"/>
      <c r="N734" s="53"/>
      <c r="O734" s="25"/>
      <c r="P734" s="55"/>
      <c r="Q734" s="34"/>
      <c r="R734" s="54"/>
      <c r="S734" s="55"/>
      <c r="T734" s="25"/>
      <c r="U734" s="25"/>
      <c r="V734" s="24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</row>
    <row r="735">
      <c r="A735" s="25"/>
      <c r="B735" s="25"/>
      <c r="C735" s="25"/>
      <c r="D735" s="25"/>
      <c r="E735" s="25"/>
      <c r="F735" s="25"/>
      <c r="G735" s="25"/>
      <c r="H735" s="46"/>
      <c r="I735" s="52"/>
      <c r="J735" s="46"/>
      <c r="K735" s="52"/>
      <c r="L735" s="46"/>
      <c r="M735" s="52"/>
      <c r="N735" s="53"/>
      <c r="O735" s="25"/>
      <c r="P735" s="55"/>
      <c r="Q735" s="34"/>
      <c r="R735" s="54"/>
      <c r="S735" s="55"/>
      <c r="T735" s="25"/>
      <c r="U735" s="25"/>
      <c r="V735" s="24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</row>
    <row r="736">
      <c r="A736" s="25"/>
      <c r="B736" s="25"/>
      <c r="C736" s="25"/>
      <c r="D736" s="25"/>
      <c r="E736" s="25"/>
      <c r="F736" s="25"/>
      <c r="G736" s="25"/>
      <c r="H736" s="46"/>
      <c r="I736" s="52"/>
      <c r="J736" s="46"/>
      <c r="K736" s="52"/>
      <c r="L736" s="46"/>
      <c r="M736" s="52"/>
      <c r="N736" s="53"/>
      <c r="O736" s="25"/>
      <c r="P736" s="55"/>
      <c r="Q736" s="34"/>
      <c r="R736" s="54"/>
      <c r="S736" s="55"/>
      <c r="T736" s="25"/>
      <c r="U736" s="25"/>
      <c r="V736" s="24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</row>
    <row r="737">
      <c r="A737" s="25"/>
      <c r="B737" s="25"/>
      <c r="C737" s="25"/>
      <c r="D737" s="25"/>
      <c r="E737" s="25"/>
      <c r="F737" s="25"/>
      <c r="G737" s="25"/>
      <c r="H737" s="46"/>
      <c r="I737" s="52"/>
      <c r="J737" s="46"/>
      <c r="K737" s="52"/>
      <c r="L737" s="46"/>
      <c r="M737" s="52"/>
      <c r="N737" s="53"/>
      <c r="O737" s="25"/>
      <c r="P737" s="55"/>
      <c r="Q737" s="34"/>
      <c r="R737" s="54"/>
      <c r="S737" s="55"/>
      <c r="T737" s="25"/>
      <c r="U737" s="25"/>
      <c r="V737" s="24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</row>
    <row r="738">
      <c r="A738" s="25"/>
      <c r="B738" s="25"/>
      <c r="C738" s="25"/>
      <c r="D738" s="25"/>
      <c r="E738" s="25"/>
      <c r="F738" s="25"/>
      <c r="G738" s="25"/>
      <c r="H738" s="46"/>
      <c r="I738" s="52"/>
      <c r="J738" s="46"/>
      <c r="K738" s="52"/>
      <c r="L738" s="46"/>
      <c r="M738" s="52"/>
      <c r="N738" s="53"/>
      <c r="O738" s="25"/>
      <c r="P738" s="55"/>
      <c r="Q738" s="34"/>
      <c r="R738" s="54"/>
      <c r="S738" s="55"/>
      <c r="T738" s="25"/>
      <c r="U738" s="25"/>
      <c r="V738" s="24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</row>
    <row r="739">
      <c r="A739" s="25"/>
      <c r="B739" s="25"/>
      <c r="C739" s="25"/>
      <c r="D739" s="25"/>
      <c r="E739" s="25"/>
      <c r="F739" s="25"/>
      <c r="G739" s="25"/>
      <c r="H739" s="46"/>
      <c r="I739" s="52"/>
      <c r="J739" s="46"/>
      <c r="K739" s="52"/>
      <c r="L739" s="46"/>
      <c r="M739" s="52"/>
      <c r="N739" s="53"/>
      <c r="O739" s="25"/>
      <c r="P739" s="55"/>
      <c r="Q739" s="34"/>
      <c r="R739" s="54"/>
      <c r="S739" s="55"/>
      <c r="T739" s="25"/>
      <c r="U739" s="25"/>
      <c r="V739" s="24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</row>
    <row r="740">
      <c r="A740" s="25"/>
      <c r="B740" s="25"/>
      <c r="C740" s="25"/>
      <c r="D740" s="25"/>
      <c r="E740" s="25"/>
      <c r="F740" s="25"/>
      <c r="G740" s="25"/>
      <c r="H740" s="46"/>
      <c r="I740" s="52"/>
      <c r="J740" s="46"/>
      <c r="K740" s="52"/>
      <c r="L740" s="46"/>
      <c r="M740" s="52"/>
      <c r="N740" s="53"/>
      <c r="O740" s="25"/>
      <c r="P740" s="55"/>
      <c r="Q740" s="34"/>
      <c r="R740" s="54"/>
      <c r="S740" s="55"/>
      <c r="T740" s="25"/>
      <c r="U740" s="25"/>
      <c r="V740" s="24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</row>
    <row r="741">
      <c r="A741" s="25"/>
      <c r="B741" s="25"/>
      <c r="C741" s="25"/>
      <c r="D741" s="25"/>
      <c r="E741" s="25"/>
      <c r="F741" s="25"/>
      <c r="G741" s="25"/>
      <c r="H741" s="46"/>
      <c r="I741" s="52"/>
      <c r="J741" s="46"/>
      <c r="K741" s="52"/>
      <c r="L741" s="46"/>
      <c r="M741" s="52"/>
      <c r="N741" s="53"/>
      <c r="O741" s="25"/>
      <c r="P741" s="55"/>
      <c r="Q741" s="34"/>
      <c r="R741" s="54"/>
      <c r="S741" s="55"/>
      <c r="T741" s="25"/>
      <c r="U741" s="25"/>
      <c r="V741" s="24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</row>
    <row r="742">
      <c r="A742" s="25"/>
      <c r="B742" s="25"/>
      <c r="C742" s="25"/>
      <c r="D742" s="25"/>
      <c r="E742" s="25"/>
      <c r="F742" s="25"/>
      <c r="G742" s="25"/>
      <c r="H742" s="46"/>
      <c r="I742" s="52"/>
      <c r="J742" s="46"/>
      <c r="K742" s="52"/>
      <c r="L742" s="46"/>
      <c r="M742" s="52"/>
      <c r="N742" s="53"/>
      <c r="O742" s="25"/>
      <c r="P742" s="55"/>
      <c r="Q742" s="34"/>
      <c r="R742" s="54"/>
      <c r="S742" s="55"/>
      <c r="T742" s="25"/>
      <c r="U742" s="25"/>
      <c r="V742" s="24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</row>
    <row r="743">
      <c r="A743" s="25"/>
      <c r="B743" s="25"/>
      <c r="C743" s="25"/>
      <c r="D743" s="25"/>
      <c r="E743" s="25"/>
      <c r="F743" s="25"/>
      <c r="G743" s="25"/>
      <c r="H743" s="46"/>
      <c r="I743" s="52"/>
      <c r="J743" s="46"/>
      <c r="K743" s="52"/>
      <c r="L743" s="46"/>
      <c r="M743" s="52"/>
      <c r="N743" s="53"/>
      <c r="O743" s="25"/>
      <c r="P743" s="55"/>
      <c r="Q743" s="34"/>
      <c r="R743" s="54"/>
      <c r="S743" s="55"/>
      <c r="T743" s="25"/>
      <c r="U743" s="25"/>
      <c r="V743" s="24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</row>
    <row r="744">
      <c r="A744" s="25"/>
      <c r="B744" s="25"/>
      <c r="C744" s="25"/>
      <c r="D744" s="25"/>
      <c r="E744" s="25"/>
      <c r="F744" s="25"/>
      <c r="G744" s="25"/>
      <c r="H744" s="46"/>
      <c r="I744" s="52"/>
      <c r="J744" s="46"/>
      <c r="K744" s="52"/>
      <c r="L744" s="46"/>
      <c r="M744" s="52"/>
      <c r="N744" s="53"/>
      <c r="O744" s="25"/>
      <c r="P744" s="55"/>
      <c r="Q744" s="34"/>
      <c r="R744" s="54"/>
      <c r="S744" s="55"/>
      <c r="T744" s="25"/>
      <c r="U744" s="25"/>
      <c r="V744" s="24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</row>
    <row r="745">
      <c r="A745" s="25"/>
      <c r="B745" s="25"/>
      <c r="C745" s="25"/>
      <c r="D745" s="25"/>
      <c r="E745" s="25"/>
      <c r="F745" s="25"/>
      <c r="G745" s="25"/>
      <c r="H745" s="46"/>
      <c r="I745" s="52"/>
      <c r="J745" s="46"/>
      <c r="K745" s="52"/>
      <c r="L745" s="46"/>
      <c r="M745" s="52"/>
      <c r="N745" s="53"/>
      <c r="O745" s="25"/>
      <c r="P745" s="55"/>
      <c r="Q745" s="34"/>
      <c r="R745" s="54"/>
      <c r="S745" s="55"/>
      <c r="T745" s="25"/>
      <c r="U745" s="25"/>
      <c r="V745" s="24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</row>
    <row r="746">
      <c r="A746" s="25"/>
      <c r="B746" s="25"/>
      <c r="C746" s="25"/>
      <c r="D746" s="25"/>
      <c r="E746" s="25"/>
      <c r="F746" s="25"/>
      <c r="G746" s="25"/>
      <c r="H746" s="46"/>
      <c r="I746" s="52"/>
      <c r="J746" s="46"/>
      <c r="K746" s="52"/>
      <c r="L746" s="46"/>
      <c r="M746" s="52"/>
      <c r="N746" s="53"/>
      <c r="O746" s="25"/>
      <c r="P746" s="55"/>
      <c r="Q746" s="34"/>
      <c r="R746" s="54"/>
      <c r="S746" s="55"/>
      <c r="T746" s="25"/>
      <c r="U746" s="25"/>
      <c r="V746" s="24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</row>
    <row r="747">
      <c r="A747" s="25"/>
      <c r="B747" s="25"/>
      <c r="C747" s="25"/>
      <c r="D747" s="25"/>
      <c r="E747" s="25"/>
      <c r="F747" s="25"/>
      <c r="G747" s="25"/>
      <c r="H747" s="46"/>
      <c r="I747" s="52"/>
      <c r="J747" s="46"/>
      <c r="K747" s="52"/>
      <c r="L747" s="46"/>
      <c r="M747" s="52"/>
      <c r="N747" s="53"/>
      <c r="O747" s="25"/>
      <c r="P747" s="55"/>
      <c r="Q747" s="34"/>
      <c r="R747" s="54"/>
      <c r="S747" s="55"/>
      <c r="T747" s="25"/>
      <c r="U747" s="25"/>
      <c r="V747" s="24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</row>
    <row r="748">
      <c r="A748" s="25"/>
      <c r="B748" s="25"/>
      <c r="C748" s="25"/>
      <c r="D748" s="25"/>
      <c r="E748" s="25"/>
      <c r="F748" s="25"/>
      <c r="G748" s="25"/>
      <c r="H748" s="46"/>
      <c r="I748" s="52"/>
      <c r="J748" s="46"/>
      <c r="K748" s="52"/>
      <c r="L748" s="46"/>
      <c r="M748" s="52"/>
      <c r="N748" s="53"/>
      <c r="O748" s="25"/>
      <c r="P748" s="55"/>
      <c r="Q748" s="34"/>
      <c r="R748" s="54"/>
      <c r="S748" s="55"/>
      <c r="T748" s="25"/>
      <c r="U748" s="25"/>
      <c r="V748" s="24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</row>
    <row r="749">
      <c r="A749" s="25"/>
      <c r="B749" s="25"/>
      <c r="C749" s="25"/>
      <c r="D749" s="25"/>
      <c r="E749" s="25"/>
      <c r="F749" s="25"/>
      <c r="G749" s="25"/>
      <c r="H749" s="46"/>
      <c r="I749" s="52"/>
      <c r="J749" s="46"/>
      <c r="K749" s="52"/>
      <c r="L749" s="46"/>
      <c r="M749" s="52"/>
      <c r="N749" s="53"/>
      <c r="O749" s="25"/>
      <c r="P749" s="55"/>
      <c r="Q749" s="34"/>
      <c r="R749" s="54"/>
      <c r="S749" s="55"/>
      <c r="T749" s="25"/>
      <c r="U749" s="25"/>
      <c r="V749" s="24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</row>
    <row r="750">
      <c r="A750" s="25"/>
      <c r="B750" s="25"/>
      <c r="C750" s="25"/>
      <c r="D750" s="25"/>
      <c r="E750" s="25"/>
      <c r="F750" s="25"/>
      <c r="G750" s="25"/>
      <c r="H750" s="46"/>
      <c r="I750" s="52"/>
      <c r="J750" s="46"/>
      <c r="K750" s="52"/>
      <c r="L750" s="46"/>
      <c r="M750" s="52"/>
      <c r="N750" s="53"/>
      <c r="O750" s="25"/>
      <c r="P750" s="55"/>
      <c r="Q750" s="34"/>
      <c r="R750" s="54"/>
      <c r="S750" s="55"/>
      <c r="T750" s="25"/>
      <c r="U750" s="25"/>
      <c r="V750" s="24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</row>
    <row r="751">
      <c r="A751" s="25"/>
      <c r="B751" s="25"/>
      <c r="C751" s="25"/>
      <c r="D751" s="25"/>
      <c r="E751" s="25"/>
      <c r="F751" s="25"/>
      <c r="G751" s="25"/>
      <c r="H751" s="46"/>
      <c r="I751" s="52"/>
      <c r="J751" s="46"/>
      <c r="K751" s="52"/>
      <c r="L751" s="46"/>
      <c r="M751" s="52"/>
      <c r="N751" s="53"/>
      <c r="O751" s="25"/>
      <c r="P751" s="55"/>
      <c r="Q751" s="34"/>
      <c r="R751" s="54"/>
      <c r="S751" s="55"/>
      <c r="T751" s="25"/>
      <c r="U751" s="25"/>
      <c r="V751" s="24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</row>
    <row r="752">
      <c r="A752" s="25"/>
      <c r="B752" s="25"/>
      <c r="C752" s="25"/>
      <c r="D752" s="25"/>
      <c r="E752" s="25"/>
      <c r="F752" s="25"/>
      <c r="G752" s="25"/>
      <c r="H752" s="46"/>
      <c r="I752" s="52"/>
      <c r="J752" s="46"/>
      <c r="K752" s="52"/>
      <c r="L752" s="46"/>
      <c r="M752" s="52"/>
      <c r="N752" s="53"/>
      <c r="O752" s="25"/>
      <c r="P752" s="55"/>
      <c r="Q752" s="34"/>
      <c r="R752" s="54"/>
      <c r="S752" s="55"/>
      <c r="T752" s="25"/>
      <c r="U752" s="25"/>
      <c r="V752" s="24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</row>
    <row r="753">
      <c r="A753" s="25"/>
      <c r="B753" s="25"/>
      <c r="C753" s="25"/>
      <c r="D753" s="25"/>
      <c r="E753" s="25"/>
      <c r="F753" s="25"/>
      <c r="G753" s="25"/>
      <c r="H753" s="46"/>
      <c r="I753" s="52"/>
      <c r="J753" s="46"/>
      <c r="K753" s="52"/>
      <c r="L753" s="46"/>
      <c r="M753" s="52"/>
      <c r="N753" s="53"/>
      <c r="O753" s="25"/>
      <c r="P753" s="55"/>
      <c r="Q753" s="34"/>
      <c r="R753" s="54"/>
      <c r="S753" s="55"/>
      <c r="T753" s="25"/>
      <c r="U753" s="25"/>
      <c r="V753" s="24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</row>
    <row r="754">
      <c r="A754" s="25"/>
      <c r="B754" s="25"/>
      <c r="C754" s="25"/>
      <c r="D754" s="25"/>
      <c r="E754" s="25"/>
      <c r="F754" s="25"/>
      <c r="G754" s="25"/>
      <c r="H754" s="46"/>
      <c r="I754" s="52"/>
      <c r="J754" s="46"/>
      <c r="K754" s="52"/>
      <c r="L754" s="46"/>
      <c r="M754" s="52"/>
      <c r="N754" s="53"/>
      <c r="O754" s="25"/>
      <c r="P754" s="55"/>
      <c r="Q754" s="34"/>
      <c r="R754" s="54"/>
      <c r="S754" s="55"/>
      <c r="T754" s="25"/>
      <c r="U754" s="25"/>
      <c r="V754" s="24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</row>
    <row r="755">
      <c r="A755" s="25"/>
      <c r="B755" s="25"/>
      <c r="C755" s="25"/>
      <c r="D755" s="25"/>
      <c r="E755" s="25"/>
      <c r="F755" s="25"/>
      <c r="G755" s="25"/>
      <c r="H755" s="46"/>
      <c r="I755" s="52"/>
      <c r="J755" s="46"/>
      <c r="K755" s="52"/>
      <c r="L755" s="46"/>
      <c r="M755" s="52"/>
      <c r="N755" s="53"/>
      <c r="O755" s="25"/>
      <c r="P755" s="55"/>
      <c r="Q755" s="34"/>
      <c r="R755" s="54"/>
      <c r="S755" s="55"/>
      <c r="T755" s="25"/>
      <c r="U755" s="25"/>
      <c r="V755" s="24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</row>
    <row r="756">
      <c r="A756" s="25"/>
      <c r="B756" s="25"/>
      <c r="C756" s="25"/>
      <c r="D756" s="25"/>
      <c r="E756" s="25"/>
      <c r="F756" s="25"/>
      <c r="G756" s="25"/>
      <c r="H756" s="46"/>
      <c r="I756" s="52"/>
      <c r="J756" s="46"/>
      <c r="K756" s="52"/>
      <c r="L756" s="46"/>
      <c r="M756" s="52"/>
      <c r="N756" s="53"/>
      <c r="O756" s="25"/>
      <c r="P756" s="55"/>
      <c r="Q756" s="34"/>
      <c r="R756" s="54"/>
      <c r="S756" s="55"/>
      <c r="T756" s="25"/>
      <c r="U756" s="25"/>
      <c r="V756" s="24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</row>
    <row r="757">
      <c r="A757" s="25"/>
      <c r="B757" s="25"/>
      <c r="C757" s="25"/>
      <c r="D757" s="25"/>
      <c r="E757" s="25"/>
      <c r="F757" s="25"/>
      <c r="G757" s="25"/>
      <c r="H757" s="46"/>
      <c r="I757" s="52"/>
      <c r="J757" s="46"/>
      <c r="K757" s="52"/>
      <c r="L757" s="46"/>
      <c r="M757" s="52"/>
      <c r="N757" s="53"/>
      <c r="O757" s="25"/>
      <c r="P757" s="55"/>
      <c r="Q757" s="34"/>
      <c r="R757" s="54"/>
      <c r="S757" s="55"/>
      <c r="T757" s="25"/>
      <c r="U757" s="25"/>
      <c r="V757" s="24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</row>
    <row r="758">
      <c r="A758" s="25"/>
      <c r="B758" s="25"/>
      <c r="C758" s="25"/>
      <c r="D758" s="25"/>
      <c r="E758" s="25"/>
      <c r="F758" s="25"/>
      <c r="G758" s="25"/>
      <c r="H758" s="46"/>
      <c r="I758" s="52"/>
      <c r="J758" s="46"/>
      <c r="K758" s="52"/>
      <c r="L758" s="46"/>
      <c r="M758" s="52"/>
      <c r="N758" s="53"/>
      <c r="O758" s="25"/>
      <c r="P758" s="55"/>
      <c r="Q758" s="34"/>
      <c r="R758" s="54"/>
      <c r="S758" s="55"/>
      <c r="T758" s="25"/>
      <c r="U758" s="25"/>
      <c r="V758" s="24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</row>
    <row r="759">
      <c r="A759" s="25"/>
      <c r="B759" s="25"/>
      <c r="C759" s="25"/>
      <c r="D759" s="25"/>
      <c r="E759" s="25"/>
      <c r="F759" s="25"/>
      <c r="G759" s="25"/>
      <c r="H759" s="46"/>
      <c r="I759" s="52"/>
      <c r="J759" s="46"/>
      <c r="K759" s="52"/>
      <c r="L759" s="46"/>
      <c r="M759" s="52"/>
      <c r="N759" s="53"/>
      <c r="O759" s="25"/>
      <c r="P759" s="55"/>
      <c r="Q759" s="34"/>
      <c r="R759" s="54"/>
      <c r="S759" s="55"/>
      <c r="T759" s="25"/>
      <c r="U759" s="25"/>
      <c r="V759" s="24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</row>
    <row r="760">
      <c r="A760" s="25"/>
      <c r="B760" s="25"/>
      <c r="C760" s="25"/>
      <c r="D760" s="25"/>
      <c r="E760" s="25"/>
      <c r="F760" s="25"/>
      <c r="G760" s="25"/>
      <c r="H760" s="46"/>
      <c r="I760" s="52"/>
      <c r="J760" s="46"/>
      <c r="K760" s="52"/>
      <c r="L760" s="46"/>
      <c r="M760" s="52"/>
      <c r="N760" s="53"/>
      <c r="O760" s="25"/>
      <c r="P760" s="55"/>
      <c r="Q760" s="34"/>
      <c r="R760" s="54"/>
      <c r="S760" s="55"/>
      <c r="T760" s="25"/>
      <c r="U760" s="25"/>
      <c r="V760" s="24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</row>
    <row r="761">
      <c r="A761" s="25"/>
      <c r="B761" s="25"/>
      <c r="C761" s="25"/>
      <c r="D761" s="25"/>
      <c r="E761" s="25"/>
      <c r="F761" s="25"/>
      <c r="G761" s="25"/>
      <c r="H761" s="46"/>
      <c r="I761" s="52"/>
      <c r="J761" s="46"/>
      <c r="K761" s="52"/>
      <c r="L761" s="46"/>
      <c r="M761" s="52"/>
      <c r="N761" s="53"/>
      <c r="O761" s="25"/>
      <c r="P761" s="55"/>
      <c r="Q761" s="34"/>
      <c r="R761" s="54"/>
      <c r="S761" s="55"/>
      <c r="T761" s="25"/>
      <c r="U761" s="25"/>
      <c r="V761" s="24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</row>
    <row r="762">
      <c r="A762" s="25"/>
      <c r="B762" s="25"/>
      <c r="C762" s="25"/>
      <c r="D762" s="25"/>
      <c r="E762" s="25"/>
      <c r="F762" s="25"/>
      <c r="G762" s="25"/>
      <c r="H762" s="46"/>
      <c r="I762" s="52"/>
      <c r="J762" s="46"/>
      <c r="K762" s="52"/>
      <c r="L762" s="46"/>
      <c r="M762" s="52"/>
      <c r="N762" s="53"/>
      <c r="O762" s="25"/>
      <c r="P762" s="55"/>
      <c r="Q762" s="34"/>
      <c r="R762" s="54"/>
      <c r="S762" s="55"/>
      <c r="T762" s="25"/>
      <c r="U762" s="25"/>
      <c r="V762" s="24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</row>
    <row r="763">
      <c r="A763" s="25"/>
      <c r="B763" s="25"/>
      <c r="C763" s="25"/>
      <c r="D763" s="25"/>
      <c r="E763" s="25"/>
      <c r="F763" s="25"/>
      <c r="G763" s="25"/>
      <c r="H763" s="46"/>
      <c r="I763" s="52"/>
      <c r="J763" s="46"/>
      <c r="K763" s="52"/>
      <c r="L763" s="46"/>
      <c r="M763" s="52"/>
      <c r="N763" s="53"/>
      <c r="O763" s="25"/>
      <c r="P763" s="55"/>
      <c r="Q763" s="34"/>
      <c r="R763" s="54"/>
      <c r="S763" s="55"/>
      <c r="T763" s="25"/>
      <c r="U763" s="25"/>
      <c r="V763" s="24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</row>
    <row r="764">
      <c r="A764" s="25"/>
      <c r="B764" s="25"/>
      <c r="C764" s="25"/>
      <c r="D764" s="25"/>
      <c r="E764" s="25"/>
      <c r="F764" s="25"/>
      <c r="G764" s="25"/>
      <c r="H764" s="46"/>
      <c r="I764" s="52"/>
      <c r="J764" s="46"/>
      <c r="K764" s="52"/>
      <c r="L764" s="46"/>
      <c r="M764" s="52"/>
      <c r="N764" s="53"/>
      <c r="O764" s="25"/>
      <c r="P764" s="55"/>
      <c r="Q764" s="34"/>
      <c r="R764" s="54"/>
      <c r="S764" s="55"/>
      <c r="T764" s="25"/>
      <c r="U764" s="25"/>
      <c r="V764" s="24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</row>
    <row r="765">
      <c r="A765" s="25"/>
      <c r="B765" s="25"/>
      <c r="C765" s="25"/>
      <c r="D765" s="25"/>
      <c r="E765" s="25"/>
      <c r="F765" s="25"/>
      <c r="G765" s="25"/>
      <c r="H765" s="46"/>
      <c r="I765" s="52"/>
      <c r="J765" s="46"/>
      <c r="K765" s="52"/>
      <c r="L765" s="46"/>
      <c r="M765" s="52"/>
      <c r="N765" s="53"/>
      <c r="O765" s="25"/>
      <c r="P765" s="55"/>
      <c r="Q765" s="34"/>
      <c r="R765" s="54"/>
      <c r="S765" s="55"/>
      <c r="T765" s="25"/>
      <c r="U765" s="25"/>
      <c r="V765" s="24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</row>
    <row r="766">
      <c r="A766" s="25"/>
      <c r="B766" s="25"/>
      <c r="C766" s="25"/>
      <c r="D766" s="25"/>
      <c r="E766" s="25"/>
      <c r="F766" s="25"/>
      <c r="G766" s="25"/>
      <c r="H766" s="46"/>
      <c r="I766" s="52"/>
      <c r="J766" s="46"/>
      <c r="K766" s="52"/>
      <c r="L766" s="46"/>
      <c r="M766" s="52"/>
      <c r="N766" s="53"/>
      <c r="O766" s="25"/>
      <c r="P766" s="55"/>
      <c r="Q766" s="34"/>
      <c r="R766" s="54"/>
      <c r="S766" s="55"/>
      <c r="T766" s="25"/>
      <c r="U766" s="25"/>
      <c r="V766" s="24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</row>
    <row r="767">
      <c r="A767" s="25"/>
      <c r="B767" s="25"/>
      <c r="C767" s="25"/>
      <c r="D767" s="25"/>
      <c r="E767" s="25"/>
      <c r="F767" s="25"/>
      <c r="G767" s="25"/>
      <c r="H767" s="46"/>
      <c r="I767" s="52"/>
      <c r="J767" s="46"/>
      <c r="K767" s="52"/>
      <c r="L767" s="46"/>
      <c r="M767" s="52"/>
      <c r="N767" s="53"/>
      <c r="O767" s="25"/>
      <c r="P767" s="55"/>
      <c r="Q767" s="34"/>
      <c r="R767" s="54"/>
      <c r="S767" s="55"/>
      <c r="T767" s="25"/>
      <c r="U767" s="25"/>
      <c r="V767" s="24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</row>
    <row r="768">
      <c r="A768" s="25"/>
      <c r="B768" s="25"/>
      <c r="C768" s="25"/>
      <c r="D768" s="25"/>
      <c r="E768" s="25"/>
      <c r="F768" s="25"/>
      <c r="G768" s="25"/>
      <c r="H768" s="46"/>
      <c r="I768" s="52"/>
      <c r="J768" s="46"/>
      <c r="K768" s="52"/>
      <c r="L768" s="46"/>
      <c r="M768" s="52"/>
      <c r="N768" s="53"/>
      <c r="O768" s="25"/>
      <c r="P768" s="55"/>
      <c r="Q768" s="34"/>
      <c r="R768" s="54"/>
      <c r="S768" s="55"/>
      <c r="T768" s="25"/>
      <c r="U768" s="25"/>
      <c r="V768" s="24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</row>
    <row r="769">
      <c r="A769" s="25"/>
      <c r="B769" s="25"/>
      <c r="C769" s="25"/>
      <c r="D769" s="25"/>
      <c r="E769" s="25"/>
      <c r="F769" s="25"/>
      <c r="G769" s="25"/>
      <c r="H769" s="46"/>
      <c r="I769" s="52"/>
      <c r="J769" s="46"/>
      <c r="K769" s="52"/>
      <c r="L769" s="46"/>
      <c r="M769" s="52"/>
      <c r="N769" s="53"/>
      <c r="O769" s="25"/>
      <c r="P769" s="55"/>
      <c r="Q769" s="34"/>
      <c r="R769" s="54"/>
      <c r="S769" s="55"/>
      <c r="T769" s="25"/>
      <c r="U769" s="25"/>
      <c r="V769" s="24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</row>
    <row r="770">
      <c r="A770" s="25"/>
      <c r="B770" s="25"/>
      <c r="C770" s="25"/>
      <c r="D770" s="25"/>
      <c r="E770" s="25"/>
      <c r="F770" s="25"/>
      <c r="G770" s="25"/>
      <c r="H770" s="46"/>
      <c r="I770" s="52"/>
      <c r="J770" s="46"/>
      <c r="K770" s="52"/>
      <c r="L770" s="46"/>
      <c r="M770" s="52"/>
      <c r="N770" s="53"/>
      <c r="O770" s="25"/>
      <c r="P770" s="55"/>
      <c r="Q770" s="34"/>
      <c r="R770" s="54"/>
      <c r="S770" s="55"/>
      <c r="T770" s="25"/>
      <c r="U770" s="25"/>
      <c r="V770" s="24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</row>
    <row r="771">
      <c r="A771" s="25"/>
      <c r="B771" s="25"/>
      <c r="C771" s="25"/>
      <c r="D771" s="25"/>
      <c r="E771" s="25"/>
      <c r="F771" s="25"/>
      <c r="G771" s="25"/>
      <c r="H771" s="46"/>
      <c r="I771" s="52"/>
      <c r="J771" s="46"/>
      <c r="K771" s="52"/>
      <c r="L771" s="46"/>
      <c r="M771" s="52"/>
      <c r="N771" s="53"/>
      <c r="O771" s="25"/>
      <c r="P771" s="55"/>
      <c r="Q771" s="34"/>
      <c r="R771" s="54"/>
      <c r="S771" s="55"/>
      <c r="T771" s="25"/>
      <c r="U771" s="25"/>
      <c r="V771" s="24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</row>
    <row r="772">
      <c r="A772" s="25"/>
      <c r="B772" s="25"/>
      <c r="C772" s="25"/>
      <c r="D772" s="25"/>
      <c r="E772" s="25"/>
      <c r="F772" s="25"/>
      <c r="G772" s="25"/>
      <c r="H772" s="46"/>
      <c r="I772" s="52"/>
      <c r="J772" s="46"/>
      <c r="K772" s="52"/>
      <c r="L772" s="46"/>
      <c r="M772" s="52"/>
      <c r="N772" s="53"/>
      <c r="O772" s="25"/>
      <c r="P772" s="55"/>
      <c r="Q772" s="34"/>
      <c r="R772" s="54"/>
      <c r="S772" s="55"/>
      <c r="T772" s="25"/>
      <c r="U772" s="25"/>
      <c r="V772" s="24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</row>
    <row r="773">
      <c r="A773" s="25"/>
      <c r="B773" s="25"/>
      <c r="C773" s="25"/>
      <c r="D773" s="25"/>
      <c r="E773" s="25"/>
      <c r="F773" s="25"/>
      <c r="G773" s="25"/>
      <c r="H773" s="46"/>
      <c r="I773" s="52"/>
      <c r="J773" s="46"/>
      <c r="K773" s="52"/>
      <c r="L773" s="46"/>
      <c r="M773" s="52"/>
      <c r="N773" s="53"/>
      <c r="O773" s="25"/>
      <c r="P773" s="55"/>
      <c r="Q773" s="34"/>
      <c r="R773" s="54"/>
      <c r="S773" s="55"/>
      <c r="T773" s="25"/>
      <c r="U773" s="25"/>
      <c r="V773" s="24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</row>
    <row r="774">
      <c r="A774" s="25"/>
      <c r="B774" s="25"/>
      <c r="C774" s="25"/>
      <c r="D774" s="25"/>
      <c r="E774" s="25"/>
      <c r="F774" s="25"/>
      <c r="G774" s="25"/>
      <c r="H774" s="46"/>
      <c r="I774" s="52"/>
      <c r="J774" s="46"/>
      <c r="K774" s="52"/>
      <c r="L774" s="46"/>
      <c r="M774" s="52"/>
      <c r="N774" s="53"/>
      <c r="O774" s="25"/>
      <c r="P774" s="55"/>
      <c r="Q774" s="34"/>
      <c r="R774" s="54"/>
      <c r="S774" s="55"/>
      <c r="T774" s="25"/>
      <c r="U774" s="25"/>
      <c r="V774" s="24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</row>
    <row r="775">
      <c r="A775" s="25"/>
      <c r="B775" s="25"/>
      <c r="C775" s="25"/>
      <c r="D775" s="25"/>
      <c r="E775" s="25"/>
      <c r="F775" s="25"/>
      <c r="G775" s="25"/>
      <c r="H775" s="46"/>
      <c r="I775" s="52"/>
      <c r="J775" s="46"/>
      <c r="K775" s="52"/>
      <c r="L775" s="46"/>
      <c r="M775" s="52"/>
      <c r="N775" s="53"/>
      <c r="O775" s="25"/>
      <c r="P775" s="55"/>
      <c r="Q775" s="34"/>
      <c r="R775" s="54"/>
      <c r="S775" s="55"/>
      <c r="T775" s="25"/>
      <c r="U775" s="25"/>
      <c r="V775" s="24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</row>
    <row r="776">
      <c r="A776" s="25"/>
      <c r="B776" s="25"/>
      <c r="C776" s="25"/>
      <c r="D776" s="25"/>
      <c r="E776" s="25"/>
      <c r="F776" s="25"/>
      <c r="G776" s="25"/>
      <c r="H776" s="46"/>
      <c r="I776" s="52"/>
      <c r="J776" s="46"/>
      <c r="K776" s="52"/>
      <c r="L776" s="46"/>
      <c r="M776" s="52"/>
      <c r="N776" s="53"/>
      <c r="O776" s="25"/>
      <c r="P776" s="55"/>
      <c r="Q776" s="34"/>
      <c r="R776" s="54"/>
      <c r="S776" s="55"/>
      <c r="T776" s="25"/>
      <c r="U776" s="25"/>
      <c r="V776" s="24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</row>
    <row r="777">
      <c r="A777" s="25"/>
      <c r="B777" s="25"/>
      <c r="C777" s="25"/>
      <c r="D777" s="25"/>
      <c r="E777" s="25"/>
      <c r="F777" s="25"/>
      <c r="G777" s="25"/>
      <c r="H777" s="46"/>
      <c r="I777" s="52"/>
      <c r="J777" s="46"/>
      <c r="K777" s="52"/>
      <c r="L777" s="46"/>
      <c r="M777" s="52"/>
      <c r="N777" s="53"/>
      <c r="O777" s="25"/>
      <c r="P777" s="55"/>
      <c r="Q777" s="34"/>
      <c r="R777" s="54"/>
      <c r="S777" s="55"/>
      <c r="T777" s="25"/>
      <c r="U777" s="25"/>
      <c r="V777" s="24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</row>
    <row r="778">
      <c r="A778" s="25"/>
      <c r="B778" s="25"/>
      <c r="C778" s="25"/>
      <c r="D778" s="25"/>
      <c r="E778" s="25"/>
      <c r="F778" s="25"/>
      <c r="G778" s="25"/>
      <c r="H778" s="46"/>
      <c r="I778" s="52"/>
      <c r="J778" s="46"/>
      <c r="K778" s="52"/>
      <c r="L778" s="46"/>
      <c r="M778" s="52"/>
      <c r="N778" s="53"/>
      <c r="O778" s="25"/>
      <c r="P778" s="55"/>
      <c r="Q778" s="34"/>
      <c r="R778" s="54"/>
      <c r="S778" s="55"/>
      <c r="T778" s="25"/>
      <c r="U778" s="25"/>
      <c r="V778" s="24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</row>
    <row r="779">
      <c r="A779" s="25"/>
      <c r="B779" s="25"/>
      <c r="C779" s="25"/>
      <c r="D779" s="25"/>
      <c r="E779" s="25"/>
      <c r="F779" s="25"/>
      <c r="G779" s="25"/>
      <c r="H779" s="46"/>
      <c r="I779" s="52"/>
      <c r="J779" s="46"/>
      <c r="K779" s="52"/>
      <c r="L779" s="46"/>
      <c r="M779" s="52"/>
      <c r="N779" s="53"/>
      <c r="O779" s="25"/>
      <c r="P779" s="55"/>
      <c r="Q779" s="34"/>
      <c r="R779" s="54"/>
      <c r="S779" s="55"/>
      <c r="T779" s="25"/>
      <c r="U779" s="25"/>
      <c r="V779" s="24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</row>
    <row r="780">
      <c r="A780" s="25"/>
      <c r="B780" s="25"/>
      <c r="C780" s="25"/>
      <c r="D780" s="25"/>
      <c r="E780" s="25"/>
      <c r="F780" s="25"/>
      <c r="G780" s="25"/>
      <c r="H780" s="46"/>
      <c r="I780" s="52"/>
      <c r="J780" s="46"/>
      <c r="K780" s="52"/>
      <c r="L780" s="46"/>
      <c r="M780" s="52"/>
      <c r="N780" s="53"/>
      <c r="O780" s="25"/>
      <c r="P780" s="55"/>
      <c r="Q780" s="34"/>
      <c r="R780" s="54"/>
      <c r="S780" s="55"/>
      <c r="T780" s="25"/>
      <c r="U780" s="25"/>
      <c r="V780" s="24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</row>
    <row r="781">
      <c r="A781" s="25"/>
      <c r="B781" s="25"/>
      <c r="C781" s="25"/>
      <c r="D781" s="25"/>
      <c r="E781" s="25"/>
      <c r="F781" s="25"/>
      <c r="G781" s="25"/>
      <c r="H781" s="46"/>
      <c r="I781" s="52"/>
      <c r="J781" s="46"/>
      <c r="K781" s="52"/>
      <c r="L781" s="46"/>
      <c r="M781" s="52"/>
      <c r="N781" s="53"/>
      <c r="O781" s="25"/>
      <c r="P781" s="55"/>
      <c r="Q781" s="34"/>
      <c r="R781" s="54"/>
      <c r="S781" s="55"/>
      <c r="T781" s="25"/>
      <c r="U781" s="25"/>
      <c r="V781" s="24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</row>
    <row r="782">
      <c r="A782" s="25"/>
      <c r="B782" s="25"/>
      <c r="C782" s="25"/>
      <c r="D782" s="25"/>
      <c r="E782" s="25"/>
      <c r="F782" s="25"/>
      <c r="G782" s="25"/>
      <c r="H782" s="46"/>
      <c r="I782" s="52"/>
      <c r="J782" s="46"/>
      <c r="K782" s="52"/>
      <c r="L782" s="46"/>
      <c r="M782" s="52"/>
      <c r="N782" s="53"/>
      <c r="O782" s="25"/>
      <c r="P782" s="55"/>
      <c r="Q782" s="34"/>
      <c r="R782" s="54"/>
      <c r="S782" s="55"/>
      <c r="T782" s="25"/>
      <c r="U782" s="25"/>
      <c r="V782" s="24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</row>
    <row r="783">
      <c r="A783" s="25"/>
      <c r="B783" s="25"/>
      <c r="C783" s="25"/>
      <c r="D783" s="25"/>
      <c r="E783" s="25"/>
      <c r="F783" s="25"/>
      <c r="G783" s="25"/>
      <c r="H783" s="46"/>
      <c r="I783" s="52"/>
      <c r="J783" s="46"/>
      <c r="K783" s="52"/>
      <c r="L783" s="46"/>
      <c r="M783" s="52"/>
      <c r="N783" s="53"/>
      <c r="O783" s="25"/>
      <c r="P783" s="55"/>
      <c r="Q783" s="34"/>
      <c r="R783" s="54"/>
      <c r="S783" s="55"/>
      <c r="T783" s="25"/>
      <c r="U783" s="25"/>
      <c r="V783" s="24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</row>
    <row r="784">
      <c r="A784" s="25"/>
      <c r="B784" s="25"/>
      <c r="C784" s="25"/>
      <c r="D784" s="25"/>
      <c r="E784" s="25"/>
      <c r="F784" s="25"/>
      <c r="G784" s="25"/>
      <c r="H784" s="46"/>
      <c r="I784" s="52"/>
      <c r="J784" s="46"/>
      <c r="K784" s="52"/>
      <c r="L784" s="46"/>
      <c r="M784" s="52"/>
      <c r="N784" s="53"/>
      <c r="O784" s="25"/>
      <c r="P784" s="55"/>
      <c r="Q784" s="34"/>
      <c r="R784" s="54"/>
      <c r="S784" s="55"/>
      <c r="T784" s="25"/>
      <c r="U784" s="25"/>
      <c r="V784" s="24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</row>
    <row r="785">
      <c r="A785" s="25"/>
      <c r="B785" s="25"/>
      <c r="C785" s="25"/>
      <c r="D785" s="25"/>
      <c r="E785" s="25"/>
      <c r="F785" s="25"/>
      <c r="G785" s="25"/>
      <c r="H785" s="46"/>
      <c r="I785" s="52"/>
      <c r="J785" s="46"/>
      <c r="K785" s="52"/>
      <c r="L785" s="46"/>
      <c r="M785" s="52"/>
      <c r="N785" s="53"/>
      <c r="O785" s="25"/>
      <c r="P785" s="55"/>
      <c r="Q785" s="34"/>
      <c r="R785" s="54"/>
      <c r="S785" s="55"/>
      <c r="T785" s="25"/>
      <c r="U785" s="25"/>
      <c r="V785" s="24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</row>
    <row r="786">
      <c r="A786" s="25"/>
      <c r="B786" s="25"/>
      <c r="C786" s="25"/>
      <c r="D786" s="25"/>
      <c r="E786" s="25"/>
      <c r="F786" s="25"/>
      <c r="G786" s="25"/>
      <c r="H786" s="46"/>
      <c r="I786" s="52"/>
      <c r="J786" s="46"/>
      <c r="K786" s="52"/>
      <c r="L786" s="46"/>
      <c r="M786" s="52"/>
      <c r="N786" s="53"/>
      <c r="O786" s="25"/>
      <c r="P786" s="55"/>
      <c r="Q786" s="34"/>
      <c r="R786" s="54"/>
      <c r="S786" s="55"/>
      <c r="T786" s="25"/>
      <c r="U786" s="25"/>
      <c r="V786" s="24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</row>
    <row r="787">
      <c r="A787" s="25"/>
      <c r="B787" s="25"/>
      <c r="C787" s="25"/>
      <c r="D787" s="25"/>
      <c r="E787" s="25"/>
      <c r="F787" s="25"/>
      <c r="G787" s="25"/>
      <c r="H787" s="46"/>
      <c r="I787" s="52"/>
      <c r="J787" s="46"/>
      <c r="K787" s="52"/>
      <c r="L787" s="46"/>
      <c r="M787" s="52"/>
      <c r="N787" s="53"/>
      <c r="O787" s="25"/>
      <c r="P787" s="55"/>
      <c r="Q787" s="34"/>
      <c r="R787" s="54"/>
      <c r="S787" s="55"/>
      <c r="T787" s="25"/>
      <c r="U787" s="25"/>
      <c r="V787" s="24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</row>
    <row r="788">
      <c r="A788" s="25"/>
      <c r="B788" s="25"/>
      <c r="C788" s="25"/>
      <c r="D788" s="25"/>
      <c r="E788" s="25"/>
      <c r="F788" s="25"/>
      <c r="G788" s="25"/>
      <c r="H788" s="46"/>
      <c r="I788" s="52"/>
      <c r="J788" s="46"/>
      <c r="K788" s="52"/>
      <c r="L788" s="46"/>
      <c r="M788" s="52"/>
      <c r="N788" s="53"/>
      <c r="O788" s="25"/>
      <c r="P788" s="55"/>
      <c r="Q788" s="34"/>
      <c r="R788" s="54"/>
      <c r="S788" s="55"/>
      <c r="T788" s="25"/>
      <c r="U788" s="25"/>
      <c r="V788" s="24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</row>
    <row r="789">
      <c r="A789" s="25"/>
      <c r="B789" s="25"/>
      <c r="C789" s="25"/>
      <c r="D789" s="25"/>
      <c r="E789" s="25"/>
      <c r="F789" s="25"/>
      <c r="G789" s="25"/>
      <c r="H789" s="46"/>
      <c r="I789" s="52"/>
      <c r="J789" s="46"/>
      <c r="K789" s="52"/>
      <c r="L789" s="46"/>
      <c r="M789" s="52"/>
      <c r="N789" s="53"/>
      <c r="O789" s="25"/>
      <c r="P789" s="55"/>
      <c r="Q789" s="34"/>
      <c r="R789" s="54"/>
      <c r="S789" s="55"/>
      <c r="T789" s="25"/>
      <c r="U789" s="25"/>
      <c r="V789" s="24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</row>
    <row r="790">
      <c r="A790" s="25"/>
      <c r="B790" s="25"/>
      <c r="C790" s="25"/>
      <c r="D790" s="25"/>
      <c r="E790" s="25"/>
      <c r="F790" s="25"/>
      <c r="G790" s="25"/>
      <c r="H790" s="46"/>
      <c r="I790" s="52"/>
      <c r="J790" s="46"/>
      <c r="K790" s="52"/>
      <c r="L790" s="46"/>
      <c r="M790" s="52"/>
      <c r="N790" s="53"/>
      <c r="O790" s="25"/>
      <c r="P790" s="55"/>
      <c r="Q790" s="34"/>
      <c r="R790" s="54"/>
      <c r="S790" s="55"/>
      <c r="T790" s="25"/>
      <c r="U790" s="25"/>
      <c r="V790" s="24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</row>
    <row r="791">
      <c r="A791" s="25"/>
      <c r="B791" s="25"/>
      <c r="C791" s="25"/>
      <c r="D791" s="25"/>
      <c r="E791" s="25"/>
      <c r="F791" s="25"/>
      <c r="G791" s="25"/>
      <c r="H791" s="46"/>
      <c r="I791" s="52"/>
      <c r="J791" s="46"/>
      <c r="K791" s="52"/>
      <c r="L791" s="46"/>
      <c r="M791" s="52"/>
      <c r="N791" s="53"/>
      <c r="O791" s="25"/>
      <c r="P791" s="55"/>
      <c r="Q791" s="34"/>
      <c r="R791" s="54"/>
      <c r="S791" s="55"/>
      <c r="T791" s="25"/>
      <c r="U791" s="25"/>
      <c r="V791" s="24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</row>
    <row r="792">
      <c r="A792" s="25"/>
      <c r="B792" s="25"/>
      <c r="C792" s="25"/>
      <c r="D792" s="25"/>
      <c r="E792" s="25"/>
      <c r="F792" s="25"/>
      <c r="G792" s="25"/>
      <c r="H792" s="46"/>
      <c r="I792" s="52"/>
      <c r="J792" s="46"/>
      <c r="K792" s="52"/>
      <c r="L792" s="46"/>
      <c r="M792" s="52"/>
      <c r="N792" s="53"/>
      <c r="O792" s="25"/>
      <c r="P792" s="55"/>
      <c r="Q792" s="34"/>
      <c r="R792" s="54"/>
      <c r="S792" s="55"/>
      <c r="T792" s="25"/>
      <c r="U792" s="25"/>
      <c r="V792" s="24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</row>
    <row r="793">
      <c r="A793" s="25"/>
      <c r="B793" s="25"/>
      <c r="C793" s="25"/>
      <c r="D793" s="25"/>
      <c r="E793" s="25"/>
      <c r="F793" s="25"/>
      <c r="G793" s="25"/>
      <c r="H793" s="46"/>
      <c r="I793" s="52"/>
      <c r="J793" s="46"/>
      <c r="K793" s="52"/>
      <c r="L793" s="46"/>
      <c r="M793" s="52"/>
      <c r="N793" s="53"/>
      <c r="O793" s="25"/>
      <c r="P793" s="55"/>
      <c r="Q793" s="34"/>
      <c r="R793" s="54"/>
      <c r="S793" s="55"/>
      <c r="T793" s="25"/>
      <c r="U793" s="25"/>
      <c r="V793" s="24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</row>
    <row r="794">
      <c r="A794" s="25"/>
      <c r="B794" s="25"/>
      <c r="C794" s="25"/>
      <c r="D794" s="25"/>
      <c r="E794" s="25"/>
      <c r="F794" s="25"/>
      <c r="G794" s="25"/>
      <c r="H794" s="46"/>
      <c r="I794" s="52"/>
      <c r="J794" s="46"/>
      <c r="K794" s="52"/>
      <c r="L794" s="46"/>
      <c r="M794" s="52"/>
      <c r="N794" s="53"/>
      <c r="O794" s="25"/>
      <c r="P794" s="55"/>
      <c r="Q794" s="34"/>
      <c r="R794" s="54"/>
      <c r="S794" s="55"/>
      <c r="T794" s="25"/>
      <c r="U794" s="25"/>
      <c r="V794" s="24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</row>
    <row r="795">
      <c r="A795" s="25"/>
      <c r="B795" s="25"/>
      <c r="C795" s="25"/>
      <c r="D795" s="25"/>
      <c r="E795" s="25"/>
      <c r="F795" s="25"/>
      <c r="G795" s="25"/>
      <c r="H795" s="46"/>
      <c r="I795" s="52"/>
      <c r="J795" s="46"/>
      <c r="K795" s="52"/>
      <c r="L795" s="46"/>
      <c r="M795" s="52"/>
      <c r="N795" s="53"/>
      <c r="O795" s="25"/>
      <c r="P795" s="55"/>
      <c r="Q795" s="34"/>
      <c r="R795" s="54"/>
      <c r="S795" s="55"/>
      <c r="T795" s="25"/>
      <c r="U795" s="25"/>
      <c r="V795" s="24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</row>
    <row r="796">
      <c r="A796" s="25"/>
      <c r="B796" s="25"/>
      <c r="C796" s="25"/>
      <c r="D796" s="25"/>
      <c r="E796" s="25"/>
      <c r="F796" s="25"/>
      <c r="G796" s="25"/>
      <c r="H796" s="46"/>
      <c r="I796" s="52"/>
      <c r="J796" s="46"/>
      <c r="K796" s="52"/>
      <c r="L796" s="46"/>
      <c r="M796" s="52"/>
      <c r="N796" s="53"/>
      <c r="O796" s="25"/>
      <c r="P796" s="55"/>
      <c r="Q796" s="34"/>
      <c r="R796" s="54"/>
      <c r="S796" s="55"/>
      <c r="T796" s="25"/>
      <c r="U796" s="25"/>
      <c r="V796" s="24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</row>
    <row r="797">
      <c r="A797" s="25"/>
      <c r="B797" s="25"/>
      <c r="C797" s="25"/>
      <c r="D797" s="25"/>
      <c r="E797" s="25"/>
      <c r="F797" s="25"/>
      <c r="G797" s="25"/>
      <c r="H797" s="46"/>
      <c r="I797" s="52"/>
      <c r="J797" s="46"/>
      <c r="K797" s="52"/>
      <c r="L797" s="46"/>
      <c r="M797" s="52"/>
      <c r="N797" s="53"/>
      <c r="O797" s="25"/>
      <c r="P797" s="55"/>
      <c r="Q797" s="34"/>
      <c r="R797" s="54"/>
      <c r="S797" s="55"/>
      <c r="T797" s="25"/>
      <c r="U797" s="25"/>
      <c r="V797" s="24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</row>
    <row r="798">
      <c r="A798" s="25"/>
      <c r="B798" s="25"/>
      <c r="C798" s="25"/>
      <c r="D798" s="25"/>
      <c r="E798" s="25"/>
      <c r="F798" s="25"/>
      <c r="G798" s="25"/>
      <c r="H798" s="46"/>
      <c r="I798" s="52"/>
      <c r="J798" s="46"/>
      <c r="K798" s="52"/>
      <c r="L798" s="46"/>
      <c r="M798" s="52"/>
      <c r="N798" s="53"/>
      <c r="O798" s="25"/>
      <c r="P798" s="55"/>
      <c r="Q798" s="34"/>
      <c r="R798" s="54"/>
      <c r="S798" s="55"/>
      <c r="T798" s="25"/>
      <c r="U798" s="25"/>
      <c r="V798" s="24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</row>
    <row r="799">
      <c r="A799" s="25"/>
      <c r="B799" s="25"/>
      <c r="C799" s="25"/>
      <c r="D799" s="25"/>
      <c r="E799" s="25"/>
      <c r="F799" s="25"/>
      <c r="G799" s="25"/>
      <c r="H799" s="46"/>
      <c r="I799" s="52"/>
      <c r="J799" s="46"/>
      <c r="K799" s="52"/>
      <c r="L799" s="46"/>
      <c r="M799" s="52"/>
      <c r="N799" s="53"/>
      <c r="O799" s="25"/>
      <c r="P799" s="55"/>
      <c r="Q799" s="34"/>
      <c r="R799" s="54"/>
      <c r="S799" s="55"/>
      <c r="T799" s="25"/>
      <c r="U799" s="25"/>
      <c r="V799" s="24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</row>
    <row r="800">
      <c r="A800" s="25"/>
      <c r="B800" s="25"/>
      <c r="C800" s="25"/>
      <c r="D800" s="25"/>
      <c r="E800" s="25"/>
      <c r="F800" s="25"/>
      <c r="G800" s="25"/>
      <c r="H800" s="46"/>
      <c r="I800" s="52"/>
      <c r="J800" s="46"/>
      <c r="K800" s="52"/>
      <c r="L800" s="46"/>
      <c r="M800" s="52"/>
      <c r="N800" s="53"/>
      <c r="O800" s="25"/>
      <c r="P800" s="55"/>
      <c r="Q800" s="34"/>
      <c r="R800" s="54"/>
      <c r="S800" s="55"/>
      <c r="T800" s="25"/>
      <c r="U800" s="25"/>
      <c r="V800" s="24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</row>
    <row r="801">
      <c r="A801" s="25"/>
      <c r="B801" s="25"/>
      <c r="C801" s="25"/>
      <c r="D801" s="25"/>
      <c r="E801" s="25"/>
      <c r="F801" s="25"/>
      <c r="G801" s="25"/>
      <c r="H801" s="46"/>
      <c r="I801" s="52"/>
      <c r="J801" s="46"/>
      <c r="K801" s="52"/>
      <c r="L801" s="46"/>
      <c r="M801" s="52"/>
      <c r="N801" s="53"/>
      <c r="O801" s="25"/>
      <c r="P801" s="55"/>
      <c r="Q801" s="34"/>
      <c r="R801" s="54"/>
      <c r="S801" s="55"/>
      <c r="T801" s="25"/>
      <c r="U801" s="25"/>
      <c r="V801" s="24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</row>
    <row r="802">
      <c r="A802" s="25"/>
      <c r="B802" s="25"/>
      <c r="C802" s="25"/>
      <c r="D802" s="25"/>
      <c r="E802" s="25"/>
      <c r="F802" s="25"/>
      <c r="G802" s="25"/>
      <c r="H802" s="46"/>
      <c r="I802" s="52"/>
      <c r="J802" s="46"/>
      <c r="K802" s="52"/>
      <c r="L802" s="46"/>
      <c r="M802" s="52"/>
      <c r="N802" s="53"/>
      <c r="O802" s="25"/>
      <c r="P802" s="55"/>
      <c r="Q802" s="34"/>
      <c r="R802" s="54"/>
      <c r="S802" s="55"/>
      <c r="T802" s="25"/>
      <c r="U802" s="25"/>
      <c r="V802" s="24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</row>
    <row r="803">
      <c r="A803" s="25"/>
      <c r="B803" s="25"/>
      <c r="C803" s="25"/>
      <c r="D803" s="25"/>
      <c r="E803" s="25"/>
      <c r="F803" s="25"/>
      <c r="G803" s="25"/>
      <c r="H803" s="46"/>
      <c r="I803" s="52"/>
      <c r="J803" s="46"/>
      <c r="K803" s="52"/>
      <c r="L803" s="46"/>
      <c r="M803" s="52"/>
      <c r="N803" s="53"/>
      <c r="O803" s="25"/>
      <c r="P803" s="55"/>
      <c r="Q803" s="34"/>
      <c r="R803" s="54"/>
      <c r="S803" s="55"/>
      <c r="T803" s="25"/>
      <c r="U803" s="25"/>
      <c r="V803" s="24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</row>
    <row r="804">
      <c r="A804" s="25"/>
      <c r="B804" s="25"/>
      <c r="C804" s="25"/>
      <c r="D804" s="25"/>
      <c r="E804" s="25"/>
      <c r="F804" s="25"/>
      <c r="G804" s="25"/>
      <c r="H804" s="46"/>
      <c r="I804" s="52"/>
      <c r="J804" s="46"/>
      <c r="K804" s="52"/>
      <c r="L804" s="46"/>
      <c r="M804" s="52"/>
      <c r="N804" s="53"/>
      <c r="O804" s="25"/>
      <c r="P804" s="55"/>
      <c r="Q804" s="34"/>
      <c r="R804" s="54"/>
      <c r="S804" s="55"/>
      <c r="T804" s="25"/>
      <c r="U804" s="25"/>
      <c r="V804" s="24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</row>
    <row r="805">
      <c r="A805" s="25"/>
      <c r="B805" s="25"/>
      <c r="C805" s="25"/>
      <c r="D805" s="25"/>
      <c r="E805" s="25"/>
      <c r="F805" s="25"/>
      <c r="G805" s="25"/>
      <c r="H805" s="46"/>
      <c r="I805" s="52"/>
      <c r="J805" s="46"/>
      <c r="K805" s="52"/>
      <c r="L805" s="46"/>
      <c r="M805" s="52"/>
      <c r="N805" s="53"/>
      <c r="O805" s="25"/>
      <c r="P805" s="55"/>
      <c r="Q805" s="34"/>
      <c r="R805" s="54"/>
      <c r="S805" s="55"/>
      <c r="T805" s="25"/>
      <c r="U805" s="25"/>
      <c r="V805" s="24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</row>
    <row r="806">
      <c r="A806" s="25"/>
      <c r="B806" s="25"/>
      <c r="C806" s="25"/>
      <c r="D806" s="25"/>
      <c r="E806" s="25"/>
      <c r="F806" s="25"/>
      <c r="G806" s="25"/>
      <c r="H806" s="46"/>
      <c r="I806" s="52"/>
      <c r="J806" s="46"/>
      <c r="K806" s="52"/>
      <c r="L806" s="46"/>
      <c r="M806" s="52"/>
      <c r="N806" s="53"/>
      <c r="O806" s="25"/>
      <c r="P806" s="55"/>
      <c r="Q806" s="34"/>
      <c r="R806" s="54"/>
      <c r="S806" s="55"/>
      <c r="T806" s="25"/>
      <c r="U806" s="25"/>
      <c r="V806" s="24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</row>
    <row r="807">
      <c r="A807" s="25"/>
      <c r="B807" s="25"/>
      <c r="C807" s="25"/>
      <c r="D807" s="25"/>
      <c r="E807" s="25"/>
      <c r="F807" s="25"/>
      <c r="G807" s="25"/>
      <c r="H807" s="46"/>
      <c r="I807" s="52"/>
      <c r="J807" s="46"/>
      <c r="K807" s="52"/>
      <c r="L807" s="46"/>
      <c r="M807" s="52"/>
      <c r="N807" s="53"/>
      <c r="O807" s="25"/>
      <c r="P807" s="55"/>
      <c r="Q807" s="34"/>
      <c r="R807" s="54"/>
      <c r="S807" s="55"/>
      <c r="T807" s="25"/>
      <c r="U807" s="25"/>
      <c r="V807" s="24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</row>
    <row r="808">
      <c r="A808" s="25"/>
      <c r="B808" s="25"/>
      <c r="C808" s="25"/>
      <c r="D808" s="25"/>
      <c r="E808" s="25"/>
      <c r="F808" s="25"/>
      <c r="G808" s="25"/>
      <c r="H808" s="46"/>
      <c r="I808" s="52"/>
      <c r="J808" s="46"/>
      <c r="K808" s="52"/>
      <c r="L808" s="46"/>
      <c r="M808" s="52"/>
      <c r="N808" s="53"/>
      <c r="O808" s="25"/>
      <c r="P808" s="55"/>
      <c r="Q808" s="34"/>
      <c r="R808" s="54"/>
      <c r="S808" s="55"/>
      <c r="T808" s="25"/>
      <c r="U808" s="25"/>
      <c r="V808" s="24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</row>
    <row r="809">
      <c r="A809" s="25"/>
      <c r="B809" s="25"/>
      <c r="C809" s="25"/>
      <c r="D809" s="25"/>
      <c r="E809" s="25"/>
      <c r="F809" s="25"/>
      <c r="G809" s="25"/>
      <c r="H809" s="46"/>
      <c r="I809" s="52"/>
      <c r="J809" s="46"/>
      <c r="K809" s="52"/>
      <c r="L809" s="46"/>
      <c r="M809" s="52"/>
      <c r="N809" s="53"/>
      <c r="O809" s="25"/>
      <c r="P809" s="55"/>
      <c r="Q809" s="34"/>
      <c r="R809" s="54"/>
      <c r="S809" s="55"/>
      <c r="T809" s="25"/>
      <c r="U809" s="25"/>
      <c r="V809" s="24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</row>
    <row r="810">
      <c r="A810" s="25"/>
      <c r="B810" s="25"/>
      <c r="C810" s="25"/>
      <c r="D810" s="25"/>
      <c r="E810" s="25"/>
      <c r="F810" s="25"/>
      <c r="G810" s="25"/>
      <c r="H810" s="46"/>
      <c r="I810" s="52"/>
      <c r="J810" s="46"/>
      <c r="K810" s="52"/>
      <c r="L810" s="46"/>
      <c r="M810" s="52"/>
      <c r="N810" s="53"/>
      <c r="O810" s="25"/>
      <c r="P810" s="55"/>
      <c r="Q810" s="34"/>
      <c r="R810" s="54"/>
      <c r="S810" s="55"/>
      <c r="T810" s="25"/>
      <c r="U810" s="25"/>
      <c r="V810" s="24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</row>
    <row r="811">
      <c r="A811" s="25"/>
      <c r="B811" s="25"/>
      <c r="C811" s="25"/>
      <c r="D811" s="25"/>
      <c r="E811" s="25"/>
      <c r="F811" s="25"/>
      <c r="G811" s="25"/>
      <c r="H811" s="46"/>
      <c r="I811" s="52"/>
      <c r="J811" s="46"/>
      <c r="K811" s="52"/>
      <c r="L811" s="46"/>
      <c r="M811" s="52"/>
      <c r="N811" s="53"/>
      <c r="O811" s="25"/>
      <c r="P811" s="55"/>
      <c r="Q811" s="34"/>
      <c r="R811" s="54"/>
      <c r="S811" s="55"/>
      <c r="T811" s="25"/>
      <c r="U811" s="25"/>
      <c r="V811" s="24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</row>
    <row r="812">
      <c r="A812" s="25"/>
      <c r="B812" s="25"/>
      <c r="C812" s="25"/>
      <c r="D812" s="25"/>
      <c r="E812" s="25"/>
      <c r="F812" s="25"/>
      <c r="G812" s="25"/>
      <c r="H812" s="46"/>
      <c r="I812" s="52"/>
      <c r="J812" s="46"/>
      <c r="K812" s="52"/>
      <c r="L812" s="46"/>
      <c r="M812" s="52"/>
      <c r="N812" s="53"/>
      <c r="O812" s="25"/>
      <c r="P812" s="55"/>
      <c r="Q812" s="34"/>
      <c r="R812" s="54"/>
      <c r="S812" s="55"/>
      <c r="T812" s="25"/>
      <c r="U812" s="25"/>
      <c r="V812" s="24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</row>
    <row r="813">
      <c r="A813" s="25"/>
      <c r="B813" s="25"/>
      <c r="C813" s="25"/>
      <c r="D813" s="25"/>
      <c r="E813" s="25"/>
      <c r="F813" s="25"/>
      <c r="G813" s="25"/>
      <c r="H813" s="46"/>
      <c r="I813" s="52"/>
      <c r="J813" s="46"/>
      <c r="K813" s="52"/>
      <c r="L813" s="46"/>
      <c r="M813" s="52"/>
      <c r="N813" s="53"/>
      <c r="O813" s="25"/>
      <c r="P813" s="55"/>
      <c r="Q813" s="34"/>
      <c r="R813" s="54"/>
      <c r="S813" s="55"/>
      <c r="T813" s="25"/>
      <c r="U813" s="25"/>
      <c r="V813" s="24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</row>
    <row r="814">
      <c r="A814" s="25"/>
      <c r="B814" s="25"/>
      <c r="C814" s="25"/>
      <c r="D814" s="25"/>
      <c r="E814" s="25"/>
      <c r="F814" s="25"/>
      <c r="G814" s="25"/>
      <c r="H814" s="46"/>
      <c r="I814" s="52"/>
      <c r="J814" s="46"/>
      <c r="K814" s="52"/>
      <c r="L814" s="46"/>
      <c r="M814" s="52"/>
      <c r="N814" s="53"/>
      <c r="O814" s="25"/>
      <c r="P814" s="55"/>
      <c r="Q814" s="34"/>
      <c r="R814" s="54"/>
      <c r="S814" s="55"/>
      <c r="T814" s="25"/>
      <c r="U814" s="25"/>
      <c r="V814" s="24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</row>
    <row r="815">
      <c r="A815" s="25"/>
      <c r="B815" s="25"/>
      <c r="C815" s="25"/>
      <c r="D815" s="25"/>
      <c r="E815" s="25"/>
      <c r="F815" s="25"/>
      <c r="G815" s="25"/>
      <c r="H815" s="46"/>
      <c r="I815" s="52"/>
      <c r="J815" s="46"/>
      <c r="K815" s="52"/>
      <c r="L815" s="46"/>
      <c r="M815" s="52"/>
      <c r="N815" s="53"/>
      <c r="O815" s="25"/>
      <c r="P815" s="55"/>
      <c r="Q815" s="34"/>
      <c r="R815" s="54"/>
      <c r="S815" s="55"/>
      <c r="T815" s="25"/>
      <c r="U815" s="25"/>
      <c r="V815" s="24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</row>
    <row r="816">
      <c r="A816" s="25"/>
      <c r="B816" s="25"/>
      <c r="C816" s="25"/>
      <c r="D816" s="25"/>
      <c r="E816" s="25"/>
      <c r="F816" s="25"/>
      <c r="G816" s="25"/>
      <c r="H816" s="46"/>
      <c r="I816" s="52"/>
      <c r="J816" s="46"/>
      <c r="K816" s="52"/>
      <c r="L816" s="46"/>
      <c r="M816" s="52"/>
      <c r="N816" s="53"/>
      <c r="O816" s="25"/>
      <c r="P816" s="55"/>
      <c r="Q816" s="34"/>
      <c r="R816" s="54"/>
      <c r="S816" s="55"/>
      <c r="T816" s="25"/>
      <c r="U816" s="25"/>
      <c r="V816" s="24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</row>
    <row r="817">
      <c r="A817" s="25"/>
      <c r="B817" s="25"/>
      <c r="C817" s="25"/>
      <c r="D817" s="25"/>
      <c r="E817" s="25"/>
      <c r="F817" s="25"/>
      <c r="G817" s="25"/>
      <c r="H817" s="46"/>
      <c r="I817" s="52"/>
      <c r="J817" s="46"/>
      <c r="K817" s="52"/>
      <c r="L817" s="46"/>
      <c r="M817" s="52"/>
      <c r="N817" s="53"/>
      <c r="O817" s="25"/>
      <c r="P817" s="55"/>
      <c r="Q817" s="34"/>
      <c r="R817" s="54"/>
      <c r="S817" s="55"/>
      <c r="T817" s="25"/>
      <c r="U817" s="25"/>
      <c r="V817" s="24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</row>
    <row r="818">
      <c r="A818" s="25"/>
      <c r="B818" s="25"/>
      <c r="C818" s="25"/>
      <c r="D818" s="25"/>
      <c r="E818" s="25"/>
      <c r="F818" s="25"/>
      <c r="G818" s="25"/>
      <c r="H818" s="46"/>
      <c r="I818" s="52"/>
      <c r="J818" s="46"/>
      <c r="K818" s="52"/>
      <c r="L818" s="46"/>
      <c r="M818" s="52"/>
      <c r="N818" s="53"/>
      <c r="O818" s="25"/>
      <c r="P818" s="55"/>
      <c r="Q818" s="34"/>
      <c r="R818" s="54"/>
      <c r="S818" s="55"/>
      <c r="T818" s="25"/>
      <c r="U818" s="25"/>
      <c r="V818" s="24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</row>
    <row r="819">
      <c r="A819" s="25"/>
      <c r="B819" s="25"/>
      <c r="C819" s="25"/>
      <c r="D819" s="25"/>
      <c r="E819" s="25"/>
      <c r="F819" s="25"/>
      <c r="G819" s="25"/>
      <c r="H819" s="46"/>
      <c r="I819" s="52"/>
      <c r="J819" s="46"/>
      <c r="K819" s="52"/>
      <c r="L819" s="46"/>
      <c r="M819" s="52"/>
      <c r="N819" s="53"/>
      <c r="O819" s="25"/>
      <c r="P819" s="55"/>
      <c r="Q819" s="34"/>
      <c r="R819" s="54"/>
      <c r="S819" s="55"/>
      <c r="T819" s="25"/>
      <c r="U819" s="25"/>
      <c r="V819" s="24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</row>
    <row r="820">
      <c r="A820" s="25"/>
      <c r="B820" s="25"/>
      <c r="C820" s="25"/>
      <c r="D820" s="25"/>
      <c r="E820" s="25"/>
      <c r="F820" s="25"/>
      <c r="G820" s="25"/>
      <c r="H820" s="46"/>
      <c r="I820" s="52"/>
      <c r="J820" s="46"/>
      <c r="K820" s="52"/>
      <c r="L820" s="46"/>
      <c r="M820" s="52"/>
      <c r="N820" s="53"/>
      <c r="O820" s="25"/>
      <c r="P820" s="55"/>
      <c r="Q820" s="34"/>
      <c r="R820" s="54"/>
      <c r="S820" s="55"/>
      <c r="T820" s="25"/>
      <c r="U820" s="25"/>
      <c r="V820" s="24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</row>
    <row r="821">
      <c r="A821" s="25"/>
      <c r="B821" s="25"/>
      <c r="C821" s="25"/>
      <c r="D821" s="25"/>
      <c r="E821" s="25"/>
      <c r="F821" s="25"/>
      <c r="G821" s="25"/>
      <c r="H821" s="46"/>
      <c r="I821" s="52"/>
      <c r="J821" s="46"/>
      <c r="K821" s="52"/>
      <c r="L821" s="46"/>
      <c r="M821" s="52"/>
      <c r="N821" s="53"/>
      <c r="O821" s="25"/>
      <c r="P821" s="55"/>
      <c r="Q821" s="34"/>
      <c r="R821" s="54"/>
      <c r="S821" s="55"/>
      <c r="T821" s="25"/>
      <c r="U821" s="25"/>
      <c r="V821" s="24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</row>
    <row r="822">
      <c r="A822" s="25"/>
      <c r="B822" s="25"/>
      <c r="C822" s="25"/>
      <c r="D822" s="25"/>
      <c r="E822" s="25"/>
      <c r="F822" s="25"/>
      <c r="G822" s="25"/>
      <c r="H822" s="46"/>
      <c r="I822" s="52"/>
      <c r="J822" s="46"/>
      <c r="K822" s="52"/>
      <c r="L822" s="46"/>
      <c r="M822" s="52"/>
      <c r="N822" s="53"/>
      <c r="O822" s="25"/>
      <c r="P822" s="55"/>
      <c r="Q822" s="34"/>
      <c r="R822" s="54"/>
      <c r="S822" s="55"/>
      <c r="T822" s="25"/>
      <c r="U822" s="25"/>
      <c r="V822" s="24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</row>
    <row r="823">
      <c r="A823" s="25"/>
      <c r="B823" s="25"/>
      <c r="C823" s="25"/>
      <c r="D823" s="25"/>
      <c r="E823" s="25"/>
      <c r="F823" s="25"/>
      <c r="G823" s="25"/>
      <c r="H823" s="46"/>
      <c r="I823" s="52"/>
      <c r="J823" s="46"/>
      <c r="K823" s="52"/>
      <c r="L823" s="46"/>
      <c r="M823" s="52"/>
      <c r="N823" s="53"/>
      <c r="O823" s="25"/>
      <c r="P823" s="55"/>
      <c r="Q823" s="34"/>
      <c r="R823" s="54"/>
      <c r="S823" s="55"/>
      <c r="T823" s="25"/>
      <c r="U823" s="25"/>
      <c r="V823" s="24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</row>
    <row r="824">
      <c r="A824" s="25"/>
      <c r="B824" s="25"/>
      <c r="C824" s="25"/>
      <c r="D824" s="25"/>
      <c r="E824" s="25"/>
      <c r="F824" s="25"/>
      <c r="G824" s="25"/>
      <c r="H824" s="46"/>
      <c r="I824" s="52"/>
      <c r="J824" s="46"/>
      <c r="K824" s="52"/>
      <c r="L824" s="46"/>
      <c r="M824" s="52"/>
      <c r="N824" s="53"/>
      <c r="O824" s="25"/>
      <c r="P824" s="55"/>
      <c r="Q824" s="34"/>
      <c r="R824" s="54"/>
      <c r="S824" s="55"/>
      <c r="T824" s="25"/>
      <c r="U824" s="25"/>
      <c r="V824" s="24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</row>
    <row r="825">
      <c r="A825" s="25"/>
      <c r="B825" s="25"/>
      <c r="C825" s="25"/>
      <c r="D825" s="25"/>
      <c r="E825" s="25"/>
      <c r="F825" s="25"/>
      <c r="G825" s="25"/>
      <c r="H825" s="46"/>
      <c r="I825" s="52"/>
      <c r="J825" s="46"/>
      <c r="K825" s="52"/>
      <c r="L825" s="46"/>
      <c r="M825" s="52"/>
      <c r="N825" s="53"/>
      <c r="O825" s="25"/>
      <c r="P825" s="55"/>
      <c r="Q825" s="34"/>
      <c r="R825" s="54"/>
      <c r="S825" s="55"/>
      <c r="T825" s="25"/>
      <c r="U825" s="25"/>
      <c r="V825" s="24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</row>
    <row r="826">
      <c r="A826" s="25"/>
      <c r="B826" s="25"/>
      <c r="C826" s="25"/>
      <c r="D826" s="25"/>
      <c r="E826" s="25"/>
      <c r="F826" s="25"/>
      <c r="G826" s="25"/>
      <c r="H826" s="46"/>
      <c r="I826" s="52"/>
      <c r="J826" s="46"/>
      <c r="K826" s="52"/>
      <c r="L826" s="46"/>
      <c r="M826" s="52"/>
      <c r="N826" s="53"/>
      <c r="O826" s="25"/>
      <c r="P826" s="55"/>
      <c r="Q826" s="34"/>
      <c r="R826" s="54"/>
      <c r="S826" s="55"/>
      <c r="T826" s="25"/>
      <c r="U826" s="25"/>
      <c r="V826" s="24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</row>
    <row r="827">
      <c r="A827" s="25"/>
      <c r="B827" s="25"/>
      <c r="C827" s="25"/>
      <c r="D827" s="25"/>
      <c r="E827" s="25"/>
      <c r="F827" s="25"/>
      <c r="G827" s="25"/>
      <c r="H827" s="46"/>
      <c r="I827" s="52"/>
      <c r="J827" s="46"/>
      <c r="K827" s="52"/>
      <c r="L827" s="46"/>
      <c r="M827" s="52"/>
      <c r="N827" s="53"/>
      <c r="O827" s="25"/>
      <c r="P827" s="55"/>
      <c r="Q827" s="34"/>
      <c r="R827" s="54"/>
      <c r="S827" s="55"/>
      <c r="T827" s="25"/>
      <c r="U827" s="25"/>
      <c r="V827" s="24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</row>
    <row r="828">
      <c r="A828" s="25"/>
      <c r="B828" s="25"/>
      <c r="C828" s="25"/>
      <c r="D828" s="25"/>
      <c r="E828" s="25"/>
      <c r="F828" s="25"/>
      <c r="G828" s="25"/>
      <c r="H828" s="46"/>
      <c r="I828" s="52"/>
      <c r="J828" s="46"/>
      <c r="K828" s="52"/>
      <c r="L828" s="46"/>
      <c r="M828" s="52"/>
      <c r="N828" s="53"/>
      <c r="O828" s="25"/>
      <c r="P828" s="55"/>
      <c r="Q828" s="34"/>
      <c r="R828" s="54"/>
      <c r="S828" s="55"/>
      <c r="T828" s="25"/>
      <c r="U828" s="25"/>
      <c r="V828" s="24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</row>
    <row r="829">
      <c r="A829" s="25"/>
      <c r="B829" s="25"/>
      <c r="C829" s="25"/>
      <c r="D829" s="25"/>
      <c r="E829" s="25"/>
      <c r="F829" s="25"/>
      <c r="G829" s="25"/>
      <c r="H829" s="46"/>
      <c r="I829" s="52"/>
      <c r="J829" s="46"/>
      <c r="K829" s="52"/>
      <c r="L829" s="46"/>
      <c r="M829" s="52"/>
      <c r="N829" s="53"/>
      <c r="O829" s="25"/>
      <c r="P829" s="55"/>
      <c r="Q829" s="34"/>
      <c r="R829" s="54"/>
      <c r="S829" s="55"/>
      <c r="T829" s="25"/>
      <c r="U829" s="25"/>
      <c r="V829" s="24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</row>
    <row r="830">
      <c r="A830" s="25"/>
      <c r="B830" s="25"/>
      <c r="C830" s="25"/>
      <c r="D830" s="25"/>
      <c r="E830" s="25"/>
      <c r="F830" s="25"/>
      <c r="G830" s="25"/>
      <c r="H830" s="46"/>
      <c r="I830" s="52"/>
      <c r="J830" s="46"/>
      <c r="K830" s="52"/>
      <c r="L830" s="46"/>
      <c r="M830" s="52"/>
      <c r="N830" s="53"/>
      <c r="O830" s="25"/>
      <c r="P830" s="55"/>
      <c r="Q830" s="34"/>
      <c r="R830" s="54"/>
      <c r="S830" s="55"/>
      <c r="T830" s="25"/>
      <c r="U830" s="25"/>
      <c r="V830" s="24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</row>
    <row r="831">
      <c r="A831" s="25"/>
      <c r="B831" s="25"/>
      <c r="C831" s="25"/>
      <c r="D831" s="25"/>
      <c r="E831" s="25"/>
      <c r="F831" s="25"/>
      <c r="G831" s="25"/>
      <c r="H831" s="46"/>
      <c r="I831" s="52"/>
      <c r="J831" s="46"/>
      <c r="K831" s="52"/>
      <c r="L831" s="46"/>
      <c r="M831" s="52"/>
      <c r="N831" s="53"/>
      <c r="O831" s="25"/>
      <c r="P831" s="55"/>
      <c r="Q831" s="34"/>
      <c r="R831" s="54"/>
      <c r="S831" s="55"/>
      <c r="T831" s="25"/>
      <c r="U831" s="25"/>
      <c r="V831" s="24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</row>
    <row r="832">
      <c r="A832" s="25"/>
      <c r="B832" s="25"/>
      <c r="C832" s="25"/>
      <c r="D832" s="25"/>
      <c r="E832" s="25"/>
      <c r="F832" s="25"/>
      <c r="G832" s="25"/>
      <c r="H832" s="46"/>
      <c r="I832" s="52"/>
      <c r="J832" s="46"/>
      <c r="K832" s="52"/>
      <c r="L832" s="46"/>
      <c r="M832" s="52"/>
      <c r="N832" s="53"/>
      <c r="O832" s="25"/>
      <c r="P832" s="55"/>
      <c r="Q832" s="34"/>
      <c r="R832" s="54"/>
      <c r="S832" s="55"/>
      <c r="T832" s="25"/>
      <c r="U832" s="25"/>
      <c r="V832" s="24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</row>
    <row r="833">
      <c r="A833" s="25"/>
      <c r="B833" s="25"/>
      <c r="C833" s="25"/>
      <c r="D833" s="25"/>
      <c r="E833" s="25"/>
      <c r="F833" s="25"/>
      <c r="G833" s="25"/>
      <c r="H833" s="46"/>
      <c r="I833" s="52"/>
      <c r="J833" s="46"/>
      <c r="K833" s="52"/>
      <c r="L833" s="46"/>
      <c r="M833" s="52"/>
      <c r="N833" s="53"/>
      <c r="O833" s="25"/>
      <c r="P833" s="55"/>
      <c r="Q833" s="34"/>
      <c r="R833" s="54"/>
      <c r="S833" s="55"/>
      <c r="T833" s="25"/>
      <c r="U833" s="25"/>
      <c r="V833" s="24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</row>
    <row r="834">
      <c r="A834" s="25"/>
      <c r="B834" s="25"/>
      <c r="C834" s="25"/>
      <c r="D834" s="25"/>
      <c r="E834" s="25"/>
      <c r="F834" s="25"/>
      <c r="G834" s="25"/>
      <c r="H834" s="46"/>
      <c r="I834" s="52"/>
      <c r="J834" s="46"/>
      <c r="K834" s="52"/>
      <c r="L834" s="46"/>
      <c r="M834" s="52"/>
      <c r="N834" s="53"/>
      <c r="O834" s="25"/>
      <c r="P834" s="55"/>
      <c r="Q834" s="34"/>
      <c r="R834" s="54"/>
      <c r="S834" s="55"/>
      <c r="T834" s="25"/>
      <c r="U834" s="25"/>
      <c r="V834" s="24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</row>
    <row r="835">
      <c r="A835" s="25"/>
      <c r="B835" s="25"/>
      <c r="C835" s="25"/>
      <c r="D835" s="25"/>
      <c r="E835" s="25"/>
      <c r="F835" s="25"/>
      <c r="G835" s="25"/>
      <c r="H835" s="46"/>
      <c r="I835" s="52"/>
      <c r="J835" s="46"/>
      <c r="K835" s="52"/>
      <c r="L835" s="46"/>
      <c r="M835" s="52"/>
      <c r="N835" s="53"/>
      <c r="O835" s="25"/>
      <c r="P835" s="55"/>
      <c r="Q835" s="34"/>
      <c r="R835" s="54"/>
      <c r="S835" s="55"/>
      <c r="T835" s="25"/>
      <c r="U835" s="25"/>
      <c r="V835" s="24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</row>
    <row r="836">
      <c r="A836" s="25"/>
      <c r="B836" s="25"/>
      <c r="C836" s="25"/>
      <c r="D836" s="25"/>
      <c r="E836" s="25"/>
      <c r="F836" s="25"/>
      <c r="G836" s="25"/>
      <c r="H836" s="46"/>
      <c r="I836" s="52"/>
      <c r="J836" s="46"/>
      <c r="K836" s="52"/>
      <c r="L836" s="46"/>
      <c r="M836" s="52"/>
      <c r="N836" s="53"/>
      <c r="O836" s="25"/>
      <c r="P836" s="55"/>
      <c r="Q836" s="34"/>
      <c r="R836" s="54"/>
      <c r="S836" s="55"/>
      <c r="T836" s="25"/>
      <c r="U836" s="25"/>
      <c r="V836" s="24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</row>
    <row r="837">
      <c r="A837" s="25"/>
      <c r="B837" s="25"/>
      <c r="C837" s="25"/>
      <c r="D837" s="25"/>
      <c r="E837" s="25"/>
      <c r="F837" s="25"/>
      <c r="G837" s="25"/>
      <c r="H837" s="46"/>
      <c r="I837" s="52"/>
      <c r="J837" s="46"/>
      <c r="K837" s="52"/>
      <c r="L837" s="46"/>
      <c r="M837" s="52"/>
      <c r="N837" s="53"/>
      <c r="O837" s="25"/>
      <c r="P837" s="55"/>
      <c r="Q837" s="34"/>
      <c r="R837" s="54"/>
      <c r="S837" s="55"/>
      <c r="T837" s="25"/>
      <c r="U837" s="25"/>
      <c r="V837" s="24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</row>
    <row r="838">
      <c r="A838" s="25"/>
      <c r="B838" s="25"/>
      <c r="C838" s="25"/>
      <c r="D838" s="25"/>
      <c r="E838" s="25"/>
      <c r="F838" s="25"/>
      <c r="G838" s="25"/>
      <c r="H838" s="46"/>
      <c r="I838" s="52"/>
      <c r="J838" s="46"/>
      <c r="K838" s="52"/>
      <c r="L838" s="46"/>
      <c r="M838" s="52"/>
      <c r="N838" s="53"/>
      <c r="O838" s="25"/>
      <c r="P838" s="55"/>
      <c r="Q838" s="34"/>
      <c r="R838" s="54"/>
      <c r="S838" s="55"/>
      <c r="T838" s="25"/>
      <c r="U838" s="25"/>
      <c r="V838" s="24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</row>
    <row r="839">
      <c r="A839" s="25"/>
      <c r="B839" s="25"/>
      <c r="C839" s="25"/>
      <c r="D839" s="25"/>
      <c r="E839" s="25"/>
      <c r="F839" s="25"/>
      <c r="G839" s="25"/>
      <c r="H839" s="46"/>
      <c r="I839" s="52"/>
      <c r="J839" s="46"/>
      <c r="K839" s="52"/>
      <c r="L839" s="46"/>
      <c r="M839" s="52"/>
      <c r="N839" s="53"/>
      <c r="O839" s="25"/>
      <c r="P839" s="55"/>
      <c r="Q839" s="34"/>
      <c r="R839" s="54"/>
      <c r="S839" s="55"/>
      <c r="T839" s="25"/>
      <c r="U839" s="25"/>
      <c r="V839" s="24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</row>
    <row r="840">
      <c r="A840" s="25"/>
      <c r="B840" s="25"/>
      <c r="C840" s="25"/>
      <c r="D840" s="25"/>
      <c r="E840" s="25"/>
      <c r="F840" s="25"/>
      <c r="G840" s="25"/>
      <c r="H840" s="46"/>
      <c r="I840" s="52"/>
      <c r="J840" s="46"/>
      <c r="K840" s="52"/>
      <c r="L840" s="46"/>
      <c r="M840" s="52"/>
      <c r="N840" s="53"/>
      <c r="O840" s="25"/>
      <c r="P840" s="55"/>
      <c r="Q840" s="34"/>
      <c r="R840" s="54"/>
      <c r="S840" s="55"/>
      <c r="T840" s="25"/>
      <c r="U840" s="25"/>
      <c r="V840" s="24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</row>
    <row r="841">
      <c r="A841" s="25"/>
      <c r="B841" s="25"/>
      <c r="C841" s="25"/>
      <c r="D841" s="25"/>
      <c r="E841" s="25"/>
      <c r="F841" s="25"/>
      <c r="G841" s="25"/>
      <c r="H841" s="46"/>
      <c r="I841" s="52"/>
      <c r="J841" s="46"/>
      <c r="K841" s="52"/>
      <c r="L841" s="46"/>
      <c r="M841" s="52"/>
      <c r="N841" s="53"/>
      <c r="O841" s="25"/>
      <c r="P841" s="55"/>
      <c r="Q841" s="34"/>
      <c r="R841" s="54"/>
      <c r="S841" s="55"/>
      <c r="T841" s="25"/>
      <c r="U841" s="25"/>
      <c r="V841" s="24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</row>
    <row r="842">
      <c r="A842" s="25"/>
      <c r="B842" s="25"/>
      <c r="C842" s="25"/>
      <c r="D842" s="25"/>
      <c r="E842" s="25"/>
      <c r="F842" s="25"/>
      <c r="G842" s="25"/>
      <c r="H842" s="46"/>
      <c r="I842" s="52"/>
      <c r="J842" s="46"/>
      <c r="K842" s="52"/>
      <c r="L842" s="46"/>
      <c r="M842" s="52"/>
      <c r="N842" s="53"/>
      <c r="O842" s="25"/>
      <c r="P842" s="55"/>
      <c r="Q842" s="34"/>
      <c r="R842" s="54"/>
      <c r="S842" s="55"/>
      <c r="T842" s="25"/>
      <c r="U842" s="25"/>
      <c r="V842" s="24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</row>
    <row r="843">
      <c r="A843" s="25"/>
      <c r="B843" s="25"/>
      <c r="C843" s="25"/>
      <c r="D843" s="25"/>
      <c r="E843" s="25"/>
      <c r="F843" s="25"/>
      <c r="G843" s="25"/>
      <c r="H843" s="46"/>
      <c r="I843" s="52"/>
      <c r="J843" s="46"/>
      <c r="K843" s="52"/>
      <c r="L843" s="46"/>
      <c r="M843" s="52"/>
      <c r="N843" s="53"/>
      <c r="O843" s="25"/>
      <c r="P843" s="55"/>
      <c r="Q843" s="34"/>
      <c r="R843" s="54"/>
      <c r="S843" s="55"/>
      <c r="T843" s="25"/>
      <c r="U843" s="25"/>
      <c r="V843" s="24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</row>
    <row r="844">
      <c r="A844" s="25"/>
      <c r="B844" s="25"/>
      <c r="C844" s="25"/>
      <c r="D844" s="25"/>
      <c r="E844" s="25"/>
      <c r="F844" s="25"/>
      <c r="G844" s="25"/>
      <c r="H844" s="46"/>
      <c r="I844" s="52"/>
      <c r="J844" s="46"/>
      <c r="K844" s="52"/>
      <c r="L844" s="46"/>
      <c r="M844" s="52"/>
      <c r="N844" s="53"/>
      <c r="O844" s="25"/>
      <c r="P844" s="55"/>
      <c r="Q844" s="34"/>
      <c r="R844" s="54"/>
      <c r="S844" s="55"/>
      <c r="T844" s="25"/>
      <c r="U844" s="25"/>
      <c r="V844" s="24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</row>
    <row r="845">
      <c r="A845" s="25"/>
      <c r="B845" s="25"/>
      <c r="C845" s="25"/>
      <c r="D845" s="25"/>
      <c r="E845" s="25"/>
      <c r="F845" s="25"/>
      <c r="G845" s="25"/>
      <c r="H845" s="46"/>
      <c r="I845" s="52"/>
      <c r="J845" s="46"/>
      <c r="K845" s="52"/>
      <c r="L845" s="46"/>
      <c r="M845" s="52"/>
      <c r="N845" s="53"/>
      <c r="O845" s="25"/>
      <c r="P845" s="55"/>
      <c r="Q845" s="34"/>
      <c r="R845" s="54"/>
      <c r="S845" s="55"/>
      <c r="T845" s="25"/>
      <c r="U845" s="25"/>
      <c r="V845" s="24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</row>
    <row r="846">
      <c r="A846" s="25"/>
      <c r="B846" s="25"/>
      <c r="C846" s="25"/>
      <c r="D846" s="25"/>
      <c r="E846" s="25"/>
      <c r="F846" s="25"/>
      <c r="G846" s="25"/>
      <c r="H846" s="46"/>
      <c r="I846" s="52"/>
      <c r="J846" s="46"/>
      <c r="K846" s="52"/>
      <c r="L846" s="46"/>
      <c r="M846" s="52"/>
      <c r="N846" s="53"/>
      <c r="O846" s="25"/>
      <c r="P846" s="55"/>
      <c r="Q846" s="34"/>
      <c r="R846" s="54"/>
      <c r="S846" s="55"/>
      <c r="T846" s="25"/>
      <c r="U846" s="25"/>
      <c r="V846" s="24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</row>
    <row r="847">
      <c r="A847" s="25"/>
      <c r="B847" s="25"/>
      <c r="C847" s="25"/>
      <c r="D847" s="25"/>
      <c r="E847" s="25"/>
      <c r="F847" s="25"/>
      <c r="G847" s="25"/>
      <c r="H847" s="46"/>
      <c r="I847" s="52"/>
      <c r="J847" s="46"/>
      <c r="K847" s="52"/>
      <c r="L847" s="46"/>
      <c r="M847" s="52"/>
      <c r="N847" s="53"/>
      <c r="O847" s="25"/>
      <c r="P847" s="55"/>
      <c r="Q847" s="34"/>
      <c r="R847" s="54"/>
      <c r="S847" s="55"/>
      <c r="T847" s="25"/>
      <c r="U847" s="25"/>
      <c r="V847" s="24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</row>
    <row r="848">
      <c r="A848" s="25"/>
      <c r="B848" s="25"/>
      <c r="C848" s="25"/>
      <c r="D848" s="25"/>
      <c r="E848" s="25"/>
      <c r="F848" s="25"/>
      <c r="G848" s="25"/>
      <c r="H848" s="46"/>
      <c r="I848" s="52"/>
      <c r="J848" s="46"/>
      <c r="K848" s="52"/>
      <c r="L848" s="46"/>
      <c r="M848" s="52"/>
      <c r="N848" s="53"/>
      <c r="O848" s="25"/>
      <c r="P848" s="55"/>
      <c r="Q848" s="34"/>
      <c r="R848" s="54"/>
      <c r="S848" s="55"/>
      <c r="T848" s="25"/>
      <c r="U848" s="25"/>
      <c r="V848" s="24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</row>
    <row r="849">
      <c r="A849" s="25"/>
      <c r="B849" s="25"/>
      <c r="C849" s="25"/>
      <c r="D849" s="25"/>
      <c r="E849" s="25"/>
      <c r="F849" s="25"/>
      <c r="G849" s="25"/>
      <c r="H849" s="46"/>
      <c r="I849" s="52"/>
      <c r="J849" s="46"/>
      <c r="K849" s="52"/>
      <c r="L849" s="46"/>
      <c r="M849" s="52"/>
      <c r="N849" s="53"/>
      <c r="O849" s="25"/>
      <c r="P849" s="55"/>
      <c r="Q849" s="34"/>
      <c r="R849" s="54"/>
      <c r="S849" s="55"/>
      <c r="T849" s="25"/>
      <c r="U849" s="25"/>
      <c r="V849" s="24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</row>
    <row r="850">
      <c r="A850" s="25"/>
      <c r="B850" s="25"/>
      <c r="C850" s="25"/>
      <c r="D850" s="25"/>
      <c r="E850" s="25"/>
      <c r="F850" s="25"/>
      <c r="G850" s="25"/>
      <c r="H850" s="46"/>
      <c r="I850" s="52"/>
      <c r="J850" s="46"/>
      <c r="K850" s="52"/>
      <c r="L850" s="46"/>
      <c r="M850" s="52"/>
      <c r="N850" s="53"/>
      <c r="O850" s="25"/>
      <c r="P850" s="55"/>
      <c r="Q850" s="34"/>
      <c r="R850" s="54"/>
      <c r="S850" s="55"/>
      <c r="T850" s="25"/>
      <c r="U850" s="25"/>
      <c r="V850" s="24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</row>
    <row r="851">
      <c r="A851" s="25"/>
      <c r="B851" s="25"/>
      <c r="C851" s="25"/>
      <c r="D851" s="25"/>
      <c r="E851" s="25"/>
      <c r="F851" s="25"/>
      <c r="G851" s="25"/>
      <c r="H851" s="46"/>
      <c r="I851" s="52"/>
      <c r="J851" s="46"/>
      <c r="K851" s="52"/>
      <c r="L851" s="46"/>
      <c r="M851" s="52"/>
      <c r="N851" s="53"/>
      <c r="O851" s="25"/>
      <c r="P851" s="55"/>
      <c r="Q851" s="34"/>
      <c r="R851" s="54"/>
      <c r="S851" s="55"/>
      <c r="T851" s="25"/>
      <c r="U851" s="25"/>
      <c r="V851" s="24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</row>
    <row r="852">
      <c r="A852" s="25"/>
      <c r="B852" s="25"/>
      <c r="C852" s="25"/>
      <c r="D852" s="25"/>
      <c r="E852" s="25"/>
      <c r="F852" s="25"/>
      <c r="G852" s="25"/>
      <c r="H852" s="46"/>
      <c r="I852" s="52"/>
      <c r="J852" s="46"/>
      <c r="K852" s="52"/>
      <c r="L852" s="46"/>
      <c r="M852" s="52"/>
      <c r="N852" s="53"/>
      <c r="O852" s="25"/>
      <c r="P852" s="55"/>
      <c r="Q852" s="34"/>
      <c r="R852" s="54"/>
      <c r="S852" s="55"/>
      <c r="T852" s="25"/>
      <c r="U852" s="25"/>
      <c r="V852" s="24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</row>
    <row r="853">
      <c r="A853" s="25"/>
      <c r="B853" s="25"/>
      <c r="C853" s="25"/>
      <c r="D853" s="25"/>
      <c r="E853" s="25"/>
      <c r="F853" s="25"/>
      <c r="G853" s="25"/>
      <c r="H853" s="46"/>
      <c r="I853" s="52"/>
      <c r="J853" s="46"/>
      <c r="K853" s="52"/>
      <c r="L853" s="46"/>
      <c r="M853" s="52"/>
      <c r="N853" s="53"/>
      <c r="O853" s="25"/>
      <c r="P853" s="55"/>
      <c r="Q853" s="34"/>
      <c r="R853" s="54"/>
      <c r="S853" s="55"/>
      <c r="T853" s="25"/>
      <c r="U853" s="25"/>
      <c r="V853" s="24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</row>
    <row r="854">
      <c r="A854" s="25"/>
      <c r="B854" s="25"/>
      <c r="C854" s="25"/>
      <c r="D854" s="25"/>
      <c r="E854" s="25"/>
      <c r="F854" s="25"/>
      <c r="G854" s="25"/>
      <c r="H854" s="46"/>
      <c r="I854" s="52"/>
      <c r="J854" s="46"/>
      <c r="K854" s="52"/>
      <c r="L854" s="46"/>
      <c r="M854" s="52"/>
      <c r="N854" s="53"/>
      <c r="O854" s="25"/>
      <c r="P854" s="55"/>
      <c r="Q854" s="34"/>
      <c r="R854" s="54"/>
      <c r="S854" s="55"/>
      <c r="T854" s="25"/>
      <c r="U854" s="25"/>
      <c r="V854" s="24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</row>
    <row r="855">
      <c r="A855" s="25"/>
      <c r="B855" s="25"/>
      <c r="C855" s="25"/>
      <c r="D855" s="25"/>
      <c r="E855" s="25"/>
      <c r="F855" s="25"/>
      <c r="G855" s="25"/>
      <c r="H855" s="46"/>
      <c r="I855" s="52"/>
      <c r="J855" s="46"/>
      <c r="K855" s="52"/>
      <c r="L855" s="46"/>
      <c r="M855" s="52"/>
      <c r="N855" s="53"/>
      <c r="O855" s="25"/>
      <c r="P855" s="55"/>
      <c r="Q855" s="34"/>
      <c r="R855" s="54"/>
      <c r="S855" s="55"/>
      <c r="T855" s="25"/>
      <c r="U855" s="25"/>
      <c r="V855" s="24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</row>
    <row r="856">
      <c r="A856" s="25"/>
      <c r="B856" s="25"/>
      <c r="C856" s="25"/>
      <c r="D856" s="25"/>
      <c r="E856" s="25"/>
      <c r="F856" s="25"/>
      <c r="G856" s="25"/>
      <c r="H856" s="46"/>
      <c r="I856" s="52"/>
      <c r="J856" s="46"/>
      <c r="K856" s="52"/>
      <c r="L856" s="46"/>
      <c r="M856" s="52"/>
      <c r="N856" s="53"/>
      <c r="O856" s="25"/>
      <c r="P856" s="55"/>
      <c r="Q856" s="34"/>
      <c r="R856" s="54"/>
      <c r="S856" s="55"/>
      <c r="T856" s="25"/>
      <c r="U856" s="25"/>
      <c r="V856" s="24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</row>
    <row r="857">
      <c r="A857" s="25"/>
      <c r="B857" s="25"/>
      <c r="C857" s="25"/>
      <c r="D857" s="25"/>
      <c r="E857" s="25"/>
      <c r="F857" s="25"/>
      <c r="G857" s="25"/>
      <c r="H857" s="46"/>
      <c r="I857" s="52"/>
      <c r="J857" s="46"/>
      <c r="K857" s="52"/>
      <c r="L857" s="46"/>
      <c r="M857" s="52"/>
      <c r="N857" s="53"/>
      <c r="O857" s="25"/>
      <c r="P857" s="55"/>
      <c r="Q857" s="34"/>
      <c r="R857" s="54"/>
      <c r="S857" s="55"/>
      <c r="T857" s="25"/>
      <c r="U857" s="25"/>
      <c r="V857" s="24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</row>
    <row r="858">
      <c r="A858" s="25"/>
      <c r="B858" s="25"/>
      <c r="C858" s="25"/>
      <c r="D858" s="25"/>
      <c r="E858" s="25"/>
      <c r="F858" s="25"/>
      <c r="G858" s="25"/>
      <c r="H858" s="46"/>
      <c r="I858" s="52"/>
      <c r="J858" s="46"/>
      <c r="K858" s="52"/>
      <c r="L858" s="46"/>
      <c r="M858" s="52"/>
      <c r="N858" s="53"/>
      <c r="O858" s="25"/>
      <c r="P858" s="55"/>
      <c r="Q858" s="34"/>
      <c r="R858" s="54"/>
      <c r="S858" s="55"/>
      <c r="T858" s="25"/>
      <c r="U858" s="25"/>
      <c r="V858" s="24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</row>
    <row r="859">
      <c r="A859" s="25"/>
      <c r="B859" s="25"/>
      <c r="C859" s="25"/>
      <c r="D859" s="25"/>
      <c r="E859" s="25"/>
      <c r="F859" s="25"/>
      <c r="G859" s="25"/>
      <c r="H859" s="46"/>
      <c r="I859" s="52"/>
      <c r="J859" s="46"/>
      <c r="K859" s="52"/>
      <c r="L859" s="46"/>
      <c r="M859" s="52"/>
      <c r="N859" s="53"/>
      <c r="O859" s="25"/>
      <c r="P859" s="55"/>
      <c r="Q859" s="34"/>
      <c r="R859" s="54"/>
      <c r="S859" s="55"/>
      <c r="T859" s="25"/>
      <c r="U859" s="25"/>
      <c r="V859" s="24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</row>
    <row r="860">
      <c r="A860" s="25"/>
      <c r="B860" s="25"/>
      <c r="C860" s="25"/>
      <c r="D860" s="25"/>
      <c r="E860" s="25"/>
      <c r="F860" s="25"/>
      <c r="G860" s="25"/>
      <c r="H860" s="46"/>
      <c r="I860" s="52"/>
      <c r="J860" s="46"/>
      <c r="K860" s="52"/>
      <c r="L860" s="46"/>
      <c r="M860" s="52"/>
      <c r="N860" s="53"/>
      <c r="O860" s="25"/>
      <c r="P860" s="55"/>
      <c r="Q860" s="34"/>
      <c r="R860" s="54"/>
      <c r="S860" s="55"/>
      <c r="T860" s="25"/>
      <c r="U860" s="25"/>
      <c r="V860" s="24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</row>
    <row r="861">
      <c r="A861" s="25"/>
      <c r="B861" s="25"/>
      <c r="C861" s="25"/>
      <c r="D861" s="25"/>
      <c r="E861" s="25"/>
      <c r="F861" s="25"/>
      <c r="G861" s="25"/>
      <c r="H861" s="46"/>
      <c r="I861" s="52"/>
      <c r="J861" s="46"/>
      <c r="K861" s="52"/>
      <c r="L861" s="46"/>
      <c r="M861" s="52"/>
      <c r="N861" s="53"/>
      <c r="O861" s="25"/>
      <c r="P861" s="55"/>
      <c r="Q861" s="34"/>
      <c r="R861" s="54"/>
      <c r="S861" s="55"/>
      <c r="T861" s="25"/>
      <c r="U861" s="25"/>
      <c r="V861" s="24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</row>
    <row r="862">
      <c r="A862" s="25"/>
      <c r="B862" s="25"/>
      <c r="C862" s="25"/>
      <c r="D862" s="25"/>
      <c r="E862" s="25"/>
      <c r="F862" s="25"/>
      <c r="G862" s="25"/>
      <c r="H862" s="46"/>
      <c r="I862" s="52"/>
      <c r="J862" s="46"/>
      <c r="K862" s="52"/>
      <c r="L862" s="46"/>
      <c r="M862" s="52"/>
      <c r="N862" s="53"/>
      <c r="O862" s="25"/>
      <c r="P862" s="55"/>
      <c r="Q862" s="34"/>
      <c r="R862" s="54"/>
      <c r="S862" s="55"/>
      <c r="T862" s="25"/>
      <c r="U862" s="25"/>
      <c r="V862" s="24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</row>
    <row r="863">
      <c r="A863" s="25"/>
      <c r="B863" s="25"/>
      <c r="C863" s="25"/>
      <c r="D863" s="25"/>
      <c r="E863" s="25"/>
      <c r="F863" s="25"/>
      <c r="G863" s="25"/>
      <c r="H863" s="46"/>
      <c r="I863" s="52"/>
      <c r="J863" s="46"/>
      <c r="K863" s="52"/>
      <c r="L863" s="46"/>
      <c r="M863" s="52"/>
      <c r="N863" s="53"/>
      <c r="O863" s="25"/>
      <c r="P863" s="55"/>
      <c r="Q863" s="34"/>
      <c r="R863" s="54"/>
      <c r="S863" s="55"/>
      <c r="T863" s="25"/>
      <c r="U863" s="25"/>
      <c r="V863" s="24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</row>
    <row r="864">
      <c r="A864" s="25"/>
      <c r="B864" s="25"/>
      <c r="C864" s="25"/>
      <c r="D864" s="25"/>
      <c r="E864" s="25"/>
      <c r="F864" s="25"/>
      <c r="G864" s="25"/>
      <c r="H864" s="46"/>
      <c r="I864" s="52"/>
      <c r="J864" s="46"/>
      <c r="K864" s="52"/>
      <c r="L864" s="46"/>
      <c r="M864" s="52"/>
      <c r="N864" s="53"/>
      <c r="O864" s="25"/>
      <c r="P864" s="55"/>
      <c r="Q864" s="34"/>
      <c r="R864" s="54"/>
      <c r="S864" s="55"/>
      <c r="T864" s="25"/>
      <c r="U864" s="25"/>
      <c r="V864" s="24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</row>
    <row r="865">
      <c r="A865" s="25"/>
      <c r="B865" s="25"/>
      <c r="C865" s="25"/>
      <c r="D865" s="25"/>
      <c r="E865" s="25"/>
      <c r="F865" s="25"/>
      <c r="G865" s="25"/>
      <c r="H865" s="46"/>
      <c r="I865" s="52"/>
      <c r="J865" s="46"/>
      <c r="K865" s="52"/>
      <c r="L865" s="46"/>
      <c r="M865" s="52"/>
      <c r="N865" s="53"/>
      <c r="O865" s="25"/>
      <c r="P865" s="55"/>
      <c r="Q865" s="34"/>
      <c r="R865" s="54"/>
      <c r="S865" s="55"/>
      <c r="T865" s="25"/>
      <c r="U865" s="25"/>
      <c r="V865" s="24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</row>
    <row r="866">
      <c r="A866" s="25"/>
      <c r="B866" s="25"/>
      <c r="C866" s="25"/>
      <c r="D866" s="25"/>
      <c r="E866" s="25"/>
      <c r="F866" s="25"/>
      <c r="G866" s="25"/>
      <c r="H866" s="46"/>
      <c r="I866" s="52"/>
      <c r="J866" s="46"/>
      <c r="K866" s="52"/>
      <c r="L866" s="46"/>
      <c r="M866" s="52"/>
      <c r="N866" s="53"/>
      <c r="O866" s="25"/>
      <c r="P866" s="55"/>
      <c r="Q866" s="34"/>
      <c r="R866" s="54"/>
      <c r="S866" s="55"/>
      <c r="T866" s="25"/>
      <c r="U866" s="25"/>
      <c r="V866" s="24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</row>
    <row r="867">
      <c r="A867" s="25"/>
      <c r="B867" s="25"/>
      <c r="C867" s="25"/>
      <c r="D867" s="25"/>
      <c r="E867" s="25"/>
      <c r="F867" s="25"/>
      <c r="G867" s="25"/>
      <c r="H867" s="46"/>
      <c r="I867" s="52"/>
      <c r="J867" s="46"/>
      <c r="K867" s="52"/>
      <c r="L867" s="46"/>
      <c r="M867" s="52"/>
      <c r="N867" s="53"/>
      <c r="O867" s="25"/>
      <c r="P867" s="55"/>
      <c r="Q867" s="34"/>
      <c r="R867" s="54"/>
      <c r="S867" s="55"/>
      <c r="T867" s="25"/>
      <c r="U867" s="25"/>
      <c r="V867" s="24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</row>
    <row r="868">
      <c r="A868" s="25"/>
      <c r="B868" s="25"/>
      <c r="C868" s="25"/>
      <c r="D868" s="25"/>
      <c r="E868" s="25"/>
      <c r="F868" s="25"/>
      <c r="G868" s="25"/>
      <c r="H868" s="46"/>
      <c r="I868" s="52"/>
      <c r="J868" s="46"/>
      <c r="K868" s="52"/>
      <c r="L868" s="46"/>
      <c r="M868" s="52"/>
      <c r="N868" s="53"/>
      <c r="O868" s="25"/>
      <c r="P868" s="55"/>
      <c r="Q868" s="34"/>
      <c r="R868" s="54"/>
      <c r="S868" s="55"/>
      <c r="T868" s="25"/>
      <c r="U868" s="25"/>
      <c r="V868" s="24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</row>
    <row r="869">
      <c r="A869" s="25"/>
      <c r="B869" s="25"/>
      <c r="C869" s="25"/>
      <c r="D869" s="25"/>
      <c r="E869" s="25"/>
      <c r="F869" s="25"/>
      <c r="G869" s="25"/>
      <c r="H869" s="46"/>
      <c r="I869" s="52"/>
      <c r="J869" s="46"/>
      <c r="K869" s="52"/>
      <c r="L869" s="46"/>
      <c r="M869" s="52"/>
      <c r="N869" s="53"/>
      <c r="O869" s="25"/>
      <c r="P869" s="55"/>
      <c r="Q869" s="34"/>
      <c r="R869" s="54"/>
      <c r="S869" s="55"/>
      <c r="T869" s="25"/>
      <c r="U869" s="25"/>
      <c r="V869" s="24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</row>
    <row r="870">
      <c r="A870" s="25"/>
      <c r="B870" s="25"/>
      <c r="C870" s="25"/>
      <c r="D870" s="25"/>
      <c r="E870" s="25"/>
      <c r="F870" s="25"/>
      <c r="G870" s="25"/>
      <c r="H870" s="46"/>
      <c r="I870" s="52"/>
      <c r="J870" s="46"/>
      <c r="K870" s="52"/>
      <c r="L870" s="46"/>
      <c r="M870" s="52"/>
      <c r="N870" s="53"/>
      <c r="O870" s="25"/>
      <c r="P870" s="55"/>
      <c r="Q870" s="34"/>
      <c r="R870" s="54"/>
      <c r="S870" s="55"/>
      <c r="T870" s="25"/>
      <c r="U870" s="25"/>
      <c r="V870" s="24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</row>
    <row r="871">
      <c r="A871" s="25"/>
      <c r="B871" s="25"/>
      <c r="C871" s="25"/>
      <c r="D871" s="25"/>
      <c r="E871" s="25"/>
      <c r="F871" s="25"/>
      <c r="G871" s="25"/>
      <c r="H871" s="46"/>
      <c r="I871" s="52"/>
      <c r="J871" s="46"/>
      <c r="K871" s="52"/>
      <c r="L871" s="46"/>
      <c r="M871" s="52"/>
      <c r="N871" s="53"/>
      <c r="O871" s="25"/>
      <c r="P871" s="55"/>
      <c r="Q871" s="34"/>
      <c r="R871" s="54"/>
      <c r="S871" s="55"/>
      <c r="T871" s="25"/>
      <c r="U871" s="25"/>
      <c r="V871" s="24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</row>
    <row r="872">
      <c r="A872" s="25"/>
      <c r="B872" s="25"/>
      <c r="C872" s="25"/>
      <c r="D872" s="25"/>
      <c r="E872" s="25"/>
      <c r="F872" s="25"/>
      <c r="G872" s="25"/>
      <c r="H872" s="46"/>
      <c r="I872" s="52"/>
      <c r="J872" s="46"/>
      <c r="K872" s="52"/>
      <c r="L872" s="46"/>
      <c r="M872" s="52"/>
      <c r="N872" s="53"/>
      <c r="O872" s="25"/>
      <c r="P872" s="55"/>
      <c r="Q872" s="34"/>
      <c r="R872" s="54"/>
      <c r="S872" s="55"/>
      <c r="T872" s="25"/>
      <c r="U872" s="25"/>
      <c r="V872" s="24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</row>
    <row r="873">
      <c r="A873" s="25"/>
      <c r="B873" s="25"/>
      <c r="C873" s="25"/>
      <c r="D873" s="25"/>
      <c r="E873" s="25"/>
      <c r="F873" s="25"/>
      <c r="G873" s="25"/>
      <c r="H873" s="46"/>
      <c r="I873" s="52"/>
      <c r="J873" s="46"/>
      <c r="K873" s="52"/>
      <c r="L873" s="46"/>
      <c r="M873" s="52"/>
      <c r="N873" s="53"/>
      <c r="O873" s="25"/>
      <c r="P873" s="55"/>
      <c r="Q873" s="34"/>
      <c r="R873" s="54"/>
      <c r="S873" s="55"/>
      <c r="T873" s="25"/>
      <c r="U873" s="25"/>
      <c r="V873" s="24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</row>
    <row r="874">
      <c r="A874" s="25"/>
      <c r="B874" s="25"/>
      <c r="C874" s="25"/>
      <c r="D874" s="25"/>
      <c r="E874" s="25"/>
      <c r="F874" s="25"/>
      <c r="G874" s="25"/>
      <c r="H874" s="46"/>
      <c r="I874" s="52"/>
      <c r="J874" s="46"/>
      <c r="K874" s="52"/>
      <c r="L874" s="46"/>
      <c r="M874" s="52"/>
      <c r="N874" s="53"/>
      <c r="O874" s="25"/>
      <c r="P874" s="55"/>
      <c r="Q874" s="34"/>
      <c r="R874" s="54"/>
      <c r="S874" s="55"/>
      <c r="T874" s="25"/>
      <c r="U874" s="25"/>
      <c r="V874" s="24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</row>
    <row r="875">
      <c r="A875" s="25"/>
      <c r="B875" s="25"/>
      <c r="C875" s="25"/>
      <c r="D875" s="25"/>
      <c r="E875" s="25"/>
      <c r="F875" s="25"/>
      <c r="G875" s="25"/>
      <c r="H875" s="46"/>
      <c r="I875" s="52"/>
      <c r="J875" s="46"/>
      <c r="K875" s="52"/>
      <c r="L875" s="46"/>
      <c r="M875" s="52"/>
      <c r="N875" s="53"/>
      <c r="O875" s="25"/>
      <c r="P875" s="55"/>
      <c r="Q875" s="34"/>
      <c r="R875" s="54"/>
      <c r="S875" s="55"/>
      <c r="T875" s="25"/>
      <c r="U875" s="25"/>
      <c r="V875" s="24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</row>
    <row r="876">
      <c r="A876" s="25"/>
      <c r="B876" s="25"/>
      <c r="C876" s="25"/>
      <c r="D876" s="25"/>
      <c r="E876" s="25"/>
      <c r="F876" s="25"/>
      <c r="G876" s="25"/>
      <c r="H876" s="46"/>
      <c r="I876" s="52"/>
      <c r="J876" s="46"/>
      <c r="K876" s="52"/>
      <c r="L876" s="46"/>
      <c r="M876" s="52"/>
      <c r="N876" s="53"/>
      <c r="O876" s="25"/>
      <c r="P876" s="55"/>
      <c r="Q876" s="34"/>
      <c r="R876" s="54"/>
      <c r="S876" s="55"/>
      <c r="T876" s="25"/>
      <c r="U876" s="25"/>
      <c r="V876" s="24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</row>
    <row r="877">
      <c r="A877" s="25"/>
      <c r="B877" s="25"/>
      <c r="C877" s="25"/>
      <c r="D877" s="25"/>
      <c r="E877" s="25"/>
      <c r="F877" s="25"/>
      <c r="G877" s="25"/>
      <c r="H877" s="46"/>
      <c r="I877" s="52"/>
      <c r="J877" s="46"/>
      <c r="K877" s="52"/>
      <c r="L877" s="46"/>
      <c r="M877" s="52"/>
      <c r="N877" s="53"/>
      <c r="O877" s="25"/>
      <c r="P877" s="55"/>
      <c r="Q877" s="34"/>
      <c r="R877" s="54"/>
      <c r="S877" s="55"/>
      <c r="T877" s="25"/>
      <c r="U877" s="25"/>
      <c r="V877" s="24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</row>
    <row r="878">
      <c r="A878" s="25"/>
      <c r="B878" s="25"/>
      <c r="C878" s="25"/>
      <c r="D878" s="25"/>
      <c r="E878" s="25"/>
      <c r="F878" s="25"/>
      <c r="G878" s="25"/>
      <c r="H878" s="46"/>
      <c r="I878" s="52"/>
      <c r="J878" s="46"/>
      <c r="K878" s="52"/>
      <c r="L878" s="46"/>
      <c r="M878" s="52"/>
      <c r="N878" s="53"/>
      <c r="O878" s="25"/>
      <c r="P878" s="55"/>
      <c r="Q878" s="34"/>
      <c r="R878" s="54"/>
      <c r="S878" s="55"/>
      <c r="T878" s="25"/>
      <c r="U878" s="25"/>
      <c r="V878" s="24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</row>
    <row r="879">
      <c r="A879" s="25"/>
      <c r="B879" s="25"/>
      <c r="C879" s="25"/>
      <c r="D879" s="25"/>
      <c r="E879" s="25"/>
      <c r="F879" s="25"/>
      <c r="G879" s="25"/>
      <c r="H879" s="46"/>
      <c r="I879" s="52"/>
      <c r="J879" s="46"/>
      <c r="K879" s="52"/>
      <c r="L879" s="46"/>
      <c r="M879" s="52"/>
      <c r="N879" s="53"/>
      <c r="O879" s="25"/>
      <c r="P879" s="55"/>
      <c r="Q879" s="34"/>
      <c r="R879" s="54"/>
      <c r="S879" s="55"/>
      <c r="T879" s="25"/>
      <c r="U879" s="25"/>
      <c r="V879" s="24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</row>
    <row r="880">
      <c r="A880" s="25"/>
      <c r="B880" s="25"/>
      <c r="C880" s="25"/>
      <c r="D880" s="25"/>
      <c r="E880" s="25"/>
      <c r="F880" s="25"/>
      <c r="G880" s="25"/>
      <c r="H880" s="46"/>
      <c r="I880" s="52"/>
      <c r="J880" s="46"/>
      <c r="K880" s="52"/>
      <c r="L880" s="46"/>
      <c r="M880" s="52"/>
      <c r="N880" s="53"/>
      <c r="O880" s="25"/>
      <c r="P880" s="55"/>
      <c r="Q880" s="34"/>
      <c r="R880" s="54"/>
      <c r="S880" s="55"/>
      <c r="T880" s="25"/>
      <c r="U880" s="25"/>
      <c r="V880" s="24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</row>
    <row r="881">
      <c r="A881" s="25"/>
      <c r="B881" s="25"/>
      <c r="C881" s="25"/>
      <c r="D881" s="25"/>
      <c r="E881" s="25"/>
      <c r="F881" s="25"/>
      <c r="G881" s="25"/>
      <c r="H881" s="46"/>
      <c r="I881" s="52"/>
      <c r="J881" s="46"/>
      <c r="K881" s="52"/>
      <c r="L881" s="46"/>
      <c r="M881" s="52"/>
      <c r="N881" s="53"/>
      <c r="O881" s="25"/>
      <c r="P881" s="55"/>
      <c r="Q881" s="34"/>
      <c r="R881" s="54"/>
      <c r="S881" s="55"/>
      <c r="T881" s="25"/>
      <c r="U881" s="25"/>
      <c r="V881" s="24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</row>
    <row r="882">
      <c r="A882" s="25"/>
      <c r="B882" s="25"/>
      <c r="C882" s="25"/>
      <c r="D882" s="25"/>
      <c r="E882" s="25"/>
      <c r="F882" s="25"/>
      <c r="G882" s="25"/>
      <c r="H882" s="46"/>
      <c r="I882" s="52"/>
      <c r="J882" s="46"/>
      <c r="K882" s="52"/>
      <c r="L882" s="46"/>
      <c r="M882" s="52"/>
      <c r="N882" s="53"/>
      <c r="O882" s="25"/>
      <c r="P882" s="55"/>
      <c r="Q882" s="34"/>
      <c r="R882" s="54"/>
      <c r="S882" s="55"/>
      <c r="T882" s="25"/>
      <c r="U882" s="25"/>
      <c r="V882" s="24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</row>
    <row r="883">
      <c r="A883" s="25"/>
      <c r="B883" s="25"/>
      <c r="C883" s="25"/>
      <c r="D883" s="25"/>
      <c r="E883" s="25"/>
      <c r="F883" s="25"/>
      <c r="G883" s="25"/>
      <c r="H883" s="46"/>
      <c r="I883" s="52"/>
      <c r="J883" s="46"/>
      <c r="K883" s="52"/>
      <c r="L883" s="46"/>
      <c r="M883" s="52"/>
      <c r="N883" s="53"/>
      <c r="O883" s="25"/>
      <c r="P883" s="55"/>
      <c r="Q883" s="34"/>
      <c r="R883" s="54"/>
      <c r="S883" s="55"/>
      <c r="T883" s="25"/>
      <c r="U883" s="25"/>
      <c r="V883" s="24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</row>
    <row r="884">
      <c r="A884" s="25"/>
      <c r="B884" s="25"/>
      <c r="C884" s="25"/>
      <c r="D884" s="25"/>
      <c r="E884" s="25"/>
      <c r="F884" s="25"/>
      <c r="G884" s="25"/>
      <c r="H884" s="46"/>
      <c r="I884" s="52"/>
      <c r="J884" s="46"/>
      <c r="K884" s="52"/>
      <c r="L884" s="46"/>
      <c r="M884" s="52"/>
      <c r="N884" s="53"/>
      <c r="O884" s="25"/>
      <c r="P884" s="55"/>
      <c r="Q884" s="34"/>
      <c r="R884" s="54"/>
      <c r="S884" s="55"/>
      <c r="T884" s="25"/>
      <c r="U884" s="25"/>
      <c r="V884" s="24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</row>
    <row r="885">
      <c r="A885" s="25"/>
      <c r="B885" s="25"/>
      <c r="C885" s="25"/>
      <c r="D885" s="25"/>
      <c r="E885" s="25"/>
      <c r="F885" s="25"/>
      <c r="G885" s="25"/>
      <c r="H885" s="46"/>
      <c r="I885" s="52"/>
      <c r="J885" s="46"/>
      <c r="K885" s="52"/>
      <c r="L885" s="46"/>
      <c r="M885" s="52"/>
      <c r="N885" s="53"/>
      <c r="O885" s="25"/>
      <c r="P885" s="55"/>
      <c r="Q885" s="34"/>
      <c r="R885" s="54"/>
      <c r="S885" s="55"/>
      <c r="T885" s="25"/>
      <c r="U885" s="25"/>
      <c r="V885" s="24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</row>
    <row r="886">
      <c r="A886" s="25"/>
      <c r="B886" s="25"/>
      <c r="C886" s="25"/>
      <c r="D886" s="25"/>
      <c r="E886" s="25"/>
      <c r="F886" s="25"/>
      <c r="G886" s="25"/>
      <c r="H886" s="46"/>
      <c r="I886" s="52"/>
      <c r="J886" s="46"/>
      <c r="K886" s="52"/>
      <c r="L886" s="46"/>
      <c r="M886" s="52"/>
      <c r="N886" s="53"/>
      <c r="O886" s="25"/>
      <c r="P886" s="55"/>
      <c r="Q886" s="34"/>
      <c r="R886" s="54"/>
      <c r="S886" s="55"/>
      <c r="T886" s="25"/>
      <c r="U886" s="25"/>
      <c r="V886" s="24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</row>
    <row r="887">
      <c r="A887" s="25"/>
      <c r="B887" s="25"/>
      <c r="C887" s="25"/>
      <c r="D887" s="25"/>
      <c r="E887" s="25"/>
      <c r="F887" s="25"/>
      <c r="G887" s="25"/>
      <c r="H887" s="46"/>
      <c r="I887" s="52"/>
      <c r="J887" s="46"/>
      <c r="K887" s="52"/>
      <c r="L887" s="46"/>
      <c r="M887" s="52"/>
      <c r="N887" s="53"/>
      <c r="O887" s="25"/>
      <c r="P887" s="55"/>
      <c r="Q887" s="34"/>
      <c r="R887" s="54"/>
      <c r="S887" s="55"/>
      <c r="T887" s="25"/>
      <c r="U887" s="25"/>
      <c r="V887" s="24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</row>
    <row r="888">
      <c r="A888" s="25"/>
      <c r="B888" s="25"/>
      <c r="C888" s="25"/>
      <c r="D888" s="25"/>
      <c r="E888" s="25"/>
      <c r="F888" s="25"/>
      <c r="G888" s="25"/>
      <c r="H888" s="46"/>
      <c r="I888" s="52"/>
      <c r="J888" s="46"/>
      <c r="K888" s="52"/>
      <c r="L888" s="46"/>
      <c r="M888" s="52"/>
      <c r="N888" s="53"/>
      <c r="O888" s="25"/>
      <c r="P888" s="55"/>
      <c r="Q888" s="34"/>
      <c r="R888" s="54"/>
      <c r="S888" s="55"/>
      <c r="T888" s="25"/>
      <c r="U888" s="25"/>
      <c r="V888" s="24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</row>
    <row r="889">
      <c r="A889" s="25"/>
      <c r="B889" s="25"/>
      <c r="C889" s="25"/>
      <c r="D889" s="25"/>
      <c r="E889" s="25"/>
      <c r="F889" s="25"/>
      <c r="G889" s="25"/>
      <c r="H889" s="46"/>
      <c r="I889" s="52"/>
      <c r="J889" s="46"/>
      <c r="K889" s="52"/>
      <c r="L889" s="46"/>
      <c r="M889" s="52"/>
      <c r="N889" s="53"/>
      <c r="O889" s="25"/>
      <c r="P889" s="55"/>
      <c r="Q889" s="34"/>
      <c r="R889" s="54"/>
      <c r="S889" s="55"/>
      <c r="T889" s="25"/>
      <c r="U889" s="25"/>
      <c r="V889" s="24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</row>
    <row r="890">
      <c r="A890" s="25"/>
      <c r="B890" s="25"/>
      <c r="C890" s="25"/>
      <c r="D890" s="25"/>
      <c r="E890" s="25"/>
      <c r="F890" s="25"/>
      <c r="G890" s="25"/>
      <c r="H890" s="46"/>
      <c r="I890" s="52"/>
      <c r="J890" s="46"/>
      <c r="K890" s="52"/>
      <c r="L890" s="46"/>
      <c r="M890" s="52"/>
      <c r="N890" s="53"/>
      <c r="O890" s="25"/>
      <c r="P890" s="55"/>
      <c r="Q890" s="34"/>
      <c r="R890" s="54"/>
      <c r="S890" s="55"/>
      <c r="T890" s="25"/>
      <c r="U890" s="25"/>
      <c r="V890" s="24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</row>
    <row r="891">
      <c r="A891" s="25"/>
      <c r="B891" s="25"/>
      <c r="C891" s="25"/>
      <c r="D891" s="25"/>
      <c r="E891" s="25"/>
      <c r="F891" s="25"/>
      <c r="G891" s="25"/>
      <c r="H891" s="46"/>
      <c r="I891" s="52"/>
      <c r="J891" s="46"/>
      <c r="K891" s="52"/>
      <c r="L891" s="46"/>
      <c r="M891" s="52"/>
      <c r="N891" s="53"/>
      <c r="O891" s="25"/>
      <c r="P891" s="55"/>
      <c r="Q891" s="34"/>
      <c r="R891" s="54"/>
      <c r="S891" s="55"/>
      <c r="T891" s="25"/>
      <c r="U891" s="25"/>
      <c r="V891" s="24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</row>
    <row r="892">
      <c r="A892" s="25"/>
      <c r="B892" s="25"/>
      <c r="C892" s="25"/>
      <c r="D892" s="25"/>
      <c r="E892" s="25"/>
      <c r="F892" s="25"/>
      <c r="G892" s="25"/>
      <c r="H892" s="46"/>
      <c r="I892" s="52"/>
      <c r="J892" s="46"/>
      <c r="K892" s="52"/>
      <c r="L892" s="46"/>
      <c r="M892" s="52"/>
      <c r="N892" s="53"/>
      <c r="O892" s="25"/>
      <c r="P892" s="55"/>
      <c r="Q892" s="34"/>
      <c r="R892" s="54"/>
      <c r="S892" s="55"/>
      <c r="T892" s="25"/>
      <c r="U892" s="25"/>
      <c r="V892" s="24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</row>
    <row r="893">
      <c r="A893" s="25"/>
      <c r="B893" s="25"/>
      <c r="C893" s="25"/>
      <c r="D893" s="25"/>
      <c r="E893" s="25"/>
      <c r="F893" s="25"/>
      <c r="G893" s="25"/>
      <c r="H893" s="46"/>
      <c r="I893" s="52"/>
      <c r="J893" s="46"/>
      <c r="K893" s="52"/>
      <c r="L893" s="46"/>
      <c r="M893" s="52"/>
      <c r="N893" s="53"/>
      <c r="O893" s="25"/>
      <c r="P893" s="55"/>
      <c r="Q893" s="34"/>
      <c r="R893" s="54"/>
      <c r="S893" s="55"/>
      <c r="T893" s="25"/>
      <c r="U893" s="25"/>
      <c r="V893" s="24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</row>
    <row r="894">
      <c r="A894" s="25"/>
      <c r="B894" s="25"/>
      <c r="C894" s="25"/>
      <c r="D894" s="25"/>
      <c r="E894" s="25"/>
      <c r="F894" s="25"/>
      <c r="G894" s="25"/>
      <c r="H894" s="46"/>
      <c r="I894" s="52"/>
      <c r="J894" s="46"/>
      <c r="K894" s="52"/>
      <c r="L894" s="46"/>
      <c r="M894" s="52"/>
      <c r="N894" s="53"/>
      <c r="O894" s="25"/>
      <c r="P894" s="55"/>
      <c r="Q894" s="34"/>
      <c r="R894" s="54"/>
      <c r="S894" s="55"/>
      <c r="T894" s="25"/>
      <c r="U894" s="25"/>
      <c r="V894" s="24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</row>
    <row r="895">
      <c r="A895" s="25"/>
      <c r="B895" s="25"/>
      <c r="C895" s="25"/>
      <c r="D895" s="25"/>
      <c r="E895" s="25"/>
      <c r="F895" s="25"/>
      <c r="G895" s="25"/>
      <c r="H895" s="46"/>
      <c r="I895" s="52"/>
      <c r="J895" s="46"/>
      <c r="K895" s="52"/>
      <c r="L895" s="46"/>
      <c r="M895" s="52"/>
      <c r="N895" s="53"/>
      <c r="O895" s="25"/>
      <c r="P895" s="55"/>
      <c r="Q895" s="34"/>
      <c r="R895" s="54"/>
      <c r="S895" s="55"/>
      <c r="T895" s="25"/>
      <c r="U895" s="25"/>
      <c r="V895" s="24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</row>
    <row r="896">
      <c r="A896" s="25"/>
      <c r="B896" s="25"/>
      <c r="C896" s="25"/>
      <c r="D896" s="25"/>
      <c r="E896" s="25"/>
      <c r="F896" s="25"/>
      <c r="G896" s="25"/>
      <c r="H896" s="46"/>
      <c r="I896" s="52"/>
      <c r="J896" s="46"/>
      <c r="K896" s="52"/>
      <c r="L896" s="46"/>
      <c r="M896" s="52"/>
      <c r="N896" s="53"/>
      <c r="O896" s="25"/>
      <c r="P896" s="55"/>
      <c r="Q896" s="34"/>
      <c r="R896" s="54"/>
      <c r="S896" s="55"/>
      <c r="T896" s="25"/>
      <c r="U896" s="25"/>
      <c r="V896" s="24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</row>
    <row r="897">
      <c r="A897" s="25"/>
      <c r="B897" s="25"/>
      <c r="C897" s="25"/>
      <c r="D897" s="25"/>
      <c r="E897" s="25"/>
      <c r="F897" s="25"/>
      <c r="G897" s="25"/>
      <c r="H897" s="46"/>
      <c r="I897" s="52"/>
      <c r="J897" s="46"/>
      <c r="K897" s="52"/>
      <c r="L897" s="46"/>
      <c r="M897" s="52"/>
      <c r="N897" s="53"/>
      <c r="O897" s="25"/>
      <c r="P897" s="55"/>
      <c r="Q897" s="34"/>
      <c r="R897" s="54"/>
      <c r="S897" s="55"/>
      <c r="T897" s="25"/>
      <c r="U897" s="25"/>
      <c r="V897" s="24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</row>
    <row r="898">
      <c r="A898" s="25"/>
      <c r="B898" s="25"/>
      <c r="C898" s="25"/>
      <c r="D898" s="25"/>
      <c r="E898" s="25"/>
      <c r="F898" s="25"/>
      <c r="G898" s="25"/>
      <c r="H898" s="46"/>
      <c r="I898" s="52"/>
      <c r="J898" s="46"/>
      <c r="K898" s="52"/>
      <c r="L898" s="46"/>
      <c r="M898" s="52"/>
      <c r="N898" s="53"/>
      <c r="O898" s="25"/>
      <c r="P898" s="55"/>
      <c r="Q898" s="34"/>
      <c r="R898" s="54"/>
      <c r="S898" s="55"/>
      <c r="T898" s="25"/>
      <c r="U898" s="25"/>
      <c r="V898" s="24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</row>
    <row r="899">
      <c r="A899" s="25"/>
      <c r="B899" s="25"/>
      <c r="C899" s="25"/>
      <c r="D899" s="25"/>
      <c r="E899" s="25"/>
      <c r="F899" s="25"/>
      <c r="G899" s="25"/>
      <c r="H899" s="46"/>
      <c r="I899" s="52"/>
      <c r="J899" s="46"/>
      <c r="K899" s="52"/>
      <c r="L899" s="46"/>
      <c r="M899" s="52"/>
      <c r="N899" s="53"/>
      <c r="O899" s="25"/>
      <c r="P899" s="55"/>
      <c r="Q899" s="34"/>
      <c r="R899" s="54"/>
      <c r="S899" s="55"/>
      <c r="T899" s="25"/>
      <c r="U899" s="25"/>
      <c r="V899" s="24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</row>
    <row r="900">
      <c r="A900" s="25"/>
      <c r="B900" s="25"/>
      <c r="C900" s="25"/>
      <c r="D900" s="25"/>
      <c r="E900" s="25"/>
      <c r="F900" s="25"/>
      <c r="G900" s="25"/>
      <c r="H900" s="46"/>
      <c r="I900" s="52"/>
      <c r="J900" s="46"/>
      <c r="K900" s="52"/>
      <c r="L900" s="46"/>
      <c r="M900" s="52"/>
      <c r="N900" s="53"/>
      <c r="O900" s="25"/>
      <c r="P900" s="55"/>
      <c r="Q900" s="34"/>
      <c r="R900" s="54"/>
      <c r="S900" s="55"/>
      <c r="T900" s="25"/>
      <c r="U900" s="25"/>
      <c r="V900" s="24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</row>
    <row r="901">
      <c r="A901" s="25"/>
      <c r="B901" s="25"/>
      <c r="C901" s="25"/>
      <c r="D901" s="25"/>
      <c r="E901" s="25"/>
      <c r="F901" s="25"/>
      <c r="G901" s="25"/>
      <c r="H901" s="46"/>
      <c r="I901" s="52"/>
      <c r="J901" s="46"/>
      <c r="K901" s="52"/>
      <c r="L901" s="46"/>
      <c r="M901" s="52"/>
      <c r="N901" s="53"/>
      <c r="O901" s="25"/>
      <c r="P901" s="55"/>
      <c r="Q901" s="34"/>
      <c r="R901" s="54"/>
      <c r="S901" s="55"/>
      <c r="T901" s="25"/>
      <c r="U901" s="25"/>
      <c r="V901" s="24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</row>
    <row r="902">
      <c r="A902" s="25"/>
      <c r="B902" s="25"/>
      <c r="C902" s="25"/>
      <c r="D902" s="25"/>
      <c r="E902" s="25"/>
      <c r="F902" s="25"/>
      <c r="G902" s="25"/>
      <c r="H902" s="46"/>
      <c r="I902" s="52"/>
      <c r="J902" s="46"/>
      <c r="K902" s="52"/>
      <c r="L902" s="46"/>
      <c r="M902" s="52"/>
      <c r="N902" s="53"/>
      <c r="O902" s="25"/>
      <c r="P902" s="55"/>
      <c r="Q902" s="34"/>
      <c r="R902" s="54"/>
      <c r="S902" s="55"/>
      <c r="T902" s="25"/>
      <c r="U902" s="25"/>
      <c r="V902" s="24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</row>
    <row r="903">
      <c r="A903" s="25"/>
      <c r="B903" s="25"/>
      <c r="C903" s="25"/>
      <c r="D903" s="25"/>
      <c r="E903" s="25"/>
      <c r="F903" s="25"/>
      <c r="G903" s="25"/>
      <c r="H903" s="46"/>
      <c r="I903" s="52"/>
      <c r="J903" s="46"/>
      <c r="K903" s="52"/>
      <c r="L903" s="46"/>
      <c r="M903" s="52"/>
      <c r="N903" s="53"/>
      <c r="O903" s="25"/>
      <c r="P903" s="55"/>
      <c r="Q903" s="34"/>
      <c r="R903" s="54"/>
      <c r="S903" s="55"/>
      <c r="T903" s="25"/>
      <c r="U903" s="25"/>
      <c r="V903" s="24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</row>
    <row r="904">
      <c r="A904" s="25"/>
      <c r="B904" s="25"/>
      <c r="C904" s="25"/>
      <c r="D904" s="25"/>
      <c r="E904" s="25"/>
      <c r="F904" s="25"/>
      <c r="G904" s="25"/>
      <c r="H904" s="46"/>
      <c r="I904" s="52"/>
      <c r="J904" s="46"/>
      <c r="K904" s="52"/>
      <c r="L904" s="46"/>
      <c r="M904" s="52"/>
      <c r="N904" s="53"/>
      <c r="O904" s="25"/>
      <c r="P904" s="55"/>
      <c r="Q904" s="34"/>
      <c r="R904" s="54"/>
      <c r="S904" s="55"/>
      <c r="T904" s="25"/>
      <c r="U904" s="25"/>
      <c r="V904" s="24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</row>
    <row r="905">
      <c r="A905" s="25"/>
      <c r="B905" s="25"/>
      <c r="C905" s="25"/>
      <c r="D905" s="25"/>
      <c r="E905" s="25"/>
      <c r="F905" s="25"/>
      <c r="G905" s="25"/>
      <c r="H905" s="46"/>
      <c r="I905" s="52"/>
      <c r="J905" s="46"/>
      <c r="K905" s="52"/>
      <c r="L905" s="46"/>
      <c r="M905" s="52"/>
      <c r="N905" s="53"/>
      <c r="O905" s="25"/>
      <c r="P905" s="55"/>
      <c r="Q905" s="34"/>
      <c r="R905" s="54"/>
      <c r="S905" s="55"/>
      <c r="T905" s="25"/>
      <c r="U905" s="25"/>
      <c r="V905" s="24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</row>
    <row r="906">
      <c r="A906" s="25"/>
      <c r="B906" s="25"/>
      <c r="C906" s="25"/>
      <c r="D906" s="25"/>
      <c r="E906" s="25"/>
      <c r="F906" s="25"/>
      <c r="G906" s="25"/>
      <c r="H906" s="46"/>
      <c r="I906" s="52"/>
      <c r="J906" s="46"/>
      <c r="K906" s="52"/>
      <c r="L906" s="46"/>
      <c r="M906" s="52"/>
      <c r="N906" s="53"/>
      <c r="O906" s="25"/>
      <c r="P906" s="55"/>
      <c r="Q906" s="34"/>
      <c r="R906" s="54"/>
      <c r="S906" s="55"/>
      <c r="T906" s="25"/>
      <c r="U906" s="25"/>
      <c r="V906" s="24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</row>
    <row r="907">
      <c r="A907" s="25"/>
      <c r="B907" s="25"/>
      <c r="C907" s="25"/>
      <c r="D907" s="25"/>
      <c r="E907" s="25"/>
      <c r="F907" s="25"/>
      <c r="G907" s="25"/>
      <c r="H907" s="46"/>
      <c r="I907" s="52"/>
      <c r="J907" s="46"/>
      <c r="K907" s="52"/>
      <c r="L907" s="46"/>
      <c r="M907" s="52"/>
      <c r="N907" s="53"/>
      <c r="O907" s="25"/>
      <c r="P907" s="55"/>
      <c r="Q907" s="34"/>
      <c r="R907" s="54"/>
      <c r="S907" s="55"/>
      <c r="T907" s="25"/>
      <c r="U907" s="25"/>
      <c r="V907" s="24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</row>
    <row r="908">
      <c r="A908" s="25"/>
      <c r="B908" s="25"/>
      <c r="C908" s="25"/>
      <c r="D908" s="25"/>
      <c r="E908" s="25"/>
      <c r="F908" s="25"/>
      <c r="G908" s="25"/>
      <c r="H908" s="46"/>
      <c r="I908" s="52"/>
      <c r="J908" s="46"/>
      <c r="K908" s="52"/>
      <c r="L908" s="46"/>
      <c r="M908" s="52"/>
      <c r="N908" s="53"/>
      <c r="O908" s="25"/>
      <c r="P908" s="55"/>
      <c r="Q908" s="34"/>
      <c r="R908" s="54"/>
      <c r="S908" s="55"/>
      <c r="T908" s="25"/>
      <c r="U908" s="25"/>
      <c r="V908" s="24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</row>
    <row r="909">
      <c r="A909" s="25"/>
      <c r="B909" s="25"/>
      <c r="C909" s="25"/>
      <c r="D909" s="25"/>
      <c r="E909" s="25"/>
      <c r="F909" s="25"/>
      <c r="G909" s="25"/>
      <c r="H909" s="46"/>
      <c r="I909" s="52"/>
      <c r="J909" s="46"/>
      <c r="K909" s="52"/>
      <c r="L909" s="46"/>
      <c r="M909" s="52"/>
      <c r="N909" s="53"/>
      <c r="O909" s="25"/>
      <c r="P909" s="55"/>
      <c r="Q909" s="34"/>
      <c r="R909" s="54"/>
      <c r="S909" s="55"/>
      <c r="T909" s="25"/>
      <c r="U909" s="25"/>
      <c r="V909" s="24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</row>
    <row r="910">
      <c r="A910" s="25"/>
      <c r="B910" s="25"/>
      <c r="C910" s="25"/>
      <c r="D910" s="25"/>
      <c r="E910" s="25"/>
      <c r="F910" s="25"/>
      <c r="G910" s="25"/>
      <c r="H910" s="46"/>
      <c r="I910" s="52"/>
      <c r="J910" s="46"/>
      <c r="K910" s="52"/>
      <c r="L910" s="46"/>
      <c r="M910" s="52"/>
      <c r="N910" s="53"/>
      <c r="O910" s="25"/>
      <c r="P910" s="55"/>
      <c r="Q910" s="34"/>
      <c r="R910" s="54"/>
      <c r="S910" s="55"/>
      <c r="T910" s="25"/>
      <c r="U910" s="25"/>
      <c r="V910" s="24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</row>
    <row r="911">
      <c r="A911" s="25"/>
      <c r="B911" s="25"/>
      <c r="C911" s="25"/>
      <c r="D911" s="25"/>
      <c r="E911" s="25"/>
      <c r="F911" s="25"/>
      <c r="G911" s="25"/>
      <c r="H911" s="46"/>
      <c r="I911" s="52"/>
      <c r="J911" s="46"/>
      <c r="K911" s="52"/>
      <c r="L911" s="46"/>
      <c r="M911" s="52"/>
      <c r="N911" s="53"/>
      <c r="O911" s="25"/>
      <c r="P911" s="55"/>
      <c r="Q911" s="34"/>
      <c r="R911" s="54"/>
      <c r="S911" s="55"/>
      <c r="T911" s="25"/>
      <c r="U911" s="25"/>
      <c r="V911" s="24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</row>
    <row r="912">
      <c r="A912" s="25"/>
      <c r="B912" s="25"/>
      <c r="C912" s="25"/>
      <c r="D912" s="25"/>
      <c r="E912" s="25"/>
      <c r="F912" s="25"/>
      <c r="G912" s="25"/>
      <c r="H912" s="46"/>
      <c r="I912" s="52"/>
      <c r="J912" s="46"/>
      <c r="K912" s="52"/>
      <c r="L912" s="46"/>
      <c r="M912" s="52"/>
      <c r="N912" s="53"/>
      <c r="O912" s="25"/>
      <c r="P912" s="55"/>
      <c r="Q912" s="34"/>
      <c r="R912" s="54"/>
      <c r="S912" s="55"/>
      <c r="T912" s="25"/>
      <c r="U912" s="25"/>
      <c r="V912" s="24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</row>
    <row r="913">
      <c r="A913" s="25"/>
      <c r="B913" s="25"/>
      <c r="C913" s="25"/>
      <c r="D913" s="25"/>
      <c r="E913" s="25"/>
      <c r="F913" s="25"/>
      <c r="G913" s="25"/>
      <c r="H913" s="46"/>
      <c r="I913" s="52"/>
      <c r="J913" s="46"/>
      <c r="K913" s="52"/>
      <c r="L913" s="46"/>
      <c r="M913" s="52"/>
      <c r="N913" s="53"/>
      <c r="O913" s="25"/>
      <c r="P913" s="55"/>
      <c r="Q913" s="34"/>
      <c r="R913" s="54"/>
      <c r="S913" s="55"/>
      <c r="T913" s="25"/>
      <c r="U913" s="25"/>
      <c r="V913" s="24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</row>
    <row r="914">
      <c r="A914" s="25"/>
      <c r="B914" s="25"/>
      <c r="C914" s="25"/>
      <c r="D914" s="25"/>
      <c r="E914" s="25"/>
      <c r="F914" s="25"/>
      <c r="G914" s="25"/>
      <c r="H914" s="46"/>
      <c r="I914" s="52"/>
      <c r="J914" s="46"/>
      <c r="K914" s="52"/>
      <c r="L914" s="46"/>
      <c r="M914" s="52"/>
      <c r="N914" s="53"/>
      <c r="O914" s="25"/>
      <c r="P914" s="55"/>
      <c r="Q914" s="34"/>
      <c r="R914" s="54"/>
      <c r="S914" s="55"/>
      <c r="T914" s="25"/>
      <c r="U914" s="25"/>
      <c r="V914" s="24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</row>
    <row r="915">
      <c r="A915" s="25"/>
      <c r="B915" s="25"/>
      <c r="C915" s="25"/>
      <c r="D915" s="25"/>
      <c r="E915" s="25"/>
      <c r="F915" s="25"/>
      <c r="G915" s="25"/>
      <c r="H915" s="46"/>
      <c r="I915" s="52"/>
      <c r="J915" s="46"/>
      <c r="K915" s="52"/>
      <c r="L915" s="46"/>
      <c r="M915" s="52"/>
      <c r="N915" s="53"/>
      <c r="O915" s="25"/>
      <c r="P915" s="55"/>
      <c r="Q915" s="34"/>
      <c r="R915" s="54"/>
      <c r="S915" s="55"/>
      <c r="T915" s="25"/>
      <c r="U915" s="25"/>
      <c r="V915" s="24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</row>
    <row r="916">
      <c r="A916" s="25"/>
      <c r="B916" s="25"/>
      <c r="C916" s="25"/>
      <c r="D916" s="25"/>
      <c r="E916" s="25"/>
      <c r="F916" s="25"/>
      <c r="G916" s="25"/>
      <c r="H916" s="46"/>
      <c r="I916" s="52"/>
      <c r="J916" s="46"/>
      <c r="K916" s="52"/>
      <c r="L916" s="46"/>
      <c r="M916" s="52"/>
      <c r="N916" s="53"/>
      <c r="O916" s="25"/>
      <c r="P916" s="55"/>
      <c r="Q916" s="34"/>
      <c r="R916" s="54"/>
      <c r="S916" s="55"/>
      <c r="T916" s="25"/>
      <c r="U916" s="25"/>
      <c r="V916" s="24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</row>
    <row r="917">
      <c r="A917" s="25"/>
      <c r="B917" s="25"/>
      <c r="C917" s="25"/>
      <c r="D917" s="25"/>
      <c r="E917" s="25"/>
      <c r="F917" s="25"/>
      <c r="G917" s="25"/>
      <c r="H917" s="46"/>
      <c r="I917" s="52"/>
      <c r="J917" s="46"/>
      <c r="K917" s="52"/>
      <c r="L917" s="46"/>
      <c r="M917" s="52"/>
      <c r="N917" s="53"/>
      <c r="O917" s="25"/>
      <c r="P917" s="55"/>
      <c r="Q917" s="34"/>
      <c r="R917" s="54"/>
      <c r="S917" s="55"/>
      <c r="T917" s="25"/>
      <c r="U917" s="25"/>
      <c r="V917" s="24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</row>
    <row r="918">
      <c r="A918" s="25"/>
      <c r="B918" s="25"/>
      <c r="C918" s="25"/>
      <c r="D918" s="25"/>
      <c r="E918" s="25"/>
      <c r="F918" s="25"/>
      <c r="G918" s="25"/>
      <c r="H918" s="46"/>
      <c r="I918" s="52"/>
      <c r="J918" s="46"/>
      <c r="K918" s="52"/>
      <c r="L918" s="46"/>
      <c r="M918" s="52"/>
      <c r="N918" s="53"/>
      <c r="O918" s="25"/>
      <c r="P918" s="55"/>
      <c r="Q918" s="34"/>
      <c r="R918" s="54"/>
      <c r="S918" s="55"/>
      <c r="T918" s="25"/>
      <c r="U918" s="25"/>
      <c r="V918" s="24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</row>
    <row r="919">
      <c r="A919" s="25"/>
      <c r="B919" s="25"/>
      <c r="C919" s="25"/>
      <c r="D919" s="25"/>
      <c r="E919" s="25"/>
      <c r="F919" s="25"/>
      <c r="G919" s="25"/>
      <c r="H919" s="46"/>
      <c r="I919" s="52"/>
      <c r="J919" s="46"/>
      <c r="K919" s="52"/>
      <c r="L919" s="46"/>
      <c r="M919" s="52"/>
      <c r="N919" s="53"/>
      <c r="O919" s="25"/>
      <c r="P919" s="55"/>
      <c r="Q919" s="34"/>
      <c r="R919" s="54"/>
      <c r="S919" s="55"/>
      <c r="T919" s="25"/>
      <c r="U919" s="25"/>
      <c r="V919" s="24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</row>
    <row r="920">
      <c r="A920" s="25"/>
      <c r="B920" s="25"/>
      <c r="C920" s="25"/>
      <c r="D920" s="25"/>
      <c r="E920" s="25"/>
      <c r="F920" s="25"/>
      <c r="G920" s="25"/>
      <c r="H920" s="46"/>
      <c r="I920" s="52"/>
      <c r="J920" s="46"/>
      <c r="K920" s="52"/>
      <c r="L920" s="46"/>
      <c r="M920" s="52"/>
      <c r="N920" s="53"/>
      <c r="O920" s="25"/>
      <c r="P920" s="55"/>
      <c r="Q920" s="34"/>
      <c r="R920" s="54"/>
      <c r="S920" s="55"/>
      <c r="T920" s="25"/>
      <c r="U920" s="25"/>
      <c r="V920" s="24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</row>
    <row r="921">
      <c r="A921" s="25"/>
      <c r="B921" s="25"/>
      <c r="C921" s="25"/>
      <c r="D921" s="25"/>
      <c r="E921" s="25"/>
      <c r="F921" s="25"/>
      <c r="G921" s="25"/>
      <c r="H921" s="46"/>
      <c r="I921" s="52"/>
      <c r="J921" s="46"/>
      <c r="K921" s="52"/>
      <c r="L921" s="46"/>
      <c r="M921" s="52"/>
      <c r="N921" s="53"/>
      <c r="O921" s="25"/>
      <c r="P921" s="55"/>
      <c r="Q921" s="34"/>
      <c r="R921" s="54"/>
      <c r="S921" s="55"/>
      <c r="T921" s="25"/>
      <c r="U921" s="25"/>
      <c r="V921" s="24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</row>
    <row r="922">
      <c r="A922" s="25"/>
      <c r="B922" s="25"/>
      <c r="C922" s="25"/>
      <c r="D922" s="25"/>
      <c r="E922" s="25"/>
      <c r="F922" s="25"/>
      <c r="G922" s="25"/>
      <c r="H922" s="46"/>
      <c r="I922" s="52"/>
      <c r="J922" s="46"/>
      <c r="K922" s="52"/>
      <c r="L922" s="46"/>
      <c r="M922" s="52"/>
      <c r="N922" s="53"/>
      <c r="O922" s="25"/>
      <c r="P922" s="55"/>
      <c r="Q922" s="34"/>
      <c r="R922" s="54"/>
      <c r="S922" s="55"/>
      <c r="T922" s="25"/>
      <c r="U922" s="25"/>
      <c r="V922" s="24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</row>
    <row r="923">
      <c r="A923" s="25"/>
      <c r="B923" s="25"/>
      <c r="C923" s="25"/>
      <c r="D923" s="25"/>
      <c r="E923" s="25"/>
      <c r="F923" s="25"/>
      <c r="G923" s="25"/>
      <c r="H923" s="46"/>
      <c r="I923" s="52"/>
      <c r="J923" s="46"/>
      <c r="K923" s="52"/>
      <c r="L923" s="46"/>
      <c r="M923" s="52"/>
      <c r="N923" s="53"/>
      <c r="O923" s="25"/>
      <c r="P923" s="55"/>
      <c r="Q923" s="34"/>
      <c r="R923" s="54"/>
      <c r="S923" s="55"/>
      <c r="T923" s="25"/>
      <c r="U923" s="25"/>
      <c r="V923" s="24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</row>
    <row r="924">
      <c r="A924" s="25"/>
      <c r="B924" s="25"/>
      <c r="C924" s="25"/>
      <c r="D924" s="25"/>
      <c r="E924" s="25"/>
      <c r="F924" s="25"/>
      <c r="G924" s="25"/>
      <c r="H924" s="46"/>
      <c r="I924" s="52"/>
      <c r="J924" s="46"/>
      <c r="K924" s="52"/>
      <c r="L924" s="46"/>
      <c r="M924" s="52"/>
      <c r="N924" s="53"/>
      <c r="O924" s="25"/>
      <c r="P924" s="55"/>
      <c r="Q924" s="34"/>
      <c r="R924" s="54"/>
      <c r="S924" s="55"/>
      <c r="T924" s="25"/>
      <c r="U924" s="25"/>
      <c r="V924" s="24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</row>
    <row r="925">
      <c r="A925" s="25"/>
      <c r="B925" s="25"/>
      <c r="C925" s="25"/>
      <c r="D925" s="25"/>
      <c r="E925" s="25"/>
      <c r="F925" s="25"/>
      <c r="G925" s="25"/>
      <c r="H925" s="46"/>
      <c r="I925" s="52"/>
      <c r="J925" s="46"/>
      <c r="K925" s="52"/>
      <c r="L925" s="46"/>
      <c r="M925" s="52"/>
      <c r="N925" s="53"/>
      <c r="O925" s="25"/>
      <c r="P925" s="55"/>
      <c r="Q925" s="34"/>
      <c r="R925" s="54"/>
      <c r="S925" s="55"/>
      <c r="T925" s="25"/>
      <c r="U925" s="25"/>
      <c r="V925" s="24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</row>
    <row r="926">
      <c r="A926" s="25"/>
      <c r="B926" s="25"/>
      <c r="C926" s="25"/>
      <c r="D926" s="25"/>
      <c r="E926" s="25"/>
      <c r="F926" s="25"/>
      <c r="G926" s="25"/>
      <c r="H926" s="46"/>
      <c r="I926" s="52"/>
      <c r="J926" s="46"/>
      <c r="K926" s="52"/>
      <c r="L926" s="46"/>
      <c r="M926" s="52"/>
      <c r="N926" s="53"/>
      <c r="O926" s="25"/>
      <c r="P926" s="55"/>
      <c r="Q926" s="34"/>
      <c r="R926" s="54"/>
      <c r="S926" s="55"/>
      <c r="T926" s="25"/>
      <c r="U926" s="25"/>
      <c r="V926" s="24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</row>
    <row r="927">
      <c r="A927" s="25"/>
      <c r="B927" s="25"/>
      <c r="C927" s="25"/>
      <c r="D927" s="25"/>
      <c r="E927" s="25"/>
      <c r="F927" s="25"/>
      <c r="G927" s="25"/>
      <c r="H927" s="46"/>
      <c r="I927" s="52"/>
      <c r="J927" s="46"/>
      <c r="K927" s="52"/>
      <c r="L927" s="46"/>
      <c r="M927" s="52"/>
      <c r="N927" s="53"/>
      <c r="O927" s="25"/>
      <c r="P927" s="55"/>
      <c r="Q927" s="34"/>
      <c r="R927" s="54"/>
      <c r="S927" s="55"/>
      <c r="T927" s="25"/>
      <c r="U927" s="25"/>
      <c r="V927" s="24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</row>
    <row r="928">
      <c r="A928" s="25"/>
      <c r="B928" s="25"/>
      <c r="C928" s="25"/>
      <c r="D928" s="25"/>
      <c r="E928" s="25"/>
      <c r="F928" s="25"/>
      <c r="G928" s="25"/>
      <c r="H928" s="46"/>
      <c r="I928" s="52"/>
      <c r="J928" s="46"/>
      <c r="K928" s="52"/>
      <c r="L928" s="46"/>
      <c r="M928" s="52"/>
      <c r="N928" s="53"/>
      <c r="O928" s="25"/>
      <c r="P928" s="55"/>
      <c r="Q928" s="34"/>
      <c r="R928" s="54"/>
      <c r="S928" s="55"/>
      <c r="T928" s="25"/>
      <c r="U928" s="25"/>
      <c r="V928" s="24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</row>
    <row r="929">
      <c r="A929" s="25"/>
      <c r="B929" s="25"/>
      <c r="C929" s="25"/>
      <c r="D929" s="25"/>
      <c r="E929" s="25"/>
      <c r="F929" s="25"/>
      <c r="G929" s="25"/>
      <c r="H929" s="46"/>
      <c r="I929" s="52"/>
      <c r="J929" s="46"/>
      <c r="K929" s="52"/>
      <c r="L929" s="46"/>
      <c r="M929" s="52"/>
      <c r="N929" s="53"/>
      <c r="O929" s="25"/>
      <c r="P929" s="55"/>
      <c r="Q929" s="34"/>
      <c r="R929" s="54"/>
      <c r="S929" s="55"/>
      <c r="T929" s="25"/>
      <c r="U929" s="25"/>
      <c r="V929" s="24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</row>
    <row r="930">
      <c r="A930" s="25"/>
      <c r="B930" s="25"/>
      <c r="C930" s="25"/>
      <c r="D930" s="25"/>
      <c r="E930" s="25"/>
      <c r="F930" s="25"/>
      <c r="G930" s="25"/>
      <c r="H930" s="46"/>
      <c r="I930" s="52"/>
      <c r="J930" s="46"/>
      <c r="K930" s="52"/>
      <c r="L930" s="46"/>
      <c r="M930" s="52"/>
      <c r="N930" s="53"/>
      <c r="O930" s="25"/>
      <c r="P930" s="55"/>
      <c r="Q930" s="34"/>
      <c r="R930" s="54"/>
      <c r="S930" s="55"/>
      <c r="T930" s="25"/>
      <c r="U930" s="25"/>
      <c r="V930" s="24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</row>
    <row r="931">
      <c r="A931" s="25"/>
      <c r="B931" s="25"/>
      <c r="C931" s="25"/>
      <c r="D931" s="25"/>
      <c r="E931" s="25"/>
      <c r="F931" s="25"/>
      <c r="G931" s="25"/>
      <c r="H931" s="46"/>
      <c r="I931" s="52"/>
      <c r="J931" s="46"/>
      <c r="K931" s="52"/>
      <c r="L931" s="46"/>
      <c r="M931" s="52"/>
      <c r="N931" s="53"/>
      <c r="O931" s="25"/>
      <c r="P931" s="55"/>
      <c r="Q931" s="34"/>
      <c r="R931" s="54"/>
      <c r="S931" s="55"/>
      <c r="T931" s="25"/>
      <c r="U931" s="25"/>
      <c r="V931" s="24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</row>
    <row r="932">
      <c r="A932" s="25"/>
      <c r="B932" s="25"/>
      <c r="C932" s="25"/>
      <c r="D932" s="25"/>
      <c r="E932" s="25"/>
      <c r="F932" s="25"/>
      <c r="G932" s="25"/>
      <c r="H932" s="46"/>
      <c r="I932" s="52"/>
      <c r="J932" s="46"/>
      <c r="K932" s="52"/>
      <c r="L932" s="46"/>
      <c r="M932" s="52"/>
      <c r="N932" s="53"/>
      <c r="O932" s="25"/>
      <c r="P932" s="55"/>
      <c r="Q932" s="34"/>
      <c r="R932" s="54"/>
      <c r="S932" s="55"/>
      <c r="T932" s="25"/>
      <c r="U932" s="25"/>
      <c r="V932" s="24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</row>
    <row r="933">
      <c r="A933" s="25"/>
      <c r="B933" s="25"/>
      <c r="C933" s="25"/>
      <c r="D933" s="25"/>
      <c r="E933" s="25"/>
      <c r="F933" s="25"/>
      <c r="G933" s="25"/>
      <c r="H933" s="46"/>
      <c r="I933" s="52"/>
      <c r="J933" s="46"/>
      <c r="K933" s="52"/>
      <c r="L933" s="46"/>
      <c r="M933" s="52"/>
      <c r="N933" s="53"/>
      <c r="O933" s="25"/>
      <c r="P933" s="55"/>
      <c r="Q933" s="34"/>
      <c r="R933" s="54"/>
      <c r="S933" s="55"/>
      <c r="T933" s="25"/>
      <c r="U933" s="25"/>
      <c r="V933" s="24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</row>
    <row r="934">
      <c r="A934" s="25"/>
      <c r="B934" s="25"/>
      <c r="C934" s="25"/>
      <c r="D934" s="25"/>
      <c r="E934" s="25"/>
      <c r="F934" s="25"/>
      <c r="G934" s="25"/>
      <c r="H934" s="46"/>
      <c r="I934" s="52"/>
      <c r="J934" s="46"/>
      <c r="K934" s="52"/>
      <c r="L934" s="46"/>
      <c r="M934" s="52"/>
      <c r="N934" s="53"/>
      <c r="O934" s="25"/>
      <c r="P934" s="55"/>
      <c r="Q934" s="34"/>
      <c r="R934" s="54"/>
      <c r="S934" s="55"/>
      <c r="T934" s="25"/>
      <c r="U934" s="25"/>
      <c r="V934" s="24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</row>
    <row r="935">
      <c r="A935" s="25"/>
      <c r="B935" s="25"/>
      <c r="C935" s="25"/>
      <c r="D935" s="25"/>
      <c r="E935" s="25"/>
      <c r="F935" s="25"/>
      <c r="G935" s="25"/>
      <c r="H935" s="46"/>
      <c r="I935" s="52"/>
      <c r="J935" s="46"/>
      <c r="K935" s="52"/>
      <c r="L935" s="46"/>
      <c r="M935" s="52"/>
      <c r="N935" s="53"/>
      <c r="O935" s="25"/>
      <c r="P935" s="55"/>
      <c r="Q935" s="34"/>
      <c r="R935" s="54"/>
      <c r="S935" s="55"/>
      <c r="T935" s="25"/>
      <c r="U935" s="25"/>
      <c r="V935" s="24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</row>
    <row r="936">
      <c r="A936" s="25"/>
      <c r="B936" s="25"/>
      <c r="C936" s="25"/>
      <c r="D936" s="25"/>
      <c r="E936" s="25"/>
      <c r="F936" s="25"/>
      <c r="G936" s="25"/>
      <c r="H936" s="46"/>
      <c r="I936" s="52"/>
      <c r="J936" s="46"/>
      <c r="K936" s="52"/>
      <c r="L936" s="46"/>
      <c r="M936" s="52"/>
      <c r="N936" s="53"/>
      <c r="O936" s="25"/>
      <c r="P936" s="55"/>
      <c r="Q936" s="34"/>
      <c r="R936" s="54"/>
      <c r="S936" s="55"/>
      <c r="T936" s="25"/>
      <c r="U936" s="25"/>
      <c r="V936" s="24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</row>
    <row r="937">
      <c r="A937" s="25"/>
      <c r="B937" s="25"/>
      <c r="C937" s="25"/>
      <c r="D937" s="25"/>
      <c r="E937" s="25"/>
      <c r="F937" s="25"/>
      <c r="G937" s="25"/>
      <c r="H937" s="46"/>
      <c r="I937" s="52"/>
      <c r="J937" s="46"/>
      <c r="K937" s="52"/>
      <c r="L937" s="46"/>
      <c r="M937" s="52"/>
      <c r="N937" s="53"/>
      <c r="O937" s="25"/>
      <c r="P937" s="55"/>
      <c r="Q937" s="34"/>
      <c r="R937" s="54"/>
      <c r="S937" s="55"/>
      <c r="T937" s="25"/>
      <c r="U937" s="25"/>
      <c r="V937" s="24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</row>
    <row r="938">
      <c r="A938" s="25"/>
      <c r="B938" s="25"/>
      <c r="C938" s="25"/>
      <c r="D938" s="25"/>
      <c r="E938" s="25"/>
      <c r="F938" s="25"/>
      <c r="G938" s="25"/>
      <c r="H938" s="46"/>
      <c r="I938" s="52"/>
      <c r="J938" s="46"/>
      <c r="K938" s="52"/>
      <c r="L938" s="46"/>
      <c r="M938" s="52"/>
      <c r="N938" s="53"/>
      <c r="O938" s="25"/>
      <c r="P938" s="55"/>
      <c r="Q938" s="34"/>
      <c r="R938" s="54"/>
      <c r="S938" s="55"/>
      <c r="T938" s="25"/>
      <c r="U938" s="25"/>
      <c r="V938" s="24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</row>
    <row r="939">
      <c r="A939" s="25"/>
      <c r="B939" s="25"/>
      <c r="C939" s="25"/>
      <c r="D939" s="25"/>
      <c r="E939" s="25"/>
      <c r="F939" s="25"/>
      <c r="G939" s="25"/>
      <c r="H939" s="46"/>
      <c r="I939" s="52"/>
      <c r="J939" s="46"/>
      <c r="K939" s="52"/>
      <c r="L939" s="46"/>
      <c r="M939" s="52"/>
      <c r="N939" s="53"/>
      <c r="O939" s="25"/>
      <c r="P939" s="55"/>
      <c r="Q939" s="34"/>
      <c r="R939" s="54"/>
      <c r="S939" s="55"/>
      <c r="T939" s="25"/>
      <c r="U939" s="25"/>
      <c r="V939" s="24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</row>
    <row r="940">
      <c r="A940" s="25"/>
      <c r="B940" s="25"/>
      <c r="C940" s="25"/>
      <c r="D940" s="25"/>
      <c r="E940" s="25"/>
      <c r="F940" s="25"/>
      <c r="G940" s="25"/>
      <c r="H940" s="46"/>
      <c r="I940" s="52"/>
      <c r="J940" s="46"/>
      <c r="K940" s="52"/>
      <c r="L940" s="46"/>
      <c r="M940" s="52"/>
      <c r="N940" s="53"/>
      <c r="O940" s="25"/>
      <c r="P940" s="55"/>
      <c r="Q940" s="34"/>
      <c r="R940" s="54"/>
      <c r="S940" s="55"/>
      <c r="T940" s="25"/>
      <c r="U940" s="25"/>
      <c r="V940" s="24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</row>
    <row r="941">
      <c r="A941" s="25"/>
      <c r="B941" s="25"/>
      <c r="C941" s="25"/>
      <c r="D941" s="25"/>
      <c r="E941" s="25"/>
      <c r="F941" s="25"/>
      <c r="G941" s="25"/>
      <c r="H941" s="46"/>
      <c r="I941" s="52"/>
      <c r="J941" s="46"/>
      <c r="K941" s="52"/>
      <c r="L941" s="46"/>
      <c r="M941" s="52"/>
      <c r="N941" s="53"/>
      <c r="O941" s="25"/>
      <c r="P941" s="55"/>
      <c r="Q941" s="34"/>
      <c r="R941" s="54"/>
      <c r="S941" s="55"/>
      <c r="T941" s="25"/>
      <c r="U941" s="25"/>
      <c r="V941" s="24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</row>
    <row r="942">
      <c r="A942" s="25"/>
      <c r="B942" s="25"/>
      <c r="C942" s="25"/>
      <c r="D942" s="25"/>
      <c r="E942" s="25"/>
      <c r="F942" s="25"/>
      <c r="G942" s="25"/>
      <c r="H942" s="46"/>
      <c r="I942" s="52"/>
      <c r="J942" s="46"/>
      <c r="K942" s="52"/>
      <c r="L942" s="46"/>
      <c r="M942" s="52"/>
      <c r="N942" s="53"/>
      <c r="O942" s="25"/>
      <c r="P942" s="55"/>
      <c r="Q942" s="34"/>
      <c r="R942" s="54"/>
      <c r="S942" s="55"/>
      <c r="T942" s="25"/>
      <c r="U942" s="25"/>
      <c r="V942" s="24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</row>
    <row r="943">
      <c r="A943" s="25"/>
      <c r="B943" s="25"/>
      <c r="C943" s="25"/>
      <c r="D943" s="25"/>
      <c r="E943" s="25"/>
      <c r="F943" s="25"/>
      <c r="G943" s="25"/>
      <c r="H943" s="46"/>
      <c r="I943" s="52"/>
      <c r="J943" s="46"/>
      <c r="K943" s="52"/>
      <c r="L943" s="46"/>
      <c r="M943" s="52"/>
      <c r="N943" s="53"/>
      <c r="O943" s="25"/>
      <c r="P943" s="55"/>
      <c r="Q943" s="34"/>
      <c r="R943" s="54"/>
      <c r="S943" s="55"/>
      <c r="T943" s="25"/>
      <c r="U943" s="25"/>
      <c r="V943" s="24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</row>
    <row r="944">
      <c r="A944" s="25"/>
      <c r="B944" s="25"/>
      <c r="C944" s="25"/>
      <c r="D944" s="25"/>
      <c r="E944" s="25"/>
      <c r="F944" s="25"/>
      <c r="G944" s="25"/>
      <c r="H944" s="46"/>
      <c r="I944" s="52"/>
      <c r="J944" s="46"/>
      <c r="K944" s="52"/>
      <c r="L944" s="46"/>
      <c r="M944" s="52"/>
      <c r="N944" s="53"/>
      <c r="O944" s="25"/>
      <c r="P944" s="55"/>
      <c r="Q944" s="34"/>
      <c r="R944" s="54"/>
      <c r="S944" s="55"/>
      <c r="T944" s="25"/>
      <c r="U944" s="25"/>
      <c r="V944" s="24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</row>
    <row r="945">
      <c r="A945" s="25"/>
      <c r="B945" s="25"/>
      <c r="C945" s="25"/>
      <c r="D945" s="25"/>
      <c r="E945" s="25"/>
      <c r="F945" s="25"/>
      <c r="G945" s="25"/>
      <c r="H945" s="46"/>
      <c r="I945" s="52"/>
      <c r="J945" s="46"/>
      <c r="K945" s="52"/>
      <c r="L945" s="46"/>
      <c r="M945" s="52"/>
      <c r="N945" s="53"/>
      <c r="O945" s="25"/>
      <c r="P945" s="55"/>
      <c r="Q945" s="34"/>
      <c r="R945" s="54"/>
      <c r="S945" s="55"/>
      <c r="T945" s="25"/>
      <c r="U945" s="25"/>
      <c r="V945" s="24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</row>
    <row r="946">
      <c r="A946" s="25"/>
      <c r="B946" s="25"/>
      <c r="C946" s="25"/>
      <c r="D946" s="25"/>
      <c r="E946" s="25"/>
      <c r="F946" s="25"/>
      <c r="G946" s="25"/>
      <c r="H946" s="46"/>
      <c r="I946" s="52"/>
      <c r="J946" s="46"/>
      <c r="K946" s="52"/>
      <c r="L946" s="46"/>
      <c r="M946" s="52"/>
      <c r="N946" s="53"/>
      <c r="O946" s="25"/>
      <c r="P946" s="55"/>
      <c r="Q946" s="34"/>
      <c r="R946" s="54"/>
      <c r="S946" s="55"/>
      <c r="T946" s="25"/>
      <c r="U946" s="25"/>
      <c r="V946" s="24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</row>
    <row r="947">
      <c r="A947" s="25"/>
      <c r="B947" s="25"/>
      <c r="C947" s="25"/>
      <c r="D947" s="25"/>
      <c r="E947" s="25"/>
      <c r="F947" s="25"/>
      <c r="G947" s="25"/>
      <c r="H947" s="46"/>
      <c r="I947" s="52"/>
      <c r="J947" s="46"/>
      <c r="K947" s="52"/>
      <c r="L947" s="46"/>
      <c r="M947" s="52"/>
      <c r="N947" s="53"/>
      <c r="O947" s="25"/>
      <c r="P947" s="55"/>
      <c r="Q947" s="34"/>
      <c r="R947" s="54"/>
      <c r="S947" s="55"/>
      <c r="T947" s="25"/>
      <c r="U947" s="25"/>
      <c r="V947" s="24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</row>
    <row r="948">
      <c r="A948" s="25"/>
      <c r="B948" s="25"/>
      <c r="C948" s="25"/>
      <c r="D948" s="25"/>
      <c r="E948" s="25"/>
      <c r="F948" s="25"/>
      <c r="G948" s="25"/>
      <c r="H948" s="46"/>
      <c r="I948" s="52"/>
      <c r="J948" s="46"/>
      <c r="K948" s="52"/>
      <c r="L948" s="46"/>
      <c r="M948" s="52"/>
      <c r="N948" s="53"/>
      <c r="O948" s="25"/>
      <c r="P948" s="55"/>
      <c r="Q948" s="34"/>
      <c r="R948" s="54"/>
      <c r="S948" s="55"/>
      <c r="T948" s="25"/>
      <c r="U948" s="25"/>
      <c r="V948" s="24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</row>
    <row r="949">
      <c r="A949" s="25"/>
      <c r="B949" s="25"/>
      <c r="C949" s="25"/>
      <c r="D949" s="25"/>
      <c r="E949" s="25"/>
      <c r="F949" s="25"/>
      <c r="G949" s="25"/>
      <c r="H949" s="46"/>
      <c r="I949" s="52"/>
      <c r="J949" s="46"/>
      <c r="K949" s="52"/>
      <c r="L949" s="46"/>
      <c r="M949" s="52"/>
      <c r="N949" s="53"/>
      <c r="O949" s="25"/>
      <c r="P949" s="55"/>
      <c r="Q949" s="34"/>
      <c r="R949" s="54"/>
      <c r="S949" s="55"/>
      <c r="T949" s="25"/>
      <c r="U949" s="25"/>
      <c r="V949" s="24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</row>
    <row r="950">
      <c r="A950" s="25"/>
      <c r="B950" s="25"/>
      <c r="C950" s="25"/>
      <c r="D950" s="25"/>
      <c r="E950" s="25"/>
      <c r="F950" s="25"/>
      <c r="G950" s="25"/>
      <c r="H950" s="46"/>
      <c r="I950" s="52"/>
      <c r="J950" s="46"/>
      <c r="K950" s="52"/>
      <c r="L950" s="46"/>
      <c r="M950" s="52"/>
      <c r="N950" s="53"/>
      <c r="O950" s="25"/>
      <c r="P950" s="55"/>
      <c r="Q950" s="34"/>
      <c r="R950" s="54"/>
      <c r="S950" s="55"/>
      <c r="T950" s="25"/>
      <c r="U950" s="25"/>
      <c r="V950" s="24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</row>
    <row r="951">
      <c r="A951" s="25"/>
      <c r="B951" s="25"/>
      <c r="C951" s="25"/>
      <c r="D951" s="25"/>
      <c r="E951" s="25"/>
      <c r="F951" s="25"/>
      <c r="G951" s="25"/>
      <c r="H951" s="46"/>
      <c r="I951" s="52"/>
      <c r="J951" s="46"/>
      <c r="K951" s="52"/>
      <c r="L951" s="46"/>
      <c r="M951" s="52"/>
      <c r="N951" s="53"/>
      <c r="O951" s="25"/>
      <c r="P951" s="55"/>
      <c r="Q951" s="34"/>
      <c r="R951" s="54"/>
      <c r="S951" s="55"/>
      <c r="T951" s="25"/>
      <c r="U951" s="25"/>
      <c r="V951" s="24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</row>
    <row r="952">
      <c r="A952" s="25"/>
      <c r="B952" s="25"/>
      <c r="C952" s="25"/>
      <c r="D952" s="25"/>
      <c r="E952" s="25"/>
      <c r="F952" s="25"/>
      <c r="G952" s="25"/>
      <c r="H952" s="46"/>
      <c r="I952" s="52"/>
      <c r="J952" s="46"/>
      <c r="K952" s="52"/>
      <c r="L952" s="46"/>
      <c r="M952" s="52"/>
      <c r="N952" s="53"/>
      <c r="O952" s="25"/>
      <c r="P952" s="55"/>
      <c r="Q952" s="34"/>
      <c r="R952" s="54"/>
      <c r="S952" s="55"/>
      <c r="T952" s="25"/>
      <c r="U952" s="25"/>
      <c r="V952" s="24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</row>
    <row r="953">
      <c r="A953" s="25"/>
      <c r="B953" s="25"/>
      <c r="C953" s="25"/>
      <c r="D953" s="25"/>
      <c r="E953" s="25"/>
      <c r="F953" s="25"/>
      <c r="G953" s="25"/>
      <c r="H953" s="46"/>
      <c r="I953" s="52"/>
      <c r="J953" s="46"/>
      <c r="K953" s="52"/>
      <c r="L953" s="46"/>
      <c r="M953" s="52"/>
      <c r="N953" s="53"/>
      <c r="O953" s="25"/>
      <c r="P953" s="55"/>
      <c r="Q953" s="34"/>
      <c r="R953" s="54"/>
      <c r="S953" s="55"/>
      <c r="T953" s="25"/>
      <c r="U953" s="25"/>
      <c r="V953" s="24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</row>
    <row r="954">
      <c r="A954" s="25"/>
      <c r="B954" s="25"/>
      <c r="C954" s="25"/>
      <c r="D954" s="25"/>
      <c r="E954" s="25"/>
      <c r="F954" s="25"/>
      <c r="G954" s="25"/>
      <c r="H954" s="46"/>
      <c r="I954" s="52"/>
      <c r="J954" s="46"/>
      <c r="K954" s="52"/>
      <c r="L954" s="46"/>
      <c r="M954" s="52"/>
      <c r="N954" s="53"/>
      <c r="O954" s="25"/>
      <c r="P954" s="55"/>
      <c r="Q954" s="34"/>
      <c r="R954" s="54"/>
      <c r="S954" s="55"/>
      <c r="T954" s="25"/>
      <c r="U954" s="25"/>
      <c r="V954" s="24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</row>
    <row r="955">
      <c r="A955" s="25"/>
      <c r="B955" s="25"/>
      <c r="C955" s="25"/>
      <c r="D955" s="25"/>
      <c r="E955" s="25"/>
      <c r="F955" s="25"/>
      <c r="G955" s="25"/>
      <c r="H955" s="46"/>
      <c r="I955" s="52"/>
      <c r="J955" s="46"/>
      <c r="K955" s="52"/>
      <c r="L955" s="46"/>
      <c r="M955" s="52"/>
      <c r="N955" s="53"/>
      <c r="O955" s="25"/>
      <c r="P955" s="55"/>
      <c r="Q955" s="34"/>
      <c r="R955" s="54"/>
      <c r="S955" s="55"/>
      <c r="T955" s="25"/>
      <c r="U955" s="25"/>
      <c r="V955" s="24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</row>
    <row r="956">
      <c r="A956" s="25"/>
      <c r="B956" s="25"/>
      <c r="C956" s="25"/>
      <c r="D956" s="25"/>
      <c r="E956" s="25"/>
      <c r="F956" s="25"/>
      <c r="G956" s="25"/>
      <c r="H956" s="46"/>
      <c r="I956" s="52"/>
      <c r="J956" s="46"/>
      <c r="K956" s="52"/>
      <c r="L956" s="46"/>
      <c r="M956" s="52"/>
      <c r="N956" s="53"/>
      <c r="O956" s="25"/>
      <c r="P956" s="55"/>
      <c r="Q956" s="34"/>
      <c r="R956" s="54"/>
      <c r="S956" s="55"/>
      <c r="T956" s="25"/>
      <c r="U956" s="25"/>
      <c r="V956" s="24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</row>
    <row r="957">
      <c r="A957" s="25"/>
      <c r="B957" s="25"/>
      <c r="C957" s="25"/>
      <c r="D957" s="25"/>
      <c r="E957" s="25"/>
      <c r="F957" s="25"/>
      <c r="G957" s="25"/>
      <c r="H957" s="46"/>
      <c r="I957" s="52"/>
      <c r="J957" s="46"/>
      <c r="K957" s="52"/>
      <c r="L957" s="46"/>
      <c r="M957" s="52"/>
      <c r="N957" s="53"/>
      <c r="O957" s="25"/>
      <c r="P957" s="55"/>
      <c r="Q957" s="34"/>
      <c r="R957" s="54"/>
      <c r="S957" s="55"/>
      <c r="T957" s="25"/>
      <c r="U957" s="25"/>
      <c r="V957" s="24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</row>
    <row r="958">
      <c r="A958" s="25"/>
      <c r="B958" s="25"/>
      <c r="C958" s="25"/>
      <c r="D958" s="25"/>
      <c r="E958" s="25"/>
      <c r="F958" s="25"/>
      <c r="G958" s="25"/>
      <c r="H958" s="46"/>
      <c r="I958" s="52"/>
      <c r="J958" s="46"/>
      <c r="K958" s="52"/>
      <c r="L958" s="46"/>
      <c r="M958" s="52"/>
      <c r="N958" s="53"/>
      <c r="O958" s="25"/>
      <c r="P958" s="55"/>
      <c r="Q958" s="34"/>
      <c r="R958" s="54"/>
      <c r="S958" s="55"/>
      <c r="T958" s="25"/>
      <c r="U958" s="25"/>
      <c r="V958" s="24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</row>
    <row r="959">
      <c r="A959" s="25"/>
      <c r="B959" s="25"/>
      <c r="C959" s="25"/>
      <c r="D959" s="25"/>
      <c r="E959" s="25"/>
      <c r="F959" s="25"/>
      <c r="G959" s="25"/>
      <c r="H959" s="46"/>
      <c r="I959" s="52"/>
      <c r="J959" s="46"/>
      <c r="K959" s="52"/>
      <c r="L959" s="46"/>
      <c r="M959" s="52"/>
      <c r="N959" s="53"/>
      <c r="O959" s="25"/>
      <c r="P959" s="55"/>
      <c r="Q959" s="34"/>
      <c r="R959" s="54"/>
      <c r="S959" s="55"/>
      <c r="T959" s="25"/>
      <c r="U959" s="25"/>
      <c r="V959" s="24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</row>
    <row r="960">
      <c r="A960" s="25"/>
      <c r="B960" s="25"/>
      <c r="C960" s="25"/>
      <c r="D960" s="25"/>
      <c r="E960" s="25"/>
      <c r="F960" s="25"/>
      <c r="G960" s="25"/>
      <c r="H960" s="46"/>
      <c r="I960" s="52"/>
      <c r="J960" s="46"/>
      <c r="K960" s="52"/>
      <c r="L960" s="46"/>
      <c r="M960" s="52"/>
      <c r="N960" s="53"/>
      <c r="O960" s="25"/>
      <c r="P960" s="55"/>
      <c r="Q960" s="34"/>
      <c r="R960" s="54"/>
      <c r="S960" s="55"/>
      <c r="T960" s="25"/>
      <c r="U960" s="25"/>
      <c r="V960" s="24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</row>
    <row r="961">
      <c r="A961" s="25"/>
      <c r="B961" s="25"/>
      <c r="C961" s="25"/>
      <c r="D961" s="25"/>
      <c r="E961" s="25"/>
      <c r="F961" s="25"/>
      <c r="G961" s="25"/>
      <c r="H961" s="46"/>
      <c r="I961" s="52"/>
      <c r="J961" s="46"/>
      <c r="K961" s="52"/>
      <c r="L961" s="46"/>
      <c r="M961" s="52"/>
      <c r="N961" s="53"/>
      <c r="O961" s="25"/>
      <c r="P961" s="55"/>
      <c r="Q961" s="34"/>
      <c r="R961" s="54"/>
      <c r="S961" s="55"/>
      <c r="T961" s="25"/>
      <c r="U961" s="25"/>
      <c r="V961" s="24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</row>
    <row r="962">
      <c r="A962" s="25"/>
      <c r="B962" s="25"/>
      <c r="C962" s="25"/>
      <c r="D962" s="25"/>
      <c r="E962" s="25"/>
      <c r="F962" s="25"/>
      <c r="G962" s="25"/>
      <c r="H962" s="46"/>
      <c r="I962" s="52"/>
      <c r="J962" s="46"/>
      <c r="K962" s="52"/>
      <c r="L962" s="46"/>
      <c r="M962" s="52"/>
      <c r="N962" s="53"/>
      <c r="O962" s="25"/>
      <c r="P962" s="55"/>
      <c r="Q962" s="34"/>
      <c r="R962" s="54"/>
      <c r="S962" s="55"/>
      <c r="T962" s="25"/>
      <c r="U962" s="25"/>
      <c r="V962" s="24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</row>
    <row r="963">
      <c r="A963" s="25"/>
      <c r="B963" s="25"/>
      <c r="C963" s="25"/>
      <c r="D963" s="25"/>
      <c r="E963" s="25"/>
      <c r="F963" s="25"/>
      <c r="G963" s="25"/>
      <c r="H963" s="46"/>
      <c r="I963" s="52"/>
      <c r="J963" s="46"/>
      <c r="K963" s="52"/>
      <c r="L963" s="46"/>
      <c r="M963" s="52"/>
      <c r="N963" s="53"/>
      <c r="O963" s="25"/>
      <c r="P963" s="55"/>
      <c r="Q963" s="34"/>
      <c r="R963" s="54"/>
      <c r="S963" s="55"/>
      <c r="T963" s="25"/>
      <c r="U963" s="25"/>
      <c r="V963" s="24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</row>
    <row r="964">
      <c r="A964" s="25"/>
      <c r="B964" s="25"/>
      <c r="C964" s="25"/>
      <c r="D964" s="25"/>
      <c r="E964" s="25"/>
      <c r="F964" s="25"/>
      <c r="G964" s="25"/>
      <c r="H964" s="46"/>
      <c r="I964" s="52"/>
      <c r="J964" s="46"/>
      <c r="K964" s="52"/>
      <c r="L964" s="46"/>
      <c r="M964" s="52"/>
      <c r="N964" s="53"/>
      <c r="O964" s="25"/>
      <c r="P964" s="55"/>
      <c r="Q964" s="34"/>
      <c r="R964" s="54"/>
      <c r="S964" s="55"/>
      <c r="T964" s="25"/>
      <c r="U964" s="25"/>
      <c r="V964" s="24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</row>
    <row r="965">
      <c r="A965" s="25"/>
      <c r="B965" s="25"/>
      <c r="C965" s="25"/>
      <c r="D965" s="25"/>
      <c r="E965" s="25"/>
      <c r="F965" s="25"/>
      <c r="G965" s="25"/>
      <c r="H965" s="46"/>
      <c r="I965" s="52"/>
      <c r="J965" s="46"/>
      <c r="K965" s="52"/>
      <c r="L965" s="46"/>
      <c r="M965" s="52"/>
      <c r="N965" s="53"/>
      <c r="O965" s="25"/>
      <c r="P965" s="55"/>
      <c r="Q965" s="34"/>
      <c r="R965" s="54"/>
      <c r="S965" s="55"/>
      <c r="T965" s="25"/>
      <c r="U965" s="25"/>
      <c r="V965" s="24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</row>
    <row r="966">
      <c r="A966" s="25"/>
      <c r="B966" s="25"/>
      <c r="C966" s="25"/>
      <c r="D966" s="25"/>
      <c r="E966" s="25"/>
      <c r="F966" s="25"/>
      <c r="G966" s="25"/>
      <c r="H966" s="46"/>
      <c r="I966" s="52"/>
      <c r="J966" s="46"/>
      <c r="K966" s="52"/>
      <c r="L966" s="46"/>
      <c r="M966" s="52"/>
      <c r="N966" s="53"/>
      <c r="O966" s="25"/>
      <c r="P966" s="55"/>
      <c r="Q966" s="34"/>
      <c r="R966" s="54"/>
      <c r="S966" s="55"/>
      <c r="T966" s="25"/>
      <c r="U966" s="25"/>
      <c r="V966" s="24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</row>
    <row r="967">
      <c r="A967" s="25"/>
      <c r="B967" s="25"/>
      <c r="C967" s="25"/>
      <c r="D967" s="25"/>
      <c r="E967" s="25"/>
      <c r="F967" s="25"/>
      <c r="G967" s="25"/>
      <c r="H967" s="46"/>
      <c r="I967" s="52"/>
      <c r="J967" s="46"/>
      <c r="K967" s="52"/>
      <c r="L967" s="46"/>
      <c r="M967" s="52"/>
      <c r="N967" s="53"/>
      <c r="O967" s="25"/>
      <c r="P967" s="55"/>
      <c r="Q967" s="34"/>
      <c r="R967" s="54"/>
      <c r="S967" s="55"/>
      <c r="T967" s="25"/>
      <c r="U967" s="25"/>
      <c r="V967" s="24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</row>
    <row r="968">
      <c r="A968" s="25"/>
      <c r="B968" s="25"/>
      <c r="C968" s="25"/>
      <c r="D968" s="25"/>
      <c r="E968" s="25"/>
      <c r="F968" s="25"/>
      <c r="G968" s="25"/>
      <c r="H968" s="46"/>
      <c r="I968" s="52"/>
      <c r="J968" s="46"/>
      <c r="K968" s="52"/>
      <c r="L968" s="46"/>
      <c r="M968" s="52"/>
      <c r="N968" s="53"/>
      <c r="O968" s="25"/>
      <c r="P968" s="55"/>
      <c r="Q968" s="34"/>
      <c r="R968" s="54"/>
      <c r="S968" s="55"/>
      <c r="T968" s="25"/>
      <c r="U968" s="25"/>
      <c r="V968" s="24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</row>
    <row r="969">
      <c r="A969" s="25"/>
      <c r="B969" s="25"/>
      <c r="C969" s="25"/>
      <c r="D969" s="25"/>
      <c r="E969" s="25"/>
      <c r="F969" s="25"/>
      <c r="G969" s="25"/>
      <c r="H969" s="46"/>
      <c r="I969" s="52"/>
      <c r="J969" s="46"/>
      <c r="K969" s="52"/>
      <c r="L969" s="46"/>
      <c r="M969" s="52"/>
      <c r="N969" s="53"/>
      <c r="O969" s="25"/>
      <c r="P969" s="55"/>
      <c r="Q969" s="34"/>
      <c r="R969" s="54"/>
      <c r="S969" s="55"/>
      <c r="T969" s="25"/>
      <c r="U969" s="25"/>
      <c r="V969" s="24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</row>
    <row r="970">
      <c r="A970" s="25"/>
      <c r="B970" s="25"/>
      <c r="C970" s="25"/>
      <c r="D970" s="25"/>
      <c r="E970" s="25"/>
      <c r="F970" s="25"/>
      <c r="G970" s="25"/>
      <c r="H970" s="46"/>
      <c r="I970" s="52"/>
      <c r="J970" s="46"/>
      <c r="K970" s="52"/>
      <c r="L970" s="46"/>
      <c r="M970" s="52"/>
      <c r="N970" s="53"/>
      <c r="O970" s="25"/>
      <c r="P970" s="55"/>
      <c r="Q970" s="34"/>
      <c r="R970" s="54"/>
      <c r="S970" s="55"/>
      <c r="T970" s="25"/>
      <c r="U970" s="25"/>
      <c r="V970" s="24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</row>
    <row r="971">
      <c r="A971" s="25"/>
      <c r="B971" s="25"/>
      <c r="C971" s="25"/>
      <c r="D971" s="25"/>
      <c r="E971" s="25"/>
      <c r="F971" s="25"/>
      <c r="G971" s="25"/>
      <c r="H971" s="46"/>
      <c r="I971" s="52"/>
      <c r="J971" s="46"/>
      <c r="K971" s="52"/>
      <c r="L971" s="46"/>
      <c r="M971" s="52"/>
      <c r="N971" s="53"/>
      <c r="O971" s="25"/>
      <c r="P971" s="55"/>
      <c r="Q971" s="34"/>
      <c r="R971" s="54"/>
      <c r="S971" s="55"/>
      <c r="T971" s="25"/>
      <c r="U971" s="25"/>
      <c r="V971" s="24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</row>
    <row r="972">
      <c r="A972" s="25"/>
      <c r="B972" s="25"/>
      <c r="C972" s="25"/>
      <c r="D972" s="25"/>
      <c r="E972" s="25"/>
      <c r="F972" s="25"/>
      <c r="G972" s="25"/>
      <c r="H972" s="46"/>
      <c r="I972" s="52"/>
      <c r="J972" s="46"/>
      <c r="K972" s="52"/>
      <c r="L972" s="46"/>
      <c r="M972" s="52"/>
      <c r="N972" s="53"/>
      <c r="O972" s="25"/>
      <c r="P972" s="55"/>
      <c r="Q972" s="34"/>
      <c r="R972" s="54"/>
      <c r="S972" s="55"/>
      <c r="T972" s="25"/>
      <c r="U972" s="25"/>
      <c r="V972" s="24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</row>
    <row r="973">
      <c r="A973" s="25"/>
      <c r="B973" s="25"/>
      <c r="C973" s="25"/>
      <c r="D973" s="25"/>
      <c r="E973" s="25"/>
      <c r="F973" s="25"/>
      <c r="G973" s="25"/>
      <c r="H973" s="46"/>
      <c r="I973" s="52"/>
      <c r="J973" s="46"/>
      <c r="K973" s="52"/>
      <c r="L973" s="46"/>
      <c r="M973" s="52"/>
      <c r="N973" s="53"/>
      <c r="O973" s="25"/>
      <c r="P973" s="55"/>
      <c r="Q973" s="34"/>
      <c r="R973" s="54"/>
      <c r="S973" s="55"/>
      <c r="T973" s="25"/>
      <c r="U973" s="25"/>
      <c r="V973" s="24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</row>
    <row r="974">
      <c r="A974" s="25"/>
      <c r="B974" s="25"/>
      <c r="C974" s="25"/>
      <c r="D974" s="25"/>
      <c r="E974" s="25"/>
      <c r="F974" s="25"/>
      <c r="G974" s="25"/>
      <c r="H974" s="46"/>
      <c r="I974" s="52"/>
      <c r="J974" s="46"/>
      <c r="K974" s="52"/>
      <c r="L974" s="46"/>
      <c r="M974" s="52"/>
      <c r="N974" s="53"/>
      <c r="O974" s="25"/>
      <c r="P974" s="55"/>
      <c r="Q974" s="34"/>
      <c r="R974" s="54"/>
      <c r="S974" s="55"/>
      <c r="T974" s="25"/>
      <c r="U974" s="25"/>
      <c r="V974" s="24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</row>
    <row r="975">
      <c r="A975" s="25"/>
      <c r="B975" s="25"/>
      <c r="C975" s="25"/>
      <c r="D975" s="25"/>
      <c r="E975" s="25"/>
      <c r="F975" s="25"/>
      <c r="G975" s="25"/>
      <c r="H975" s="46"/>
      <c r="I975" s="52"/>
      <c r="J975" s="46"/>
      <c r="K975" s="52"/>
      <c r="L975" s="46"/>
      <c r="M975" s="52"/>
      <c r="N975" s="53"/>
      <c r="O975" s="25"/>
      <c r="P975" s="55"/>
      <c r="Q975" s="34"/>
      <c r="R975" s="54"/>
      <c r="S975" s="55"/>
      <c r="T975" s="25"/>
      <c r="U975" s="25"/>
      <c r="V975" s="24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</row>
    <row r="976">
      <c r="A976" s="25"/>
      <c r="B976" s="25"/>
      <c r="C976" s="25"/>
      <c r="D976" s="25"/>
      <c r="E976" s="25"/>
      <c r="F976" s="25"/>
      <c r="G976" s="25"/>
      <c r="H976" s="46"/>
      <c r="I976" s="52"/>
      <c r="J976" s="46"/>
      <c r="K976" s="52"/>
      <c r="L976" s="46"/>
      <c r="M976" s="52"/>
      <c r="N976" s="53"/>
      <c r="O976" s="25"/>
      <c r="P976" s="55"/>
      <c r="Q976" s="34"/>
      <c r="R976" s="54"/>
      <c r="S976" s="55"/>
      <c r="T976" s="25"/>
      <c r="U976" s="25"/>
      <c r="V976" s="24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</row>
    <row r="977">
      <c r="A977" s="25"/>
      <c r="B977" s="25"/>
      <c r="C977" s="25"/>
      <c r="D977" s="25"/>
      <c r="E977" s="25"/>
      <c r="F977" s="25"/>
      <c r="G977" s="25"/>
      <c r="H977" s="46"/>
      <c r="I977" s="52"/>
      <c r="J977" s="46"/>
      <c r="K977" s="52"/>
      <c r="L977" s="46"/>
      <c r="M977" s="52"/>
      <c r="N977" s="53"/>
      <c r="O977" s="25"/>
      <c r="P977" s="55"/>
      <c r="Q977" s="34"/>
      <c r="R977" s="54"/>
      <c r="S977" s="55"/>
      <c r="T977" s="25"/>
      <c r="U977" s="25"/>
      <c r="V977" s="24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</row>
    <row r="978">
      <c r="A978" s="25"/>
      <c r="B978" s="25"/>
      <c r="C978" s="25"/>
      <c r="D978" s="25"/>
      <c r="E978" s="25"/>
      <c r="F978" s="25"/>
      <c r="G978" s="25"/>
      <c r="H978" s="46"/>
      <c r="I978" s="52"/>
      <c r="J978" s="46"/>
      <c r="K978" s="52"/>
      <c r="L978" s="46"/>
      <c r="M978" s="52"/>
      <c r="N978" s="53"/>
      <c r="O978" s="25"/>
      <c r="P978" s="55"/>
      <c r="Q978" s="34"/>
      <c r="R978" s="54"/>
      <c r="S978" s="55"/>
      <c r="T978" s="25"/>
      <c r="U978" s="25"/>
      <c r="V978" s="24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</row>
    <row r="979">
      <c r="A979" s="25"/>
      <c r="B979" s="25"/>
      <c r="C979" s="25"/>
      <c r="D979" s="25"/>
      <c r="E979" s="25"/>
      <c r="F979" s="25"/>
      <c r="G979" s="25"/>
      <c r="H979" s="46"/>
      <c r="I979" s="52"/>
      <c r="J979" s="46"/>
      <c r="K979" s="52"/>
      <c r="L979" s="46"/>
      <c r="M979" s="52"/>
      <c r="N979" s="53"/>
      <c r="O979" s="25"/>
      <c r="P979" s="55"/>
      <c r="Q979" s="34"/>
      <c r="R979" s="54"/>
      <c r="S979" s="55"/>
      <c r="T979" s="25"/>
      <c r="U979" s="25"/>
      <c r="V979" s="24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</row>
    <row r="980">
      <c r="A980" s="25"/>
      <c r="B980" s="25"/>
      <c r="C980" s="25"/>
      <c r="D980" s="25"/>
      <c r="E980" s="25"/>
      <c r="F980" s="25"/>
      <c r="G980" s="25"/>
      <c r="H980" s="46"/>
      <c r="I980" s="52"/>
      <c r="J980" s="46"/>
      <c r="K980" s="52"/>
      <c r="L980" s="46"/>
      <c r="M980" s="52"/>
      <c r="N980" s="53"/>
      <c r="O980" s="25"/>
      <c r="P980" s="55"/>
      <c r="Q980" s="34"/>
      <c r="R980" s="54"/>
      <c r="S980" s="55"/>
      <c r="T980" s="25"/>
      <c r="U980" s="25"/>
      <c r="V980" s="24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</row>
    <row r="981">
      <c r="A981" s="25"/>
      <c r="B981" s="25"/>
      <c r="C981" s="25"/>
      <c r="D981" s="25"/>
      <c r="E981" s="25"/>
      <c r="F981" s="25"/>
      <c r="G981" s="25"/>
      <c r="H981" s="46"/>
      <c r="I981" s="52"/>
      <c r="J981" s="46"/>
      <c r="K981" s="52"/>
      <c r="L981" s="46"/>
      <c r="M981" s="52"/>
      <c r="N981" s="53"/>
      <c r="O981" s="25"/>
      <c r="P981" s="55"/>
      <c r="Q981" s="34"/>
      <c r="R981" s="54"/>
      <c r="S981" s="55"/>
      <c r="T981" s="25"/>
      <c r="U981" s="25"/>
      <c r="V981" s="24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</row>
    <row r="982">
      <c r="A982" s="25"/>
      <c r="B982" s="25"/>
      <c r="C982" s="25"/>
      <c r="D982" s="25"/>
      <c r="E982" s="25"/>
      <c r="F982" s="25"/>
      <c r="G982" s="25"/>
      <c r="H982" s="46"/>
      <c r="I982" s="52"/>
      <c r="J982" s="46"/>
      <c r="K982" s="52"/>
      <c r="L982" s="46"/>
      <c r="M982" s="52"/>
      <c r="N982" s="53"/>
      <c r="O982" s="25"/>
      <c r="P982" s="55"/>
      <c r="Q982" s="34"/>
      <c r="R982" s="54"/>
      <c r="S982" s="55"/>
      <c r="T982" s="25"/>
      <c r="U982" s="25"/>
      <c r="V982" s="24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</row>
    <row r="983">
      <c r="A983" s="25"/>
      <c r="B983" s="25"/>
      <c r="C983" s="25"/>
      <c r="D983" s="25"/>
      <c r="E983" s="25"/>
      <c r="F983" s="25"/>
      <c r="G983" s="25"/>
      <c r="H983" s="46"/>
      <c r="I983" s="52"/>
      <c r="J983" s="46"/>
      <c r="K983" s="52"/>
      <c r="L983" s="46"/>
      <c r="M983" s="52"/>
      <c r="N983" s="53"/>
      <c r="O983" s="25"/>
      <c r="P983" s="55"/>
      <c r="Q983" s="34"/>
      <c r="R983" s="54"/>
      <c r="S983" s="55"/>
      <c r="T983" s="25"/>
      <c r="U983" s="25"/>
      <c r="V983" s="24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</row>
    <row r="984">
      <c r="A984" s="25"/>
      <c r="B984" s="25"/>
      <c r="C984" s="25"/>
      <c r="D984" s="25"/>
      <c r="E984" s="25"/>
      <c r="F984" s="25"/>
      <c r="G984" s="25"/>
      <c r="H984" s="46"/>
      <c r="I984" s="52"/>
      <c r="J984" s="46"/>
      <c r="K984" s="52"/>
      <c r="L984" s="46"/>
      <c r="M984" s="52"/>
      <c r="N984" s="53"/>
      <c r="O984" s="25"/>
      <c r="P984" s="55"/>
      <c r="Q984" s="34"/>
      <c r="R984" s="54"/>
      <c r="S984" s="55"/>
      <c r="T984" s="25"/>
      <c r="U984" s="25"/>
      <c r="V984" s="24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</row>
    <row r="985">
      <c r="A985" s="25"/>
      <c r="B985" s="25"/>
      <c r="C985" s="25"/>
      <c r="D985" s="25"/>
      <c r="E985" s="25"/>
      <c r="F985" s="25"/>
      <c r="G985" s="25"/>
      <c r="H985" s="46"/>
      <c r="I985" s="52"/>
      <c r="J985" s="46"/>
      <c r="K985" s="52"/>
      <c r="L985" s="46"/>
      <c r="M985" s="52"/>
      <c r="N985" s="53"/>
      <c r="O985" s="25"/>
      <c r="P985" s="55"/>
      <c r="Q985" s="34"/>
      <c r="R985" s="54"/>
      <c r="S985" s="55"/>
      <c r="T985" s="25"/>
      <c r="U985" s="25"/>
      <c r="V985" s="24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</row>
    <row r="986">
      <c r="A986" s="25"/>
      <c r="B986" s="25"/>
      <c r="C986" s="25"/>
      <c r="D986" s="25"/>
      <c r="E986" s="25"/>
      <c r="F986" s="25"/>
      <c r="G986" s="25"/>
      <c r="H986" s="46"/>
      <c r="I986" s="52"/>
      <c r="J986" s="46"/>
      <c r="K986" s="52"/>
      <c r="L986" s="46"/>
      <c r="M986" s="52"/>
      <c r="N986" s="53"/>
      <c r="O986" s="25"/>
      <c r="P986" s="55"/>
      <c r="Q986" s="34"/>
      <c r="R986" s="54"/>
      <c r="S986" s="55"/>
      <c r="T986" s="25"/>
      <c r="U986" s="25"/>
      <c r="V986" s="24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</row>
    <row r="987">
      <c r="A987" s="25"/>
      <c r="B987" s="25"/>
      <c r="C987" s="25"/>
      <c r="D987" s="25"/>
      <c r="E987" s="25"/>
      <c r="F987" s="25"/>
      <c r="G987" s="25"/>
      <c r="H987" s="46"/>
      <c r="I987" s="52"/>
      <c r="J987" s="46"/>
      <c r="K987" s="52"/>
      <c r="L987" s="46"/>
      <c r="M987" s="52"/>
      <c r="N987" s="53"/>
      <c r="O987" s="25"/>
      <c r="P987" s="55"/>
      <c r="Q987" s="34"/>
      <c r="R987" s="54"/>
      <c r="S987" s="55"/>
      <c r="T987" s="25"/>
      <c r="U987" s="25"/>
      <c r="V987" s="24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</row>
    <row r="988">
      <c r="A988" s="25"/>
      <c r="B988" s="25"/>
      <c r="C988" s="25"/>
      <c r="D988" s="25"/>
      <c r="E988" s="25"/>
      <c r="F988" s="25"/>
      <c r="G988" s="25"/>
      <c r="H988" s="46"/>
      <c r="I988" s="52"/>
      <c r="J988" s="46"/>
      <c r="K988" s="52"/>
      <c r="L988" s="46"/>
      <c r="M988" s="52"/>
      <c r="N988" s="53"/>
      <c r="O988" s="25"/>
      <c r="P988" s="55"/>
      <c r="Q988" s="34"/>
      <c r="R988" s="54"/>
      <c r="S988" s="55"/>
      <c r="T988" s="25"/>
      <c r="U988" s="25"/>
      <c r="V988" s="24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</row>
    <row r="989">
      <c r="A989" s="25"/>
      <c r="B989" s="25"/>
      <c r="C989" s="25"/>
      <c r="D989" s="25"/>
      <c r="E989" s="25"/>
      <c r="F989" s="25"/>
      <c r="G989" s="25"/>
      <c r="H989" s="46"/>
      <c r="I989" s="52"/>
      <c r="J989" s="46"/>
      <c r="K989" s="52"/>
      <c r="L989" s="46"/>
      <c r="M989" s="52"/>
      <c r="N989" s="53"/>
      <c r="O989" s="25"/>
      <c r="P989" s="55"/>
      <c r="Q989" s="34"/>
      <c r="R989" s="54"/>
      <c r="S989" s="55"/>
      <c r="T989" s="25"/>
      <c r="U989" s="25"/>
      <c r="V989" s="24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</row>
    <row r="990">
      <c r="A990" s="25"/>
      <c r="B990" s="25"/>
      <c r="C990" s="25"/>
      <c r="D990" s="25"/>
      <c r="E990" s="25"/>
      <c r="F990" s="25"/>
      <c r="G990" s="25"/>
      <c r="H990" s="46"/>
      <c r="I990" s="52"/>
      <c r="J990" s="46"/>
      <c r="K990" s="52"/>
      <c r="L990" s="46"/>
      <c r="M990" s="52"/>
      <c r="N990" s="53"/>
      <c r="O990" s="25"/>
      <c r="P990" s="55"/>
      <c r="Q990" s="34"/>
      <c r="R990" s="54"/>
      <c r="S990" s="55"/>
      <c r="T990" s="25"/>
      <c r="U990" s="25"/>
      <c r="V990" s="24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</row>
    <row r="991">
      <c r="A991" s="25"/>
      <c r="B991" s="25"/>
      <c r="C991" s="25"/>
      <c r="D991" s="25"/>
      <c r="E991" s="25"/>
      <c r="F991" s="25"/>
      <c r="G991" s="25"/>
      <c r="H991" s="46"/>
      <c r="I991" s="52"/>
      <c r="J991" s="46"/>
      <c r="K991" s="52"/>
      <c r="L991" s="46"/>
      <c r="M991" s="52"/>
      <c r="N991" s="53"/>
      <c r="O991" s="25"/>
      <c r="P991" s="55"/>
      <c r="Q991" s="34"/>
      <c r="R991" s="54"/>
      <c r="S991" s="55"/>
      <c r="T991" s="25"/>
      <c r="U991" s="25"/>
      <c r="V991" s="24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</row>
    <row r="992">
      <c r="A992" s="25"/>
      <c r="B992" s="25"/>
      <c r="C992" s="25"/>
      <c r="D992" s="25"/>
      <c r="E992" s="25"/>
      <c r="F992" s="25"/>
      <c r="G992" s="25"/>
      <c r="H992" s="46"/>
      <c r="I992" s="52"/>
      <c r="J992" s="46"/>
      <c r="K992" s="52"/>
      <c r="L992" s="46"/>
      <c r="M992" s="52"/>
      <c r="N992" s="53"/>
      <c r="O992" s="25"/>
      <c r="P992" s="55"/>
      <c r="Q992" s="34"/>
      <c r="R992" s="54"/>
      <c r="S992" s="55"/>
      <c r="T992" s="25"/>
      <c r="U992" s="25"/>
      <c r="V992" s="24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</row>
    <row r="993">
      <c r="A993" s="25"/>
      <c r="B993" s="25"/>
      <c r="C993" s="25"/>
      <c r="D993" s="25"/>
      <c r="E993" s="25"/>
      <c r="F993" s="25"/>
      <c r="G993" s="25"/>
      <c r="H993" s="46"/>
      <c r="I993" s="52"/>
      <c r="J993" s="46"/>
      <c r="K993" s="52"/>
      <c r="L993" s="46"/>
      <c r="M993" s="52"/>
      <c r="N993" s="53"/>
      <c r="O993" s="25"/>
      <c r="P993" s="55"/>
      <c r="Q993" s="34"/>
      <c r="R993" s="54"/>
      <c r="S993" s="55"/>
      <c r="T993" s="25"/>
      <c r="U993" s="25"/>
      <c r="V993" s="24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</row>
    <row r="994">
      <c r="A994" s="25"/>
      <c r="B994" s="25"/>
      <c r="C994" s="25"/>
      <c r="D994" s="25"/>
      <c r="E994" s="25"/>
      <c r="F994" s="25"/>
      <c r="G994" s="25"/>
      <c r="H994" s="46"/>
      <c r="I994" s="52"/>
      <c r="J994" s="46"/>
      <c r="K994" s="52"/>
      <c r="L994" s="46"/>
      <c r="M994" s="52"/>
      <c r="N994" s="53"/>
      <c r="O994" s="25"/>
      <c r="P994" s="55"/>
      <c r="Q994" s="34"/>
      <c r="R994" s="54"/>
      <c r="S994" s="55"/>
      <c r="T994" s="25"/>
      <c r="U994" s="25"/>
      <c r="V994" s="24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</row>
    <row r="995">
      <c r="A995" s="25"/>
      <c r="B995" s="25"/>
      <c r="C995" s="25"/>
      <c r="D995" s="25"/>
      <c r="E995" s="25"/>
      <c r="F995" s="25"/>
      <c r="G995" s="25"/>
      <c r="H995" s="46"/>
      <c r="I995" s="52"/>
      <c r="J995" s="46"/>
      <c r="K995" s="52"/>
      <c r="L995" s="46"/>
      <c r="M995" s="52"/>
      <c r="N995" s="53"/>
      <c r="O995" s="25"/>
      <c r="P995" s="55"/>
      <c r="Q995" s="34"/>
      <c r="R995" s="54"/>
      <c r="S995" s="55"/>
      <c r="T995" s="25"/>
      <c r="U995" s="25"/>
      <c r="V995" s="24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</row>
    <row r="996">
      <c r="A996" s="25"/>
      <c r="B996" s="25"/>
      <c r="C996" s="25"/>
      <c r="D996" s="25"/>
      <c r="E996" s="25"/>
      <c r="F996" s="25"/>
      <c r="G996" s="25"/>
      <c r="H996" s="46"/>
      <c r="I996" s="52"/>
      <c r="J996" s="46"/>
      <c r="K996" s="52"/>
      <c r="L996" s="46"/>
      <c r="M996" s="52"/>
      <c r="N996" s="53"/>
      <c r="O996" s="25"/>
      <c r="P996" s="55"/>
      <c r="Q996" s="34"/>
      <c r="R996" s="54"/>
      <c r="S996" s="55"/>
      <c r="T996" s="25"/>
      <c r="U996" s="25"/>
      <c r="V996" s="24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</row>
    <row r="997">
      <c r="A997" s="25"/>
      <c r="B997" s="25"/>
      <c r="C997" s="25"/>
      <c r="D997" s="25"/>
      <c r="E997" s="25"/>
      <c r="F997" s="25"/>
      <c r="G997" s="25"/>
      <c r="H997" s="46"/>
      <c r="I997" s="52"/>
      <c r="J997" s="46"/>
      <c r="K997" s="52"/>
      <c r="L997" s="46"/>
      <c r="M997" s="52"/>
      <c r="N997" s="53"/>
      <c r="O997" s="25"/>
      <c r="P997" s="55"/>
      <c r="Q997" s="34"/>
      <c r="R997" s="54"/>
      <c r="S997" s="55"/>
      <c r="T997" s="25"/>
      <c r="U997" s="25"/>
      <c r="V997" s="24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</row>
    <row r="998">
      <c r="A998" s="25"/>
      <c r="B998" s="25"/>
      <c r="C998" s="25"/>
      <c r="D998" s="25"/>
      <c r="E998" s="25"/>
      <c r="F998" s="25"/>
      <c r="G998" s="25"/>
      <c r="H998" s="46"/>
      <c r="I998" s="52"/>
      <c r="J998" s="46"/>
      <c r="K998" s="52"/>
      <c r="L998" s="46"/>
      <c r="M998" s="52"/>
      <c r="N998" s="53"/>
      <c r="O998" s="25"/>
      <c r="P998" s="55"/>
      <c r="Q998" s="34"/>
      <c r="R998" s="54"/>
      <c r="S998" s="55"/>
      <c r="T998" s="25"/>
      <c r="U998" s="25"/>
      <c r="V998" s="24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</row>
    <row r="999">
      <c r="A999" s="25"/>
      <c r="B999" s="25"/>
      <c r="C999" s="25"/>
      <c r="D999" s="25"/>
      <c r="E999" s="25"/>
      <c r="F999" s="25"/>
      <c r="G999" s="25"/>
      <c r="H999" s="46"/>
      <c r="I999" s="52"/>
      <c r="J999" s="46"/>
      <c r="K999" s="52"/>
      <c r="L999" s="46"/>
      <c r="M999" s="52"/>
      <c r="N999" s="53"/>
      <c r="O999" s="25"/>
      <c r="P999" s="55"/>
      <c r="Q999" s="34"/>
      <c r="R999" s="54"/>
      <c r="S999" s="55"/>
      <c r="T999" s="25"/>
      <c r="U999" s="25"/>
      <c r="V999" s="24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</row>
    <row r="1000">
      <c r="A1000" s="25"/>
      <c r="B1000" s="25"/>
      <c r="C1000" s="25"/>
      <c r="D1000" s="25"/>
      <c r="E1000" s="25"/>
      <c r="F1000" s="25"/>
      <c r="G1000" s="25"/>
      <c r="H1000" s="46"/>
      <c r="I1000" s="52"/>
      <c r="J1000" s="46"/>
      <c r="K1000" s="52"/>
      <c r="L1000" s="46"/>
      <c r="M1000" s="52"/>
      <c r="N1000" s="53"/>
      <c r="O1000" s="25"/>
      <c r="P1000" s="55"/>
      <c r="Q1000" s="34"/>
      <c r="R1000" s="54"/>
      <c r="S1000" s="55"/>
      <c r="T1000" s="25"/>
      <c r="U1000" s="25"/>
      <c r="V1000" s="24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</row>
    <row r="1001">
      <c r="A1001" s="25"/>
      <c r="B1001" s="25"/>
      <c r="C1001" s="25"/>
      <c r="D1001" s="25"/>
      <c r="E1001" s="25"/>
      <c r="F1001" s="25"/>
      <c r="G1001" s="25"/>
      <c r="H1001" s="46"/>
      <c r="I1001" s="52"/>
      <c r="J1001" s="46"/>
      <c r="K1001" s="52"/>
      <c r="L1001" s="46"/>
      <c r="M1001" s="52"/>
      <c r="N1001" s="53"/>
      <c r="O1001" s="25"/>
      <c r="P1001" s="55"/>
      <c r="Q1001" s="34"/>
      <c r="R1001" s="54"/>
      <c r="S1001" s="55"/>
      <c r="T1001" s="25"/>
      <c r="U1001" s="25"/>
      <c r="V1001" s="24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</row>
    <row r="1002">
      <c r="A1002" s="25"/>
      <c r="B1002" s="25"/>
      <c r="C1002" s="25"/>
      <c r="D1002" s="25"/>
      <c r="E1002" s="25"/>
      <c r="F1002" s="25"/>
      <c r="G1002" s="25"/>
      <c r="H1002" s="46"/>
      <c r="I1002" s="52"/>
      <c r="J1002" s="46"/>
      <c r="K1002" s="52"/>
      <c r="L1002" s="46"/>
      <c r="M1002" s="52"/>
      <c r="N1002" s="53"/>
      <c r="O1002" s="25"/>
      <c r="P1002" s="55"/>
      <c r="Q1002" s="34"/>
      <c r="R1002" s="54"/>
      <c r="S1002" s="55"/>
      <c r="T1002" s="25"/>
      <c r="U1002" s="25"/>
      <c r="V1002" s="24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</row>
    <row r="1003">
      <c r="A1003" s="25"/>
      <c r="B1003" s="25"/>
      <c r="C1003" s="25"/>
      <c r="D1003" s="25"/>
      <c r="E1003" s="25"/>
      <c r="F1003" s="25"/>
      <c r="G1003" s="25"/>
      <c r="H1003" s="46"/>
      <c r="I1003" s="52"/>
      <c r="J1003" s="46"/>
      <c r="K1003" s="52"/>
      <c r="L1003" s="46"/>
      <c r="M1003" s="52"/>
      <c r="N1003" s="53"/>
      <c r="O1003" s="25"/>
      <c r="P1003" s="55"/>
      <c r="Q1003" s="34"/>
      <c r="R1003" s="54"/>
      <c r="S1003" s="55"/>
      <c r="T1003" s="25"/>
      <c r="U1003" s="25"/>
      <c r="V1003" s="24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</row>
    <row r="1004">
      <c r="A1004" s="25"/>
      <c r="B1004" s="25"/>
      <c r="C1004" s="25"/>
      <c r="D1004" s="25"/>
      <c r="E1004" s="25"/>
      <c r="F1004" s="25"/>
      <c r="G1004" s="25"/>
      <c r="H1004" s="46"/>
      <c r="I1004" s="52"/>
      <c r="J1004" s="46"/>
      <c r="K1004" s="52"/>
      <c r="L1004" s="46"/>
      <c r="M1004" s="52"/>
      <c r="N1004" s="53"/>
      <c r="O1004" s="25"/>
      <c r="P1004" s="55"/>
      <c r="Q1004" s="34"/>
      <c r="R1004" s="54"/>
      <c r="S1004" s="55"/>
      <c r="T1004" s="25"/>
      <c r="U1004" s="25"/>
      <c r="V1004" s="24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</row>
    <row r="1005">
      <c r="A1005" s="25"/>
      <c r="B1005" s="25"/>
      <c r="C1005" s="25"/>
      <c r="D1005" s="25"/>
      <c r="E1005" s="25"/>
      <c r="F1005" s="25"/>
      <c r="G1005" s="25"/>
      <c r="H1005" s="46"/>
      <c r="I1005" s="52"/>
      <c r="J1005" s="46"/>
      <c r="K1005" s="52"/>
      <c r="L1005" s="46"/>
      <c r="M1005" s="52"/>
      <c r="N1005" s="53"/>
      <c r="O1005" s="25"/>
      <c r="P1005" s="55"/>
      <c r="Q1005" s="34"/>
      <c r="R1005" s="54"/>
      <c r="S1005" s="55"/>
      <c r="T1005" s="25"/>
      <c r="U1005" s="25"/>
      <c r="V1005" s="24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</row>
    <row r="1006">
      <c r="A1006" s="25"/>
      <c r="B1006" s="25"/>
      <c r="C1006" s="25"/>
      <c r="D1006" s="25"/>
      <c r="E1006" s="25"/>
      <c r="F1006" s="25"/>
      <c r="G1006" s="25"/>
      <c r="H1006" s="46"/>
      <c r="I1006" s="52"/>
      <c r="J1006" s="46"/>
      <c r="K1006" s="52"/>
      <c r="L1006" s="46"/>
      <c r="M1006" s="52"/>
      <c r="N1006" s="53"/>
      <c r="O1006" s="25"/>
      <c r="P1006" s="55"/>
      <c r="Q1006" s="34"/>
      <c r="R1006" s="54"/>
      <c r="S1006" s="55"/>
      <c r="T1006" s="25"/>
      <c r="U1006" s="25"/>
      <c r="V1006" s="24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</row>
    <row r="1007">
      <c r="A1007" s="25"/>
      <c r="B1007" s="25"/>
      <c r="C1007" s="25"/>
      <c r="D1007" s="25"/>
      <c r="E1007" s="25"/>
      <c r="F1007" s="25"/>
      <c r="G1007" s="25"/>
      <c r="H1007" s="46"/>
      <c r="I1007" s="52"/>
      <c r="J1007" s="46"/>
      <c r="K1007" s="52"/>
      <c r="L1007" s="46"/>
      <c r="M1007" s="52"/>
      <c r="N1007" s="53"/>
      <c r="O1007" s="25"/>
      <c r="P1007" s="55"/>
      <c r="Q1007" s="34"/>
      <c r="R1007" s="54"/>
      <c r="S1007" s="55"/>
      <c r="T1007" s="25"/>
      <c r="U1007" s="25"/>
      <c r="V1007" s="24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</row>
    <row r="1008">
      <c r="A1008" s="25"/>
      <c r="B1008" s="25"/>
      <c r="C1008" s="25"/>
      <c r="D1008" s="25"/>
      <c r="E1008" s="25"/>
      <c r="F1008" s="25"/>
      <c r="G1008" s="25"/>
      <c r="H1008" s="46"/>
      <c r="I1008" s="52"/>
      <c r="J1008" s="46"/>
      <c r="K1008" s="52"/>
      <c r="L1008" s="46"/>
      <c r="M1008" s="52"/>
      <c r="N1008" s="53"/>
      <c r="O1008" s="25"/>
      <c r="P1008" s="55"/>
      <c r="Q1008" s="34"/>
      <c r="R1008" s="54"/>
      <c r="S1008" s="55"/>
      <c r="T1008" s="25"/>
      <c r="U1008" s="25"/>
      <c r="V1008" s="24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</row>
    <row r="1009">
      <c r="A1009" s="25"/>
      <c r="B1009" s="25"/>
      <c r="C1009" s="25"/>
      <c r="D1009" s="25"/>
      <c r="E1009" s="25"/>
      <c r="F1009" s="25"/>
      <c r="G1009" s="25"/>
      <c r="H1009" s="46"/>
      <c r="I1009" s="52"/>
      <c r="J1009" s="46"/>
      <c r="K1009" s="52"/>
      <c r="L1009" s="46"/>
      <c r="M1009" s="52"/>
      <c r="N1009" s="53"/>
      <c r="O1009" s="25"/>
      <c r="P1009" s="55"/>
      <c r="Q1009" s="34"/>
      <c r="R1009" s="54"/>
      <c r="S1009" s="55"/>
      <c r="T1009" s="25"/>
      <c r="U1009" s="25"/>
      <c r="V1009" s="24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</row>
    <row r="1010">
      <c r="A1010" s="25"/>
      <c r="B1010" s="25"/>
      <c r="C1010" s="25"/>
      <c r="D1010" s="25"/>
      <c r="E1010" s="25"/>
      <c r="F1010" s="25"/>
      <c r="G1010" s="25"/>
      <c r="H1010" s="46"/>
      <c r="I1010" s="52"/>
      <c r="J1010" s="46"/>
      <c r="K1010" s="52"/>
      <c r="L1010" s="46"/>
      <c r="M1010" s="52"/>
      <c r="N1010" s="53"/>
      <c r="O1010" s="25"/>
      <c r="P1010" s="55"/>
      <c r="Q1010" s="34"/>
      <c r="R1010" s="54"/>
      <c r="S1010" s="55"/>
      <c r="T1010" s="25"/>
      <c r="U1010" s="25"/>
      <c r="V1010" s="24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</row>
    <row r="1011">
      <c r="A1011" s="25"/>
      <c r="B1011" s="25"/>
      <c r="C1011" s="25"/>
      <c r="D1011" s="25"/>
      <c r="E1011" s="25"/>
      <c r="F1011" s="25"/>
      <c r="G1011" s="25"/>
      <c r="H1011" s="46"/>
      <c r="I1011" s="52"/>
      <c r="J1011" s="46"/>
      <c r="K1011" s="52"/>
      <c r="L1011" s="46"/>
      <c r="M1011" s="52"/>
      <c r="N1011" s="53"/>
      <c r="O1011" s="25"/>
      <c r="P1011" s="55"/>
      <c r="Q1011" s="34"/>
      <c r="R1011" s="54"/>
      <c r="S1011" s="55"/>
      <c r="T1011" s="25"/>
      <c r="U1011" s="25"/>
      <c r="V1011" s="24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</row>
    <row r="1012">
      <c r="A1012" s="25"/>
      <c r="B1012" s="25"/>
      <c r="C1012" s="25"/>
      <c r="D1012" s="25"/>
      <c r="E1012" s="25"/>
      <c r="F1012" s="25"/>
      <c r="G1012" s="25"/>
      <c r="H1012" s="46"/>
      <c r="I1012" s="52"/>
      <c r="J1012" s="46"/>
      <c r="K1012" s="52"/>
      <c r="L1012" s="46"/>
      <c r="M1012" s="52"/>
      <c r="N1012" s="53"/>
      <c r="O1012" s="25"/>
      <c r="P1012" s="55"/>
      <c r="Q1012" s="34"/>
      <c r="R1012" s="54"/>
      <c r="S1012" s="55"/>
      <c r="T1012" s="25"/>
      <c r="U1012" s="25"/>
      <c r="V1012" s="24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</row>
    <row r="1013">
      <c r="A1013" s="25"/>
      <c r="B1013" s="25"/>
      <c r="C1013" s="25"/>
      <c r="D1013" s="25"/>
      <c r="E1013" s="25"/>
      <c r="F1013" s="25"/>
      <c r="G1013" s="25"/>
      <c r="H1013" s="46"/>
      <c r="I1013" s="52"/>
      <c r="J1013" s="46"/>
      <c r="K1013" s="52"/>
      <c r="L1013" s="46"/>
      <c r="M1013" s="52"/>
      <c r="N1013" s="53"/>
      <c r="O1013" s="25"/>
      <c r="P1013" s="55"/>
      <c r="Q1013" s="34"/>
      <c r="R1013" s="54"/>
      <c r="S1013" s="55"/>
      <c r="T1013" s="25"/>
      <c r="U1013" s="25"/>
      <c r="V1013" s="24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</row>
    <row r="1014">
      <c r="A1014" s="25"/>
      <c r="B1014" s="25"/>
      <c r="C1014" s="25"/>
      <c r="D1014" s="25"/>
      <c r="E1014" s="25"/>
      <c r="F1014" s="25"/>
      <c r="G1014" s="25"/>
      <c r="H1014" s="46"/>
      <c r="I1014" s="52"/>
      <c r="J1014" s="46"/>
      <c r="K1014" s="52"/>
      <c r="L1014" s="46"/>
      <c r="M1014" s="52"/>
      <c r="N1014" s="53"/>
      <c r="O1014" s="25"/>
      <c r="P1014" s="55"/>
      <c r="Q1014" s="34"/>
      <c r="R1014" s="54"/>
      <c r="S1014" s="55"/>
      <c r="T1014" s="25"/>
      <c r="U1014" s="25"/>
      <c r="V1014" s="24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</row>
    <row r="1015">
      <c r="A1015" s="25"/>
      <c r="B1015" s="25"/>
      <c r="C1015" s="25"/>
      <c r="D1015" s="25"/>
      <c r="E1015" s="25"/>
      <c r="F1015" s="25"/>
      <c r="G1015" s="25"/>
      <c r="H1015" s="46"/>
      <c r="I1015" s="52"/>
      <c r="J1015" s="46"/>
      <c r="K1015" s="52"/>
      <c r="L1015" s="46"/>
      <c r="M1015" s="52"/>
      <c r="N1015" s="53"/>
      <c r="O1015" s="25"/>
      <c r="P1015" s="55"/>
      <c r="Q1015" s="34"/>
      <c r="R1015" s="54"/>
      <c r="S1015" s="55"/>
      <c r="T1015" s="25"/>
      <c r="U1015" s="25"/>
      <c r="V1015" s="24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</row>
    <row r="1016">
      <c r="A1016" s="25"/>
      <c r="B1016" s="25"/>
      <c r="C1016" s="25"/>
      <c r="D1016" s="25"/>
      <c r="E1016" s="25"/>
      <c r="F1016" s="25"/>
      <c r="G1016" s="25"/>
      <c r="H1016" s="46"/>
      <c r="I1016" s="52"/>
      <c r="J1016" s="46"/>
      <c r="K1016" s="52"/>
      <c r="L1016" s="46"/>
      <c r="M1016" s="52"/>
      <c r="N1016" s="53"/>
      <c r="O1016" s="25"/>
      <c r="P1016" s="55"/>
      <c r="Q1016" s="34"/>
      <c r="R1016" s="54"/>
      <c r="S1016" s="55"/>
      <c r="T1016" s="25"/>
      <c r="U1016" s="25"/>
      <c r="V1016" s="24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</row>
    <row r="1017">
      <c r="A1017" s="25"/>
      <c r="B1017" s="25"/>
      <c r="C1017" s="25"/>
      <c r="D1017" s="25"/>
      <c r="E1017" s="25"/>
      <c r="F1017" s="25"/>
      <c r="G1017" s="25"/>
      <c r="H1017" s="46"/>
      <c r="I1017" s="52"/>
      <c r="J1017" s="46"/>
      <c r="K1017" s="52"/>
      <c r="L1017" s="46"/>
      <c r="M1017" s="52"/>
      <c r="N1017" s="53"/>
      <c r="O1017" s="25"/>
      <c r="P1017" s="55"/>
      <c r="Q1017" s="34"/>
      <c r="R1017" s="54"/>
      <c r="S1017" s="55"/>
      <c r="T1017" s="25"/>
      <c r="U1017" s="25"/>
      <c r="V1017" s="24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</row>
    <row r="1018">
      <c r="A1018" s="25"/>
      <c r="B1018" s="25"/>
      <c r="C1018" s="25"/>
      <c r="D1018" s="25"/>
      <c r="E1018" s="25"/>
      <c r="F1018" s="25"/>
      <c r="G1018" s="25"/>
      <c r="H1018" s="46"/>
      <c r="I1018" s="52"/>
      <c r="J1018" s="46"/>
      <c r="K1018" s="52"/>
      <c r="L1018" s="46"/>
      <c r="M1018" s="52"/>
      <c r="N1018" s="53"/>
      <c r="O1018" s="25"/>
      <c r="P1018" s="55"/>
      <c r="Q1018" s="34"/>
      <c r="R1018" s="54"/>
      <c r="S1018" s="55"/>
      <c r="T1018" s="25"/>
      <c r="U1018" s="25"/>
      <c r="V1018" s="24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</row>
    <row r="1019">
      <c r="A1019" s="25"/>
      <c r="B1019" s="25"/>
      <c r="C1019" s="25"/>
      <c r="D1019" s="25"/>
      <c r="E1019" s="25"/>
      <c r="F1019" s="25"/>
      <c r="G1019" s="25"/>
      <c r="H1019" s="46"/>
      <c r="I1019" s="52"/>
      <c r="J1019" s="46"/>
      <c r="K1019" s="52"/>
      <c r="L1019" s="46"/>
      <c r="M1019" s="52"/>
      <c r="N1019" s="53"/>
      <c r="O1019" s="25"/>
      <c r="P1019" s="55"/>
      <c r="Q1019" s="34"/>
      <c r="R1019" s="54"/>
      <c r="S1019" s="55"/>
      <c r="T1019" s="25"/>
      <c r="U1019" s="25"/>
      <c r="V1019" s="24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</row>
    <row r="1020">
      <c r="A1020" s="25"/>
      <c r="B1020" s="25"/>
      <c r="C1020" s="25"/>
      <c r="D1020" s="25"/>
      <c r="E1020" s="25"/>
      <c r="F1020" s="25"/>
      <c r="G1020" s="25"/>
      <c r="H1020" s="46"/>
      <c r="I1020" s="52"/>
      <c r="J1020" s="46"/>
      <c r="K1020" s="52"/>
      <c r="L1020" s="46"/>
      <c r="M1020" s="52"/>
      <c r="N1020" s="53"/>
      <c r="O1020" s="25"/>
      <c r="P1020" s="55"/>
      <c r="Q1020" s="34"/>
      <c r="R1020" s="54"/>
      <c r="S1020" s="55"/>
      <c r="T1020" s="25"/>
      <c r="U1020" s="25"/>
      <c r="V1020" s="24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</row>
    <row r="1021">
      <c r="A1021" s="25"/>
      <c r="B1021" s="25"/>
      <c r="C1021" s="25"/>
      <c r="D1021" s="25"/>
      <c r="E1021" s="25"/>
      <c r="F1021" s="25"/>
      <c r="G1021" s="25"/>
      <c r="H1021" s="46"/>
      <c r="I1021" s="52"/>
      <c r="J1021" s="46"/>
      <c r="K1021" s="52"/>
      <c r="L1021" s="46"/>
      <c r="M1021" s="52"/>
      <c r="N1021" s="53"/>
      <c r="O1021" s="25"/>
      <c r="P1021" s="55"/>
      <c r="Q1021" s="34"/>
      <c r="R1021" s="54"/>
      <c r="S1021" s="55"/>
      <c r="T1021" s="25"/>
      <c r="U1021" s="25"/>
      <c r="V1021" s="24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</row>
    <row r="1022">
      <c r="A1022" s="25"/>
      <c r="B1022" s="25"/>
      <c r="C1022" s="25"/>
      <c r="D1022" s="25"/>
      <c r="E1022" s="25"/>
      <c r="F1022" s="25"/>
      <c r="G1022" s="25"/>
      <c r="H1022" s="46"/>
      <c r="I1022" s="52"/>
      <c r="J1022" s="46"/>
      <c r="K1022" s="52"/>
      <c r="L1022" s="46"/>
      <c r="M1022" s="52"/>
      <c r="N1022" s="53"/>
      <c r="O1022" s="25"/>
      <c r="P1022" s="55"/>
      <c r="Q1022" s="34"/>
      <c r="R1022" s="54"/>
      <c r="S1022" s="55"/>
      <c r="T1022" s="25"/>
      <c r="U1022" s="25"/>
      <c r="V1022" s="24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</row>
    <row r="1023">
      <c r="A1023" s="25"/>
      <c r="B1023" s="25"/>
      <c r="C1023" s="25"/>
      <c r="D1023" s="25"/>
      <c r="E1023" s="25"/>
      <c r="F1023" s="25"/>
      <c r="G1023" s="25"/>
      <c r="H1023" s="46"/>
      <c r="I1023" s="52"/>
      <c r="J1023" s="46"/>
      <c r="K1023" s="52"/>
      <c r="L1023" s="46"/>
      <c r="M1023" s="52"/>
      <c r="N1023" s="53"/>
      <c r="O1023" s="25"/>
      <c r="P1023" s="55"/>
      <c r="Q1023" s="34"/>
      <c r="R1023" s="54"/>
      <c r="S1023" s="55"/>
      <c r="T1023" s="25"/>
      <c r="U1023" s="25"/>
      <c r="V1023" s="24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</row>
    <row r="1024">
      <c r="A1024" s="25"/>
      <c r="B1024" s="25"/>
      <c r="C1024" s="25"/>
      <c r="D1024" s="25"/>
      <c r="E1024" s="25"/>
      <c r="F1024" s="25"/>
      <c r="G1024" s="25"/>
      <c r="H1024" s="46"/>
      <c r="I1024" s="52"/>
      <c r="J1024" s="46"/>
      <c r="K1024" s="52"/>
      <c r="L1024" s="46"/>
      <c r="M1024" s="52"/>
      <c r="N1024" s="53"/>
      <c r="O1024" s="25"/>
      <c r="P1024" s="55"/>
      <c r="Q1024" s="34"/>
      <c r="R1024" s="54"/>
      <c r="S1024" s="55"/>
      <c r="T1024" s="25"/>
      <c r="U1024" s="25"/>
      <c r="V1024" s="24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</row>
    <row r="1025">
      <c r="A1025" s="25"/>
      <c r="B1025" s="25"/>
      <c r="C1025" s="25"/>
      <c r="D1025" s="25"/>
      <c r="E1025" s="25"/>
      <c r="F1025" s="25"/>
      <c r="G1025" s="25"/>
      <c r="H1025" s="46"/>
      <c r="I1025" s="52"/>
      <c r="J1025" s="46"/>
      <c r="K1025" s="52"/>
      <c r="L1025" s="46"/>
      <c r="M1025" s="52"/>
      <c r="N1025" s="53"/>
      <c r="O1025" s="25"/>
      <c r="P1025" s="55"/>
      <c r="Q1025" s="34"/>
      <c r="R1025" s="54"/>
      <c r="S1025" s="55"/>
      <c r="T1025" s="25"/>
      <c r="U1025" s="25"/>
      <c r="V1025" s="24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</row>
    <row r="1026">
      <c r="A1026" s="25"/>
      <c r="B1026" s="25"/>
      <c r="C1026" s="25"/>
      <c r="D1026" s="25"/>
      <c r="E1026" s="25"/>
      <c r="F1026" s="25"/>
      <c r="G1026" s="25"/>
      <c r="H1026" s="46"/>
      <c r="I1026" s="52"/>
      <c r="J1026" s="46"/>
      <c r="K1026" s="52"/>
      <c r="L1026" s="46"/>
      <c r="M1026" s="52"/>
      <c r="N1026" s="53"/>
      <c r="O1026" s="25"/>
      <c r="P1026" s="55"/>
      <c r="Q1026" s="34"/>
      <c r="R1026" s="54"/>
      <c r="S1026" s="55"/>
      <c r="T1026" s="25"/>
      <c r="U1026" s="25"/>
      <c r="V1026" s="24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</row>
    <row r="1027">
      <c r="A1027" s="25"/>
      <c r="B1027" s="25"/>
      <c r="C1027" s="25"/>
      <c r="D1027" s="25"/>
      <c r="E1027" s="25"/>
      <c r="F1027" s="25"/>
      <c r="G1027" s="25"/>
      <c r="H1027" s="46"/>
      <c r="I1027" s="52"/>
      <c r="J1027" s="46"/>
      <c r="K1027" s="52"/>
      <c r="L1027" s="46"/>
      <c r="M1027" s="52"/>
      <c r="N1027" s="53"/>
      <c r="O1027" s="25"/>
      <c r="P1027" s="55"/>
      <c r="Q1027" s="34"/>
      <c r="R1027" s="54"/>
      <c r="S1027" s="55"/>
      <c r="T1027" s="25"/>
      <c r="U1027" s="25"/>
      <c r="V1027" s="24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</row>
    <row r="1028">
      <c r="A1028" s="25"/>
      <c r="B1028" s="25"/>
      <c r="C1028" s="25"/>
      <c r="D1028" s="25"/>
      <c r="E1028" s="25"/>
      <c r="F1028" s="25"/>
      <c r="G1028" s="25"/>
      <c r="H1028" s="46"/>
      <c r="I1028" s="52"/>
      <c r="J1028" s="46"/>
      <c r="K1028" s="52"/>
      <c r="L1028" s="46"/>
      <c r="M1028" s="52"/>
      <c r="N1028" s="53"/>
      <c r="O1028" s="25"/>
      <c r="P1028" s="55"/>
      <c r="Q1028" s="34"/>
      <c r="R1028" s="54"/>
      <c r="S1028" s="55"/>
      <c r="T1028" s="25"/>
      <c r="U1028" s="25"/>
      <c r="V1028" s="24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</row>
    <row r="1029">
      <c r="A1029" s="25"/>
      <c r="B1029" s="25"/>
      <c r="C1029" s="25"/>
      <c r="D1029" s="25"/>
      <c r="E1029" s="25"/>
      <c r="F1029" s="25"/>
      <c r="G1029" s="25"/>
      <c r="H1029" s="46"/>
      <c r="I1029" s="52"/>
      <c r="J1029" s="46"/>
      <c r="K1029" s="52"/>
      <c r="L1029" s="46"/>
      <c r="M1029" s="52"/>
      <c r="N1029" s="53"/>
      <c r="O1029" s="25"/>
      <c r="P1029" s="55"/>
      <c r="Q1029" s="34"/>
      <c r="R1029" s="54"/>
      <c r="S1029" s="55"/>
      <c r="T1029" s="25"/>
      <c r="U1029" s="25"/>
      <c r="V1029" s="24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</row>
    <row r="1030">
      <c r="A1030" s="25"/>
      <c r="B1030" s="25"/>
      <c r="C1030" s="25"/>
      <c r="D1030" s="25"/>
      <c r="E1030" s="25"/>
      <c r="F1030" s="25"/>
      <c r="G1030" s="25"/>
      <c r="H1030" s="46"/>
      <c r="I1030" s="52"/>
      <c r="J1030" s="46"/>
      <c r="K1030" s="52"/>
      <c r="L1030" s="46"/>
      <c r="M1030" s="52"/>
      <c r="N1030" s="53"/>
      <c r="O1030" s="25"/>
      <c r="P1030" s="55"/>
      <c r="Q1030" s="34"/>
      <c r="R1030" s="54"/>
      <c r="S1030" s="55"/>
      <c r="T1030" s="25"/>
      <c r="U1030" s="25"/>
      <c r="V1030" s="24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</row>
    <row r="1031">
      <c r="A1031" s="25"/>
      <c r="B1031" s="25"/>
      <c r="C1031" s="25"/>
      <c r="D1031" s="25"/>
      <c r="E1031" s="25"/>
      <c r="F1031" s="25"/>
      <c r="G1031" s="25"/>
      <c r="H1031" s="46"/>
      <c r="I1031" s="52"/>
      <c r="J1031" s="46"/>
      <c r="K1031" s="52"/>
      <c r="L1031" s="46"/>
      <c r="M1031" s="52"/>
      <c r="N1031" s="53"/>
      <c r="O1031" s="25"/>
      <c r="P1031" s="55"/>
      <c r="Q1031" s="34"/>
      <c r="R1031" s="54"/>
      <c r="S1031" s="55"/>
      <c r="T1031" s="25"/>
      <c r="U1031" s="25"/>
      <c r="V1031" s="24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</row>
    <row r="1032">
      <c r="A1032" s="25"/>
      <c r="B1032" s="25"/>
      <c r="C1032" s="25"/>
      <c r="D1032" s="25"/>
      <c r="E1032" s="25"/>
      <c r="F1032" s="25"/>
      <c r="G1032" s="25"/>
      <c r="H1032" s="46"/>
      <c r="I1032" s="52"/>
      <c r="J1032" s="46"/>
      <c r="K1032" s="52"/>
      <c r="L1032" s="46"/>
      <c r="M1032" s="52"/>
      <c r="N1032" s="53"/>
      <c r="O1032" s="25"/>
      <c r="P1032" s="55"/>
      <c r="Q1032" s="34"/>
      <c r="R1032" s="54"/>
      <c r="S1032" s="55"/>
      <c r="T1032" s="25"/>
      <c r="U1032" s="25"/>
      <c r="V1032" s="24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</row>
    <row r="1033">
      <c r="A1033" s="25"/>
      <c r="B1033" s="25"/>
      <c r="C1033" s="25"/>
      <c r="D1033" s="25"/>
      <c r="E1033" s="25"/>
      <c r="F1033" s="25"/>
      <c r="G1033" s="25"/>
      <c r="H1033" s="46"/>
      <c r="I1033" s="52"/>
      <c r="J1033" s="46"/>
      <c r="K1033" s="52"/>
      <c r="L1033" s="46"/>
      <c r="M1033" s="52"/>
      <c r="N1033" s="53"/>
      <c r="O1033" s="25"/>
      <c r="P1033" s="55"/>
      <c r="Q1033" s="34"/>
      <c r="R1033" s="54"/>
      <c r="S1033" s="55"/>
      <c r="T1033" s="25"/>
      <c r="U1033" s="25"/>
      <c r="V1033" s="24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</row>
    <row r="1034">
      <c r="A1034" s="25"/>
      <c r="B1034" s="25"/>
      <c r="C1034" s="25"/>
      <c r="D1034" s="25"/>
      <c r="E1034" s="25"/>
      <c r="F1034" s="25"/>
      <c r="G1034" s="25"/>
      <c r="H1034" s="46"/>
      <c r="I1034" s="52"/>
      <c r="J1034" s="46"/>
      <c r="K1034" s="52"/>
      <c r="L1034" s="46"/>
      <c r="M1034" s="52"/>
      <c r="N1034" s="53"/>
      <c r="O1034" s="25"/>
      <c r="P1034" s="55"/>
      <c r="Q1034" s="34"/>
      <c r="R1034" s="54"/>
      <c r="S1034" s="55"/>
      <c r="T1034" s="25"/>
      <c r="U1034" s="25"/>
      <c r="V1034" s="24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</row>
    <row r="1035">
      <c r="A1035" s="25"/>
      <c r="B1035" s="25"/>
      <c r="C1035" s="25"/>
      <c r="D1035" s="25"/>
      <c r="E1035" s="25"/>
      <c r="F1035" s="25"/>
      <c r="G1035" s="25"/>
      <c r="H1035" s="46"/>
      <c r="I1035" s="52"/>
      <c r="J1035" s="46"/>
      <c r="K1035" s="52"/>
      <c r="L1035" s="46"/>
      <c r="M1035" s="52"/>
      <c r="N1035" s="53"/>
      <c r="O1035" s="25"/>
      <c r="P1035" s="55"/>
      <c r="Q1035" s="34"/>
      <c r="R1035" s="54"/>
      <c r="S1035" s="55"/>
      <c r="T1035" s="25"/>
      <c r="U1035" s="25"/>
      <c r="V1035" s="24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</row>
    <row r="1036">
      <c r="A1036" s="25"/>
      <c r="B1036" s="25"/>
      <c r="C1036" s="25"/>
      <c r="D1036" s="25"/>
      <c r="E1036" s="25"/>
      <c r="F1036" s="25"/>
      <c r="G1036" s="25"/>
      <c r="H1036" s="46"/>
      <c r="I1036" s="52"/>
      <c r="J1036" s="46"/>
      <c r="K1036" s="52"/>
      <c r="L1036" s="46"/>
      <c r="M1036" s="52"/>
      <c r="N1036" s="53"/>
      <c r="O1036" s="25"/>
      <c r="P1036" s="55"/>
      <c r="Q1036" s="34"/>
      <c r="R1036" s="54"/>
      <c r="S1036" s="55"/>
      <c r="T1036" s="25"/>
      <c r="U1036" s="25"/>
      <c r="V1036" s="24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</row>
    <row r="1037">
      <c r="A1037" s="25"/>
      <c r="B1037" s="25"/>
      <c r="C1037" s="25"/>
      <c r="D1037" s="25"/>
      <c r="E1037" s="25"/>
      <c r="F1037" s="25"/>
      <c r="G1037" s="25"/>
      <c r="H1037" s="46"/>
      <c r="I1037" s="52"/>
      <c r="J1037" s="46"/>
      <c r="K1037" s="52"/>
      <c r="L1037" s="46"/>
      <c r="M1037" s="52"/>
      <c r="N1037" s="53"/>
      <c r="O1037" s="25"/>
      <c r="P1037" s="55"/>
      <c r="Q1037" s="34"/>
      <c r="R1037" s="54"/>
      <c r="S1037" s="55"/>
      <c r="T1037" s="25"/>
      <c r="U1037" s="25"/>
      <c r="V1037" s="24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</row>
    <row r="1038">
      <c r="A1038" s="25"/>
      <c r="B1038" s="25"/>
      <c r="C1038" s="25"/>
      <c r="D1038" s="25"/>
      <c r="E1038" s="25"/>
      <c r="F1038" s="25"/>
      <c r="G1038" s="25"/>
      <c r="H1038" s="46"/>
      <c r="I1038" s="52"/>
      <c r="J1038" s="46"/>
      <c r="K1038" s="52"/>
      <c r="L1038" s="46"/>
      <c r="M1038" s="52"/>
      <c r="N1038" s="53"/>
      <c r="O1038" s="25"/>
      <c r="P1038" s="55"/>
      <c r="Q1038" s="34"/>
      <c r="R1038" s="54"/>
      <c r="S1038" s="55"/>
      <c r="T1038" s="25"/>
      <c r="U1038" s="25"/>
      <c r="V1038" s="24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</row>
    <row r="1039">
      <c r="A1039" s="25"/>
      <c r="B1039" s="25"/>
      <c r="C1039" s="25"/>
      <c r="D1039" s="25"/>
      <c r="E1039" s="25"/>
      <c r="F1039" s="25"/>
      <c r="G1039" s="25"/>
      <c r="H1039" s="46"/>
      <c r="I1039" s="52"/>
      <c r="J1039" s="46"/>
      <c r="K1039" s="52"/>
      <c r="L1039" s="46"/>
      <c r="M1039" s="52"/>
      <c r="N1039" s="53"/>
      <c r="O1039" s="25"/>
      <c r="P1039" s="55"/>
      <c r="Q1039" s="34"/>
      <c r="R1039" s="54"/>
      <c r="S1039" s="55"/>
      <c r="T1039" s="25"/>
      <c r="U1039" s="25"/>
      <c r="V1039" s="24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</row>
    <row r="1040">
      <c r="A1040" s="25"/>
      <c r="B1040" s="25"/>
      <c r="C1040" s="25"/>
      <c r="D1040" s="25"/>
      <c r="E1040" s="25"/>
      <c r="F1040" s="25"/>
      <c r="G1040" s="25"/>
      <c r="H1040" s="46"/>
      <c r="I1040" s="52"/>
      <c r="J1040" s="46"/>
      <c r="K1040" s="52"/>
      <c r="L1040" s="46"/>
      <c r="M1040" s="52"/>
      <c r="N1040" s="53"/>
      <c r="O1040" s="25"/>
      <c r="P1040" s="55"/>
      <c r="Q1040" s="34"/>
      <c r="R1040" s="54"/>
      <c r="S1040" s="55"/>
      <c r="T1040" s="25"/>
      <c r="U1040" s="25"/>
      <c r="V1040" s="24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</row>
    <row r="1041">
      <c r="A1041" s="25"/>
      <c r="B1041" s="25"/>
      <c r="C1041" s="25"/>
      <c r="D1041" s="25"/>
      <c r="E1041" s="25"/>
      <c r="F1041" s="25"/>
      <c r="G1041" s="25"/>
      <c r="H1041" s="46"/>
      <c r="I1041" s="52"/>
      <c r="J1041" s="46"/>
      <c r="K1041" s="52"/>
      <c r="L1041" s="46"/>
      <c r="M1041" s="52"/>
      <c r="N1041" s="53"/>
      <c r="O1041" s="25"/>
      <c r="P1041" s="55"/>
      <c r="Q1041" s="34"/>
      <c r="R1041" s="54"/>
      <c r="S1041" s="55"/>
      <c r="T1041" s="25"/>
      <c r="U1041" s="25"/>
      <c r="V1041" s="24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</row>
    <row r="1042">
      <c r="A1042" s="25"/>
      <c r="B1042" s="25"/>
      <c r="C1042" s="25"/>
      <c r="D1042" s="25"/>
      <c r="E1042" s="25"/>
      <c r="F1042" s="25"/>
      <c r="G1042" s="25"/>
      <c r="H1042" s="46"/>
      <c r="I1042" s="52"/>
      <c r="J1042" s="46"/>
      <c r="K1042" s="52"/>
      <c r="L1042" s="46"/>
      <c r="M1042" s="52"/>
      <c r="N1042" s="53"/>
      <c r="O1042" s="25"/>
      <c r="P1042" s="55"/>
      <c r="Q1042" s="34"/>
      <c r="R1042" s="54"/>
      <c r="S1042" s="55"/>
      <c r="T1042" s="25"/>
      <c r="U1042" s="25"/>
      <c r="V1042" s="24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</row>
    <row r="1043">
      <c r="A1043" s="25"/>
      <c r="B1043" s="25"/>
      <c r="C1043" s="25"/>
      <c r="D1043" s="25"/>
      <c r="E1043" s="25"/>
      <c r="F1043" s="25"/>
      <c r="G1043" s="25"/>
      <c r="H1043" s="46"/>
      <c r="I1043" s="52"/>
      <c r="J1043" s="46"/>
      <c r="K1043" s="52"/>
      <c r="L1043" s="46"/>
      <c r="M1043" s="52"/>
      <c r="N1043" s="53"/>
      <c r="O1043" s="25"/>
      <c r="P1043" s="55"/>
      <c r="Q1043" s="34"/>
      <c r="R1043" s="54"/>
      <c r="S1043" s="55"/>
      <c r="T1043" s="25"/>
      <c r="U1043" s="25"/>
      <c r="V1043" s="24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</row>
    <row r="1044">
      <c r="A1044" s="25"/>
      <c r="B1044" s="25"/>
      <c r="C1044" s="25"/>
      <c r="D1044" s="25"/>
      <c r="E1044" s="25"/>
      <c r="F1044" s="25"/>
      <c r="G1044" s="25"/>
      <c r="H1044" s="46"/>
      <c r="I1044" s="52"/>
      <c r="J1044" s="46"/>
      <c r="K1044" s="52"/>
      <c r="L1044" s="46"/>
      <c r="M1044" s="52"/>
      <c r="N1044" s="53"/>
      <c r="O1044" s="25"/>
      <c r="P1044" s="55"/>
      <c r="Q1044" s="34"/>
      <c r="R1044" s="54"/>
      <c r="S1044" s="55"/>
      <c r="T1044" s="25"/>
      <c r="U1044" s="25"/>
      <c r="V1044" s="24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</row>
    <row r="1045">
      <c r="A1045" s="25"/>
      <c r="B1045" s="25"/>
      <c r="C1045" s="25"/>
      <c r="D1045" s="25"/>
      <c r="E1045" s="25"/>
      <c r="F1045" s="25"/>
      <c r="G1045" s="25"/>
      <c r="H1045" s="46"/>
      <c r="I1045" s="52"/>
      <c r="J1045" s="46"/>
      <c r="K1045" s="52"/>
      <c r="L1045" s="46"/>
      <c r="M1045" s="52"/>
      <c r="N1045" s="53"/>
      <c r="O1045" s="25"/>
      <c r="P1045" s="55"/>
      <c r="Q1045" s="34"/>
      <c r="R1045" s="54"/>
      <c r="S1045" s="55"/>
      <c r="T1045" s="25"/>
      <c r="U1045" s="25"/>
      <c r="V1045" s="24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</row>
  </sheetData>
  <conditionalFormatting sqref="U2:V231">
    <cfRule type="cellIs" dxfId="0" priority="1" operator="lessThan">
      <formula>"5%"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2.13"/>
    <col customWidth="1" min="2" max="2" width="53.25"/>
    <col customWidth="1" min="3" max="3" width="10.38"/>
    <col customWidth="1" min="4" max="4" width="16.63"/>
    <col customWidth="1" min="5" max="5" width="15.5"/>
    <col customWidth="1" min="6" max="6" width="13.63"/>
    <col customWidth="1" min="7" max="7" width="14.25"/>
    <col customWidth="1" min="8" max="8" width="14.38"/>
    <col customWidth="1" min="9" max="9" width="9.25"/>
    <col customWidth="1" min="10" max="15" width="6.88"/>
    <col customWidth="1" min="16" max="16" width="63.5"/>
    <col customWidth="1" min="17" max="17" width="27.0"/>
    <col customWidth="1" min="18" max="19" width="28.13"/>
    <col customWidth="1" min="20" max="20" width="28.5"/>
  </cols>
  <sheetData>
    <row r="1" ht="27.0" customHeight="1">
      <c r="A1" s="58" t="s">
        <v>54</v>
      </c>
      <c r="B1" s="58" t="s">
        <v>407</v>
      </c>
      <c r="C1" s="59" t="s">
        <v>408</v>
      </c>
      <c r="D1" s="60" t="s">
        <v>409</v>
      </c>
      <c r="E1" s="61" t="s">
        <v>410</v>
      </c>
      <c r="F1" s="62" t="s">
        <v>411</v>
      </c>
      <c r="G1" s="62" t="s">
        <v>412</v>
      </c>
      <c r="H1" s="63" t="s">
        <v>413</v>
      </c>
      <c r="I1" s="64" t="s">
        <v>414</v>
      </c>
      <c r="J1" s="65" t="str">
        <f>VLOOKUP($A$1,'Cruce APP Velocidad ultimas 5 s'!$A$1:$L$1,6,0)</f>
        <v>W13</v>
      </c>
      <c r="K1" s="65" t="str">
        <f>VLOOKUP($A$1,'Cruce APP Velocidad ultimas 5 s'!$A$1:$L$1,7,0)</f>
        <v>W14</v>
      </c>
      <c r="L1" s="65" t="str">
        <f>VLOOKUP($A$1,'Cruce APP Velocidad ultimas 5 s'!$A$1:$L$1,8,0)</f>
        <v>W15</v>
      </c>
      <c r="M1" s="65" t="str">
        <f>VLOOKUP($A$1,'Cruce APP Velocidad ultimas 5 s'!$A$1:$L$1,9,0)</f>
        <v>W16</v>
      </c>
      <c r="N1" s="65" t="str">
        <f>VLOOKUP($A$1,'Cruce APP Velocidad ultimas 5 s'!$A$1:$L$1,10,0)</f>
        <v>W17</v>
      </c>
      <c r="O1" s="66" t="s">
        <v>415</v>
      </c>
      <c r="P1" s="63" t="s">
        <v>416</v>
      </c>
      <c r="Q1" s="67" t="s">
        <v>417</v>
      </c>
      <c r="R1" s="67" t="s">
        <v>417</v>
      </c>
      <c r="S1" s="67" t="s">
        <v>417</v>
      </c>
      <c r="T1" s="67" t="s">
        <v>417</v>
      </c>
      <c r="U1" s="68"/>
      <c r="V1" s="68"/>
      <c r="W1" s="68"/>
      <c r="X1" s="68"/>
      <c r="Y1" s="69"/>
      <c r="Z1" s="69"/>
      <c r="AA1" s="69"/>
      <c r="AB1" s="69"/>
      <c r="AC1" s="69"/>
      <c r="AD1" s="69"/>
    </row>
    <row r="2">
      <c r="A2" s="70" t="s">
        <v>52</v>
      </c>
      <c r="B2" s="47" t="str">
        <f>VLOOKUP(A2,'Cruce APP Velocidad ultimas 5 s'!A:B,2,0)</f>
        <v>Trotadora 2 Hp Overfit Caminadora Electrica Plegable 12 Km/h</v>
      </c>
      <c r="C2" s="71" t="str">
        <f>VLOOKUP(A2,'App dashboard año actual'!A:I,9,0)</f>
        <v>33,7</v>
      </c>
      <c r="D2" s="72">
        <f>VLOOKUP(A2,'App dashboard año actual'!A:K,11,0)/VLOOKUP(A2,'App dashboard año actual'!A:N,3,0)</f>
        <v>0.04948684906</v>
      </c>
      <c r="E2" s="73">
        <f>IFERROR(VLOOKUP(A2,'App dashboard año actual'!A:E,3,0)/VLOOKUP(A2,'App dashboard año actual'!A:E,5,0),"Sin ventas")</f>
        <v>200887.125</v>
      </c>
      <c r="F2" s="74">
        <v>1.2</v>
      </c>
      <c r="G2" s="74">
        <v>4.7</v>
      </c>
      <c r="H2" s="75">
        <v>46065.0</v>
      </c>
      <c r="I2" s="74">
        <f t="shared" ref="I2:I49" si="1">TODAY()-H2</f>
        <v>68</v>
      </c>
      <c r="J2" s="74">
        <f>VLOOKUP(A2,'Cruce APP Velocidad ultimas 5 s'!A:H,6,0)</f>
        <v>0</v>
      </c>
      <c r="K2" s="74">
        <f>VLOOKUP(A2,'Cruce APP Velocidad ultimas 5 s'!A:H,7,0)</f>
        <v>0</v>
      </c>
      <c r="L2" s="74">
        <f>VLOOKUP(A2,'Cruce APP Velocidad ultimas 5 s'!A:H,8,0)</f>
        <v>0</v>
      </c>
      <c r="M2" s="74">
        <f>VLOOKUP(A2,'Cruce APP Velocidad ultimas 5 s'!A:I,9,0)</f>
        <v>0</v>
      </c>
      <c r="N2" s="74">
        <f>VLOOKUP(A2,'Cruce APP Velocidad ultimas 5 s'!A:J,10,0)</f>
        <v>0</v>
      </c>
      <c r="O2" s="74"/>
      <c r="P2" s="49" t="s">
        <v>418</v>
      </c>
      <c r="Q2" s="76"/>
      <c r="R2" s="76"/>
      <c r="S2" s="76"/>
      <c r="T2" s="76"/>
      <c r="U2" s="77"/>
      <c r="V2" s="77"/>
      <c r="W2" s="77"/>
      <c r="X2" s="77"/>
    </row>
    <row r="3">
      <c r="A3" s="70" t="s">
        <v>53</v>
      </c>
      <c r="B3" s="47" t="str">
        <f>VLOOKUP(A3,'Cruce APP Velocidad ultimas 5 s'!A:B,2,0)</f>
        <v>Trotadora 1.5 Hp Overfit Caminadora Electrica Plegable 8km/h</v>
      </c>
      <c r="C3" s="71" t="str">
        <f>VLOOKUP(A3,'App dashboard año actual'!A:I,9,0)</f>
        <v>31,84</v>
      </c>
      <c r="D3" s="72">
        <f>VLOOKUP(A3,'App dashboard año actual'!A:K,11,0)/VLOOKUP(A3,'App dashboard año actual'!A:N,3,0)</f>
        <v>0.05153901134</v>
      </c>
      <c r="E3" s="73">
        <f>IFERROR(VLOOKUP(A3,'App dashboard año actual'!A:E,3,0)/VLOOKUP(A3,'App dashboard año actual'!A:E,5,0),"Sin ventas")</f>
        <v>152721.4222</v>
      </c>
      <c r="F3" s="74">
        <v>1.2</v>
      </c>
      <c r="G3" s="74">
        <v>4.7</v>
      </c>
      <c r="H3" s="75">
        <v>46065.0</v>
      </c>
      <c r="I3" s="74">
        <f t="shared" si="1"/>
        <v>68</v>
      </c>
      <c r="J3" s="74">
        <f>VLOOKUP(A3,'Cruce APP Velocidad ultimas 5 s'!A:H,6,0)</f>
        <v>4</v>
      </c>
      <c r="K3" s="74">
        <f>VLOOKUP(A3,'Cruce APP Velocidad ultimas 5 s'!A:H,7,0)</f>
        <v>10</v>
      </c>
      <c r="L3" s="74">
        <f>VLOOKUP(A3,'Cruce APP Velocidad ultimas 5 s'!A:H,8,0)</f>
        <v>3</v>
      </c>
      <c r="M3" s="74">
        <f>VLOOKUP(A3,'Cruce APP Velocidad ultimas 5 s'!A:I,9,0)</f>
        <v>4</v>
      </c>
      <c r="N3" s="74">
        <f>VLOOKUP(A3,'Cruce APP Velocidad ultimas 5 s'!A:J,10,0)</f>
        <v>0</v>
      </c>
      <c r="O3" s="74"/>
      <c r="P3" s="49" t="s">
        <v>418</v>
      </c>
      <c r="Q3" s="76"/>
      <c r="R3" s="76"/>
      <c r="S3" s="76"/>
      <c r="T3" s="76"/>
      <c r="U3" s="77"/>
      <c r="V3" s="77"/>
      <c r="W3" s="77"/>
      <c r="X3" s="77"/>
    </row>
    <row r="4">
      <c r="A4" s="70" t="s">
        <v>80</v>
      </c>
      <c r="B4" s="47" t="str">
        <f>VLOOKUP(A4,'Cruce APP Velocidad ultimas 5 s'!A:B,2,0)</f>
        <v>Funda Para Guitarra 41 Pulgadas Ibrah Bolso De Transporte</v>
      </c>
      <c r="C4" s="71" t="str">
        <f>VLOOKUP(A4,'App dashboard año actual'!A:I,9,0)</f>
        <v>33,17</v>
      </c>
      <c r="D4" s="72">
        <f>VLOOKUP(A4,'App dashboard año actual'!A:K,11,0)/VLOOKUP(A4,'App dashboard año actual'!A:N,3,0)</f>
        <v>0.0487550385</v>
      </c>
      <c r="E4" s="73">
        <f>IFERROR(VLOOKUP(A4,'App dashboard año actual'!A:E,3,0)/VLOOKUP(A4,'App dashboard año actual'!A:E,5,0),"Sin ventas")</f>
        <v>19952.76596</v>
      </c>
      <c r="F4" s="74">
        <v>1.2</v>
      </c>
      <c r="G4" s="74">
        <v>4.7</v>
      </c>
      <c r="H4" s="75">
        <v>46071.0</v>
      </c>
      <c r="I4" s="74">
        <f t="shared" si="1"/>
        <v>62</v>
      </c>
      <c r="J4" s="74">
        <f>VLOOKUP(A4,'Cruce APP Velocidad ultimas 5 s'!A:H,6,0)</f>
        <v>18</v>
      </c>
      <c r="K4" s="74">
        <f>VLOOKUP(A4,'Cruce APP Velocidad ultimas 5 s'!A:H,7,0)</f>
        <v>18</v>
      </c>
      <c r="L4" s="74">
        <f>VLOOKUP(A4,'Cruce APP Velocidad ultimas 5 s'!A:H,8,0)</f>
        <v>38</v>
      </c>
      <c r="M4" s="74">
        <f>VLOOKUP(A4,'Cruce APP Velocidad ultimas 5 s'!A:I,9,0)</f>
        <v>31</v>
      </c>
      <c r="N4" s="74">
        <f>VLOOKUP(A4,'Cruce APP Velocidad ultimas 5 s'!A:J,10,0)</f>
        <v>2</v>
      </c>
      <c r="O4" s="74"/>
      <c r="P4" s="49" t="s">
        <v>418</v>
      </c>
      <c r="Q4" s="76"/>
      <c r="R4" s="76"/>
      <c r="S4" s="76"/>
      <c r="T4" s="76"/>
      <c r="U4" s="77"/>
      <c r="V4" s="77"/>
      <c r="W4" s="77"/>
      <c r="X4" s="77"/>
    </row>
    <row r="5">
      <c r="A5" s="70" t="s">
        <v>41</v>
      </c>
      <c r="B5" s="47" t="str">
        <f>VLOOKUP(A5,'Cruce APP Velocidad ultimas 5 s'!A:B,2,0)</f>
        <v>Banco Reclinable Gym Multifuncional Overfit Press Ajustable</v>
      </c>
      <c r="C5" s="71" t="str">
        <f>VLOOKUP(A5,'App dashboard año actual'!A:I,9,0)</f>
        <v>45,36</v>
      </c>
      <c r="D5" s="72">
        <f>VLOOKUP(A5,'App dashboard año actual'!A:K,11,0)/VLOOKUP(A5,'App dashboard año actual'!A:N,3,0)</f>
        <v>0.04147424932</v>
      </c>
      <c r="E5" s="73">
        <f>IFERROR(VLOOKUP(A5,'App dashboard año actual'!A:E,3,0)/VLOOKUP(A5,'App dashboard año actual'!A:E,5,0),"Sin ventas")</f>
        <v>94850.78652</v>
      </c>
      <c r="F5" s="74">
        <v>1.2</v>
      </c>
      <c r="G5" s="74">
        <v>4.7</v>
      </c>
      <c r="H5" s="75">
        <v>46071.0</v>
      </c>
      <c r="I5" s="74">
        <f t="shared" si="1"/>
        <v>62</v>
      </c>
      <c r="J5" s="74">
        <f>VLOOKUP(A5,'Cruce APP Velocidad ultimas 5 s'!A:H,6,0)</f>
        <v>1</v>
      </c>
      <c r="K5" s="74">
        <f>VLOOKUP(A5,'Cruce APP Velocidad ultimas 5 s'!A:H,7,0)</f>
        <v>15</v>
      </c>
      <c r="L5" s="74">
        <f>VLOOKUP(A5,'Cruce APP Velocidad ultimas 5 s'!A:H,8,0)</f>
        <v>0</v>
      </c>
      <c r="M5" s="74">
        <f>VLOOKUP(A5,'Cruce APP Velocidad ultimas 5 s'!A:I,9,0)</f>
        <v>3</v>
      </c>
      <c r="N5" s="74">
        <f>VLOOKUP(A5,'Cruce APP Velocidad ultimas 5 s'!A:J,10,0)</f>
        <v>1</v>
      </c>
      <c r="O5" s="74"/>
      <c r="P5" s="49" t="s">
        <v>418</v>
      </c>
      <c r="Q5" s="76"/>
      <c r="R5" s="76"/>
      <c r="S5" s="76"/>
      <c r="T5" s="76"/>
      <c r="U5" s="77"/>
      <c r="V5" s="77"/>
      <c r="W5" s="78"/>
      <c r="X5" s="77"/>
    </row>
    <row r="6">
      <c r="A6" s="70" t="s">
        <v>419</v>
      </c>
      <c r="B6" s="47" t="str">
        <f>VLOOKUP(A6,'Cruce APP Velocidad ultimas 5 s'!A:B,2,0)</f>
        <v>Guitarra Acustica Cutaway Ibrah Music 38 plgds + accesorios</v>
      </c>
      <c r="C6" s="71" t="str">
        <f>VLOOKUP(A6,'App dashboard año actual'!A:I,9,0)</f>
        <v>38,2</v>
      </c>
      <c r="D6" s="72">
        <f>VLOOKUP(A6,'App dashboard año actual'!A:K,11,0)/VLOOKUP(A6,'App dashboard año actual'!A:N,3,0)</f>
        <v>0.05709712656</v>
      </c>
      <c r="E6" s="73">
        <f>IFERROR(VLOOKUP(A6,'App dashboard año actual'!A:E,3,0)/VLOOKUP(A6,'App dashboard año actual'!A:E,5,0),"Sin ventas")</f>
        <v>61012.20165</v>
      </c>
      <c r="F6" s="74">
        <v>1.2</v>
      </c>
      <c r="G6" s="74">
        <v>4.7</v>
      </c>
      <c r="H6" s="75">
        <v>46071.0</v>
      </c>
      <c r="I6" s="74">
        <f t="shared" si="1"/>
        <v>62</v>
      </c>
      <c r="J6" s="74">
        <f>VLOOKUP(A6,'Cruce APP Velocidad ultimas 5 s'!A:H,6,0)</f>
        <v>31</v>
      </c>
      <c r="K6" s="74">
        <f>VLOOKUP(A6,'Cruce APP Velocidad ultimas 5 s'!A:H,7,0)</f>
        <v>57</v>
      </c>
      <c r="L6" s="74">
        <f>VLOOKUP(A6,'Cruce APP Velocidad ultimas 5 s'!A:H,8,0)</f>
        <v>45</v>
      </c>
      <c r="M6" s="74">
        <f>VLOOKUP(A6,'Cruce APP Velocidad ultimas 5 s'!A:I,9,0)</f>
        <v>27</v>
      </c>
      <c r="N6" s="74">
        <f>VLOOKUP(A6,'Cruce APP Velocidad ultimas 5 s'!A:J,10,0)</f>
        <v>1</v>
      </c>
      <c r="O6" s="74"/>
      <c r="P6" s="49" t="s">
        <v>418</v>
      </c>
      <c r="Q6" s="76"/>
      <c r="R6" s="76"/>
      <c r="S6" s="76"/>
      <c r="T6" s="76"/>
      <c r="U6" s="77"/>
      <c r="V6" s="77"/>
      <c r="W6" s="78"/>
      <c r="X6" s="77"/>
    </row>
    <row r="7">
      <c r="A7" s="70" t="s">
        <v>50</v>
      </c>
      <c r="B7" s="47" t="str">
        <f>VLOOKUP(A7,'Cruce APP Velocidad ultimas 5 s'!A:B,2,0)</f>
        <v>Monitor Gamer Curvo 27" Hosser Fhd 165Hz Gaming Freesync 1ms</v>
      </c>
      <c r="C7" s="71" t="str">
        <f>VLOOKUP(A7,'App dashboard año actual'!A:I,9,0)</f>
        <v>29,97</v>
      </c>
      <c r="D7" s="72">
        <f>VLOOKUP(A7,'App dashboard año actual'!A:K,11,0)/VLOOKUP(A7,'App dashboard año actual'!A:N,3,0)</f>
        <v>0.03148222594</v>
      </c>
      <c r="E7" s="73">
        <f>IFERROR(VLOOKUP(A7,'App dashboard año actual'!A:E,3,0)/VLOOKUP(A7,'App dashboard año actual'!A:E,5,0),"Sin ventas")</f>
        <v>138104.7885</v>
      </c>
      <c r="F7" s="74">
        <v>1.2</v>
      </c>
      <c r="G7" s="74">
        <v>4.7</v>
      </c>
      <c r="H7" s="75">
        <v>46071.0</v>
      </c>
      <c r="I7" s="74">
        <f t="shared" si="1"/>
        <v>62</v>
      </c>
      <c r="J7" s="74">
        <f>VLOOKUP(A7,'Cruce APP Velocidad ultimas 5 s'!A:H,6,0)</f>
        <v>4</v>
      </c>
      <c r="K7" s="74">
        <f>VLOOKUP(A7,'Cruce APP Velocidad ultimas 5 s'!A:H,7,0)</f>
        <v>35</v>
      </c>
      <c r="L7" s="74">
        <f>VLOOKUP(A7,'Cruce APP Velocidad ultimas 5 s'!A:H,8,0)</f>
        <v>7</v>
      </c>
      <c r="M7" s="74">
        <f>VLOOKUP(A7,'Cruce APP Velocidad ultimas 5 s'!A:I,9,0)</f>
        <v>3</v>
      </c>
      <c r="N7" s="74">
        <f>VLOOKUP(A7,'Cruce APP Velocidad ultimas 5 s'!A:J,10,0)</f>
        <v>0</v>
      </c>
      <c r="O7" s="74"/>
      <c r="P7" s="49" t="s">
        <v>418</v>
      </c>
      <c r="Q7" s="79"/>
      <c r="R7" s="79"/>
      <c r="S7" s="76"/>
      <c r="T7" s="76"/>
      <c r="U7" s="77"/>
      <c r="V7" s="80"/>
      <c r="W7" s="80"/>
      <c r="X7" s="77"/>
    </row>
    <row r="8">
      <c r="A8" s="70" t="s">
        <v>51</v>
      </c>
      <c r="B8" s="47" t="str">
        <f>VLOOKUP(A8,'Cruce APP Velocidad ultimas 5 s'!A:B,2,0)</f>
        <v>Monitor PC Gamer Curvo 34" Hosser FHD 165 Hz Gaming 1 ms</v>
      </c>
      <c r="C8" s="71" t="str">
        <f>VLOOKUP(A8,'App dashboard año actual'!A:I,9,0)</f>
        <v>37,02</v>
      </c>
      <c r="D8" s="72">
        <f>VLOOKUP(A8,'App dashboard año actual'!A:K,11,0)/VLOOKUP(A8,'App dashboard año actual'!A:N,3,0)</f>
        <v>0.03197770168</v>
      </c>
      <c r="E8" s="73">
        <f>IFERROR(VLOOKUP(A8,'App dashboard año actual'!A:E,3,0)/VLOOKUP(A8,'App dashboard año actual'!A:E,5,0),"Sin ventas")</f>
        <v>277019.4222</v>
      </c>
      <c r="F8" s="74">
        <v>1.2</v>
      </c>
      <c r="G8" s="74">
        <v>4.7</v>
      </c>
      <c r="H8" s="75">
        <v>46071.0</v>
      </c>
      <c r="I8" s="74">
        <f t="shared" si="1"/>
        <v>62</v>
      </c>
      <c r="J8" s="74">
        <f>VLOOKUP(A8,'Cruce APP Velocidad ultimas 5 s'!A:H,6,0)</f>
        <v>7</v>
      </c>
      <c r="K8" s="74">
        <f>VLOOKUP(A8,'Cruce APP Velocidad ultimas 5 s'!A:H,7,0)</f>
        <v>7</v>
      </c>
      <c r="L8" s="74">
        <f>VLOOKUP(A8,'Cruce APP Velocidad ultimas 5 s'!A:H,8,0)</f>
        <v>5</v>
      </c>
      <c r="M8" s="74">
        <f>VLOOKUP(A8,'Cruce APP Velocidad ultimas 5 s'!A:I,9,0)</f>
        <v>0</v>
      </c>
      <c r="N8" s="74">
        <f>VLOOKUP(A8,'Cruce APP Velocidad ultimas 5 s'!A:J,10,0)</f>
        <v>0</v>
      </c>
      <c r="O8" s="74"/>
      <c r="P8" s="49" t="s">
        <v>418</v>
      </c>
      <c r="Q8" s="76"/>
      <c r="R8" s="76"/>
      <c r="S8" s="76"/>
      <c r="T8" s="76"/>
      <c r="U8" s="77"/>
      <c r="V8" s="77"/>
      <c r="W8" s="77"/>
      <c r="X8" s="77"/>
    </row>
    <row r="9">
      <c r="A9" s="70" t="s">
        <v>42</v>
      </c>
      <c r="B9" s="47" t="str">
        <f>VLOOKUP(A9,'Cruce APP Velocidad ultimas 5 s'!A:B,2,0)</f>
        <v>Bateria Electrica Ibrah Music</v>
      </c>
      <c r="C9" s="71" t="str">
        <f>VLOOKUP(A9,'App dashboard año actual'!A:I,9,0)</f>
        <v>40,36</v>
      </c>
      <c r="D9" s="72">
        <f>VLOOKUP(A9,'App dashboard año actual'!A:K,11,0)/VLOOKUP(A9,'App dashboard año actual'!A:N,3,0)</f>
        <v>0.03232643959</v>
      </c>
      <c r="E9" s="73">
        <f>IFERROR(VLOOKUP(A9,'App dashboard año actual'!A:E,3,0)/VLOOKUP(A9,'App dashboard año actual'!A:E,5,0),"Sin ventas")</f>
        <v>391412.5135</v>
      </c>
      <c r="F9" s="74">
        <v>1.2</v>
      </c>
      <c r="G9" s="74">
        <v>4.7</v>
      </c>
      <c r="H9" s="75">
        <v>46072.0</v>
      </c>
      <c r="I9" s="74">
        <f t="shared" si="1"/>
        <v>61</v>
      </c>
      <c r="J9" s="74">
        <f>VLOOKUP(A9,'Cruce APP Velocidad ultimas 5 s'!A:H,6,0)</f>
        <v>1</v>
      </c>
      <c r="K9" s="74">
        <f>VLOOKUP(A9,'Cruce APP Velocidad ultimas 5 s'!A:H,7,0)</f>
        <v>18</v>
      </c>
      <c r="L9" s="74">
        <f>VLOOKUP(A9,'Cruce APP Velocidad ultimas 5 s'!A:H,8,0)</f>
        <v>4</v>
      </c>
      <c r="M9" s="74">
        <f>VLOOKUP(A9,'Cruce APP Velocidad ultimas 5 s'!A:I,9,0)</f>
        <v>7</v>
      </c>
      <c r="N9" s="74">
        <f>VLOOKUP(A9,'Cruce APP Velocidad ultimas 5 s'!A:J,10,0)</f>
        <v>1</v>
      </c>
      <c r="O9" s="74"/>
      <c r="P9" s="49" t="s">
        <v>418</v>
      </c>
      <c r="Q9" s="79"/>
      <c r="R9" s="79"/>
      <c r="S9" s="79"/>
      <c r="T9" s="79"/>
      <c r="U9" s="77"/>
      <c r="V9" s="77"/>
      <c r="W9" s="77"/>
      <c r="X9" s="77"/>
    </row>
    <row r="10">
      <c r="A10" s="70" t="s">
        <v>420</v>
      </c>
      <c r="B10" s="47" t="str">
        <f>VLOOKUP(A10,'Cruce APP Velocidad ultimas 5 s'!A:B,2,0)</f>
        <v>Guitarra Electrica Flying V 39" Ibrah Music Amplificador 20W</v>
      </c>
      <c r="C10" s="71" t="str">
        <f>VLOOKUP(A10,'App dashboard año actual'!A:I,9,0)</f>
        <v>30,22</v>
      </c>
      <c r="D10" s="72">
        <f>VLOOKUP(A10,'App dashboard año actual'!A:K,11,0)/VLOOKUP(A10,'App dashboard año actual'!A:N,3,0)</f>
        <v>0.2149570423</v>
      </c>
      <c r="E10" s="73">
        <f>IFERROR(VLOOKUP(A10,'App dashboard año actual'!A:E,3,0)/VLOOKUP(A10,'App dashboard año actual'!A:E,5,0),"Sin ventas")</f>
        <v>229644.3333</v>
      </c>
      <c r="F10" s="74">
        <v>1.2</v>
      </c>
      <c r="G10" s="74">
        <v>4.7</v>
      </c>
      <c r="H10" s="75">
        <v>46072.0</v>
      </c>
      <c r="I10" s="74">
        <f t="shared" si="1"/>
        <v>61</v>
      </c>
      <c r="J10" s="74">
        <f>VLOOKUP(A10,'Cruce APP Velocidad ultimas 5 s'!A:H,6,0)</f>
        <v>1</v>
      </c>
      <c r="K10" s="74">
        <f>VLOOKUP(A10,'Cruce APP Velocidad ultimas 5 s'!A:H,7,0)</f>
        <v>0</v>
      </c>
      <c r="L10" s="74">
        <f>VLOOKUP(A10,'Cruce APP Velocidad ultimas 5 s'!A:H,8,0)</f>
        <v>2</v>
      </c>
      <c r="M10" s="74">
        <f>VLOOKUP(A10,'Cruce APP Velocidad ultimas 5 s'!A:I,9,0)</f>
        <v>1</v>
      </c>
      <c r="N10" s="74">
        <f>VLOOKUP(A10,'Cruce APP Velocidad ultimas 5 s'!A:J,10,0)</f>
        <v>0</v>
      </c>
      <c r="O10" s="74"/>
      <c r="P10" s="81" t="s">
        <v>421</v>
      </c>
      <c r="Q10" s="79"/>
      <c r="R10" s="79"/>
      <c r="S10" s="76"/>
      <c r="T10" s="76"/>
      <c r="U10" s="77"/>
      <c r="V10" s="77"/>
      <c r="W10" s="77"/>
      <c r="X10" s="77"/>
    </row>
    <row r="11">
      <c r="A11" s="70" t="s">
        <v>422</v>
      </c>
      <c r="B11" s="47" t="str">
        <f>VLOOKUP(A11,'Cruce APP Velocidad ultimas 5 s'!A:B,2,0)</f>
        <v>Guitarra Electrica BG 39" Ibrah Music + Amplificador 20 W</v>
      </c>
      <c r="C11" s="71" t="str">
        <f>VLOOKUP(A11,'App dashboard año actual'!A:I,9,0)</f>
        <v>36,44</v>
      </c>
      <c r="D11" s="72">
        <f>VLOOKUP(A11,'App dashboard año actual'!A:K,11,0)/VLOOKUP(A11,'App dashboard año actual'!A:N,3,0)</f>
        <v>0.1794589257</v>
      </c>
      <c r="E11" s="73">
        <f>IFERROR(VLOOKUP(A11,'App dashboard año actual'!A:E,3,0)/VLOOKUP(A11,'App dashboard año actual'!A:E,5,0),"Sin ventas")</f>
        <v>229059.1</v>
      </c>
      <c r="F11" s="74">
        <v>1.2</v>
      </c>
      <c r="G11" s="74">
        <v>4.7</v>
      </c>
      <c r="H11" s="75">
        <v>46072.0</v>
      </c>
      <c r="I11" s="74">
        <f t="shared" si="1"/>
        <v>61</v>
      </c>
      <c r="J11" s="74">
        <f>VLOOKUP(A11,'Cruce APP Velocidad ultimas 5 s'!A:H,6,0)</f>
        <v>0</v>
      </c>
      <c r="K11" s="74">
        <f>VLOOKUP(A11,'Cruce APP Velocidad ultimas 5 s'!A:H,7,0)</f>
        <v>3</v>
      </c>
      <c r="L11" s="74">
        <f>VLOOKUP(A11,'Cruce APP Velocidad ultimas 5 s'!A:H,8,0)</f>
        <v>3</v>
      </c>
      <c r="M11" s="74">
        <f>VLOOKUP(A11,'Cruce APP Velocidad ultimas 5 s'!A:I,9,0)</f>
        <v>3</v>
      </c>
      <c r="N11" s="74">
        <f>VLOOKUP(A11,'Cruce APP Velocidad ultimas 5 s'!A:J,10,0)</f>
        <v>0</v>
      </c>
      <c r="O11" s="74"/>
      <c r="P11" s="81" t="s">
        <v>421</v>
      </c>
      <c r="Q11" s="79"/>
      <c r="R11" s="79"/>
      <c r="S11" s="76"/>
      <c r="T11" s="76"/>
      <c r="U11" s="77"/>
      <c r="V11" s="77"/>
      <c r="W11" s="77"/>
      <c r="X11" s="77"/>
    </row>
    <row r="12">
      <c r="A12" s="70" t="s">
        <v>43</v>
      </c>
      <c r="B12" s="47" t="str">
        <f>VLOOKUP(A12,'Cruce APP Velocidad ultimas 5 s'!A:B,2,0)</f>
        <v>Bicicleta de Spinning Pro Overfit Estatica Fitness Gym 4 kg</v>
      </c>
      <c r="C12" s="71" t="str">
        <f>VLOOKUP(A12,'App dashboard año actual'!A:I,9,0)</f>
        <v>35,05</v>
      </c>
      <c r="D12" s="72">
        <f>VLOOKUP(A12,'App dashboard año actual'!A:K,11,0)/VLOOKUP(A12,'App dashboard año actual'!A:N,3,0)</f>
        <v>0.03631335266</v>
      </c>
      <c r="E12" s="73">
        <f>IFERROR(VLOOKUP(A12,'App dashboard año actual'!A:E,3,0)/VLOOKUP(A12,'App dashboard año actual'!A:E,5,0),"Sin ventas")</f>
        <v>121356.875</v>
      </c>
      <c r="F12" s="74">
        <v>1.2</v>
      </c>
      <c r="G12" s="74">
        <v>4.7</v>
      </c>
      <c r="H12" s="75">
        <v>46077.0</v>
      </c>
      <c r="I12" s="74">
        <f t="shared" si="1"/>
        <v>56</v>
      </c>
      <c r="J12" s="74">
        <f>VLOOKUP(A12,'Cruce APP Velocidad ultimas 5 s'!A:H,6,0)</f>
        <v>2</v>
      </c>
      <c r="K12" s="74">
        <f>VLOOKUP(A12,'Cruce APP Velocidad ultimas 5 s'!A:H,7,0)</f>
        <v>8</v>
      </c>
      <c r="L12" s="74">
        <f>VLOOKUP(A12,'Cruce APP Velocidad ultimas 5 s'!A:H,8,0)</f>
        <v>3</v>
      </c>
      <c r="M12" s="74">
        <f>VLOOKUP(A12,'Cruce APP Velocidad ultimas 5 s'!A:I,9,0)</f>
        <v>0</v>
      </c>
      <c r="N12" s="74">
        <f>VLOOKUP(A12,'Cruce APP Velocidad ultimas 5 s'!A:J,10,0)</f>
        <v>0</v>
      </c>
      <c r="O12" s="74"/>
      <c r="P12" s="49" t="s">
        <v>418</v>
      </c>
      <c r="Q12" s="76"/>
      <c r="R12" s="76"/>
      <c r="S12" s="76"/>
      <c r="T12" s="76"/>
      <c r="U12" s="77"/>
      <c r="V12" s="77"/>
      <c r="W12" s="77"/>
      <c r="X12" s="77"/>
    </row>
    <row r="13">
      <c r="A13" s="70" t="s">
        <v>44</v>
      </c>
      <c r="B13" s="47" t="str">
        <f>VLOOKUP(A13,'Cruce APP Velocidad ultimas 5 s'!A:B,2,0)</f>
        <v>Bicicleta de Spinning Pro Overfit Estatica Fitness Gym 6 kg</v>
      </c>
      <c r="C13" s="71">
        <f>VLOOKUP(A13,'App dashboard año actual'!A:I,9,0)</f>
        <v>0</v>
      </c>
      <c r="D13" s="72" t="str">
        <f>VLOOKUP(A13,'App dashboard año actual'!A:K,11,0)/VLOOKUP(A13,'App dashboard año actual'!A:N,3,0)</f>
        <v>#DIV/0!</v>
      </c>
      <c r="E13" s="73" t="str">
        <f>IFERROR(VLOOKUP(A13,'App dashboard año actual'!A:E,3,0)/VLOOKUP(A13,'App dashboard año actual'!A:E,5,0),"Sin ventas")</f>
        <v>Sin ventas</v>
      </c>
      <c r="F13" s="74">
        <v>1.2</v>
      </c>
      <c r="G13" s="74">
        <v>4.7</v>
      </c>
      <c r="H13" s="75">
        <v>46077.0</v>
      </c>
      <c r="I13" s="74">
        <f t="shared" si="1"/>
        <v>56</v>
      </c>
      <c r="J13" s="74">
        <f>VLOOKUP(A13,'Cruce APP Velocidad ultimas 5 s'!A:H,6,0)</f>
        <v>0</v>
      </c>
      <c r="K13" s="74">
        <f>VLOOKUP(A13,'Cruce APP Velocidad ultimas 5 s'!A:H,7,0)</f>
        <v>0</v>
      </c>
      <c r="L13" s="74">
        <f>VLOOKUP(A13,'Cruce APP Velocidad ultimas 5 s'!A:H,8,0)</f>
        <v>0</v>
      </c>
      <c r="M13" s="74">
        <f>VLOOKUP(A13,'Cruce APP Velocidad ultimas 5 s'!A:I,9,0)</f>
        <v>0</v>
      </c>
      <c r="N13" s="74">
        <f>VLOOKUP(A13,'Cruce APP Velocidad ultimas 5 s'!A:J,10,0)</f>
        <v>0</v>
      </c>
      <c r="O13" s="74"/>
      <c r="P13" s="81" t="s">
        <v>423</v>
      </c>
      <c r="Q13" s="79"/>
      <c r="R13" s="79"/>
      <c r="S13" s="79"/>
      <c r="T13" s="76"/>
      <c r="U13" s="77"/>
      <c r="V13" s="77"/>
      <c r="W13" s="77"/>
      <c r="X13" s="77"/>
    </row>
    <row r="14">
      <c r="A14" s="70" t="s">
        <v>45</v>
      </c>
      <c r="B14" s="47" t="str">
        <f>VLOOKUP(A14,'Cruce APP Velocidad ultimas 5 s'!A:B,2,0)</f>
        <v>Bicicleta Spinning Magnetica Pro Overfit Estatica Gym 6kg</v>
      </c>
      <c r="C14" s="71" t="str">
        <f>VLOOKUP(A14,'App dashboard año actual'!A:I,9,0)</f>
        <v>36,7</v>
      </c>
      <c r="D14" s="72">
        <f>VLOOKUP(A14,'App dashboard año actual'!A:K,11,0)/VLOOKUP(A14,'App dashboard año actual'!A:N,3,0)</f>
        <v>0.04458592243</v>
      </c>
      <c r="E14" s="73">
        <f>IFERROR(VLOOKUP(A14,'App dashboard año actual'!A:E,3,0)/VLOOKUP(A14,'App dashboard año actual'!A:E,5,0),"Sin ventas")</f>
        <v>185571.7778</v>
      </c>
      <c r="F14" s="74">
        <v>1.2</v>
      </c>
      <c r="G14" s="74">
        <v>4.7</v>
      </c>
      <c r="H14" s="75">
        <v>46077.0</v>
      </c>
      <c r="I14" s="74">
        <f t="shared" si="1"/>
        <v>56</v>
      </c>
      <c r="J14" s="74">
        <f>VLOOKUP(A14,'Cruce APP Velocidad ultimas 5 s'!A:H,6,0)</f>
        <v>1</v>
      </c>
      <c r="K14" s="74">
        <f>VLOOKUP(A14,'Cruce APP Velocidad ultimas 5 s'!A:H,7,0)</f>
        <v>2</v>
      </c>
      <c r="L14" s="74">
        <f>VLOOKUP(A14,'Cruce APP Velocidad ultimas 5 s'!A:H,8,0)</f>
        <v>1</v>
      </c>
      <c r="M14" s="74">
        <f>VLOOKUP(A14,'Cruce APP Velocidad ultimas 5 s'!A:I,9,0)</f>
        <v>0</v>
      </c>
      <c r="N14" s="74">
        <f>VLOOKUP(A14,'Cruce APP Velocidad ultimas 5 s'!A:J,10,0)</f>
        <v>0</v>
      </c>
      <c r="O14" s="74"/>
      <c r="P14" s="82" t="s">
        <v>424</v>
      </c>
      <c r="Q14" s="79" t="s">
        <v>13</v>
      </c>
      <c r="R14" s="76"/>
      <c r="S14" s="76"/>
      <c r="T14" s="76"/>
      <c r="U14" s="77"/>
      <c r="V14" s="77"/>
      <c r="W14" s="77"/>
      <c r="X14" s="77"/>
    </row>
    <row r="15">
      <c r="A15" s="76" t="s">
        <v>82</v>
      </c>
      <c r="B15" s="47" t="str">
        <f>VLOOKUP(A15,'Cruce APP Velocidad ultimas 5 s'!A:B,2,0)</f>
        <v>Mochila De Viaje con Bomba al Vacío 900D Luxgear 40 Litros</v>
      </c>
      <c r="C15" s="71" t="str">
        <f>VLOOKUP(A15,'App dashboard año actual'!A:I,9,0)</f>
        <v>17,75</v>
      </c>
      <c r="D15" s="72">
        <f>VLOOKUP(A15,'App dashboard año actual'!A:K,11,0)/VLOOKUP(A15,'App dashboard año actual'!A:N,3,0)</f>
        <v>0.1824079212</v>
      </c>
      <c r="E15" s="73">
        <f>IFERROR(VLOOKUP(A15,'App dashboard año actual'!A:E,3,0)/VLOOKUP(A15,'App dashboard año actual'!A:E,5,0),"Sin ventas")</f>
        <v>69730</v>
      </c>
      <c r="F15" s="74">
        <v>1.2</v>
      </c>
      <c r="G15" s="74">
        <v>4.7</v>
      </c>
      <c r="H15" s="75">
        <v>46078.0</v>
      </c>
      <c r="I15" s="74">
        <f t="shared" si="1"/>
        <v>55</v>
      </c>
      <c r="J15" s="74">
        <f>VLOOKUP(A15,'Cruce APP Velocidad ultimas 5 s'!A:H,6,0)</f>
        <v>1</v>
      </c>
      <c r="K15" s="74">
        <f>VLOOKUP(A15,'Cruce APP Velocidad ultimas 5 s'!A:H,7,0)</f>
        <v>2</v>
      </c>
      <c r="L15" s="74">
        <f>VLOOKUP(A15,'Cruce APP Velocidad ultimas 5 s'!A:H,8,0)</f>
        <v>3</v>
      </c>
      <c r="M15" s="74">
        <f>VLOOKUP(A15,'Cruce APP Velocidad ultimas 5 s'!A:I,9,0)</f>
        <v>1</v>
      </c>
      <c r="N15" s="74">
        <f>VLOOKUP(A15,'Cruce APP Velocidad ultimas 5 s'!A:J,10,0)</f>
        <v>0</v>
      </c>
      <c r="O15" s="74"/>
      <c r="P15" s="49" t="s">
        <v>418</v>
      </c>
      <c r="Q15" s="76"/>
      <c r="R15" s="76"/>
      <c r="S15" s="76"/>
      <c r="T15" s="76"/>
      <c r="U15" s="77"/>
      <c r="V15" s="77"/>
      <c r="W15" s="77"/>
      <c r="X15" s="77"/>
    </row>
    <row r="16">
      <c r="A16" s="76" t="s">
        <v>83</v>
      </c>
      <c r="B16" s="47" t="str">
        <f>VLOOKUP(A16,'Cruce APP Velocidad ultimas 5 s'!A:B,2,0)</f>
        <v>Mochila De Viaje con Bomba al Vacio Luxgear 900D 40 Litros</v>
      </c>
      <c r="C16" s="71" t="str">
        <f>VLOOKUP(A16,'App dashboard año actual'!A:I,9,0)</f>
        <v>26,57</v>
      </c>
      <c r="D16" s="72">
        <f>VLOOKUP(A16,'App dashboard año actual'!A:K,11,0)/VLOOKUP(A16,'App dashboard año actual'!A:N,3,0)</f>
        <v>0.09525608279</v>
      </c>
      <c r="E16" s="73">
        <f>IFERROR(VLOOKUP(A16,'App dashboard año actual'!A:E,3,0)/VLOOKUP(A16,'App dashboard año actual'!A:E,5,0),"Sin ventas")</f>
        <v>69492.5</v>
      </c>
      <c r="F16" s="74">
        <v>1.2</v>
      </c>
      <c r="G16" s="74">
        <v>4.7</v>
      </c>
      <c r="H16" s="75">
        <v>46078.0</v>
      </c>
      <c r="I16" s="74">
        <f t="shared" si="1"/>
        <v>55</v>
      </c>
      <c r="J16" s="74">
        <f>VLOOKUP(A16,'Cruce APP Velocidad ultimas 5 s'!A:H,6,0)</f>
        <v>3</v>
      </c>
      <c r="K16" s="74">
        <f>VLOOKUP(A16,'Cruce APP Velocidad ultimas 5 s'!A:H,7,0)</f>
        <v>3</v>
      </c>
      <c r="L16" s="74">
        <f>VLOOKUP(A16,'Cruce APP Velocidad ultimas 5 s'!A:H,8,0)</f>
        <v>0</v>
      </c>
      <c r="M16" s="74">
        <f>VLOOKUP(A16,'Cruce APP Velocidad ultimas 5 s'!A:I,9,0)</f>
        <v>0</v>
      </c>
      <c r="N16" s="74">
        <f>VLOOKUP(A16,'Cruce APP Velocidad ultimas 5 s'!A:J,10,0)</f>
        <v>0</v>
      </c>
      <c r="O16" s="74"/>
      <c r="P16" s="49" t="s">
        <v>418</v>
      </c>
      <c r="Q16" s="76"/>
      <c r="R16" s="76"/>
      <c r="S16" s="76"/>
      <c r="T16" s="76"/>
      <c r="U16" s="77"/>
      <c r="V16" s="77"/>
      <c r="W16" s="77"/>
      <c r="X16" s="77"/>
    </row>
    <row r="17">
      <c r="A17" s="76" t="s">
        <v>84</v>
      </c>
      <c r="B17" s="47" t="str">
        <f>VLOOKUP(A17,'Cruce APP Velocidad ultimas 5 s'!A:B,2,0)</f>
        <v>Mochila De Viaje con Bomba al Vacio 900D Luxgear 22 Litros</v>
      </c>
      <c r="C17" s="71" t="str">
        <f>VLOOKUP(A17,'App dashboard año actual'!A:I,9,0)</f>
        <v>24,27</v>
      </c>
      <c r="D17" s="72">
        <f>VLOOKUP(A17,'App dashboard año actual'!A:K,11,0)/VLOOKUP(A17,'App dashboard año actual'!A:N,3,0)</f>
        <v>0.1194088153</v>
      </c>
      <c r="E17" s="73">
        <f>IFERROR(VLOOKUP(A17,'App dashboard año actual'!A:E,3,0)/VLOOKUP(A17,'App dashboard año actual'!A:E,5,0),"Sin ventas")</f>
        <v>64768.25</v>
      </c>
      <c r="F17" s="74">
        <v>1.2</v>
      </c>
      <c r="G17" s="74">
        <v>4.7</v>
      </c>
      <c r="H17" s="75">
        <v>46078.0</v>
      </c>
      <c r="I17" s="74">
        <f t="shared" si="1"/>
        <v>55</v>
      </c>
      <c r="J17" s="74">
        <f>VLOOKUP(A17,'Cruce APP Velocidad ultimas 5 s'!A:H,6,0)</f>
        <v>2</v>
      </c>
      <c r="K17" s="74">
        <f>VLOOKUP(A17,'Cruce APP Velocidad ultimas 5 s'!A:H,7,0)</f>
        <v>1</v>
      </c>
      <c r="L17" s="74">
        <f>VLOOKUP(A17,'Cruce APP Velocidad ultimas 5 s'!A:H,8,0)</f>
        <v>2</v>
      </c>
      <c r="M17" s="74">
        <f>VLOOKUP(A17,'Cruce APP Velocidad ultimas 5 s'!A:I,9,0)</f>
        <v>3</v>
      </c>
      <c r="N17" s="74">
        <f>VLOOKUP(A17,'Cruce APP Velocidad ultimas 5 s'!A:J,10,0)</f>
        <v>0</v>
      </c>
      <c r="O17" s="74"/>
      <c r="P17" s="49" t="s">
        <v>418</v>
      </c>
      <c r="Q17" s="76"/>
      <c r="R17" s="76"/>
      <c r="S17" s="76"/>
      <c r="T17" s="76"/>
      <c r="U17" s="77"/>
      <c r="V17" s="77"/>
      <c r="W17" s="77"/>
      <c r="X17" s="77"/>
    </row>
    <row r="18">
      <c r="A18" s="76" t="s">
        <v>85</v>
      </c>
      <c r="B18" s="47" t="str">
        <f>VLOOKUP(A18,'Cruce APP Velocidad ultimas 5 s'!A:B,2,0)</f>
        <v>Mochila De Viaje 900D Luxgear Cabina 40 Litros Verde Olivo</v>
      </c>
      <c r="C18" s="71" t="str">
        <f>VLOOKUP(A18,'App dashboard año actual'!A:I,9,0)</f>
        <v>34,07</v>
      </c>
      <c r="D18" s="72">
        <f>VLOOKUP(A18,'App dashboard año actual'!A:K,11,0)/VLOOKUP(A18,'App dashboard año actual'!A:N,3,0)</f>
        <v>0.03168604831</v>
      </c>
      <c r="E18" s="73">
        <f>IFERROR(VLOOKUP(A18,'App dashboard año actual'!A:E,3,0)/VLOOKUP(A18,'App dashboard año actual'!A:E,5,0),"Sin ventas")</f>
        <v>40437.75</v>
      </c>
      <c r="F18" s="74">
        <v>1.2</v>
      </c>
      <c r="G18" s="74">
        <v>4.7</v>
      </c>
      <c r="H18" s="75">
        <v>46078.0</v>
      </c>
      <c r="I18" s="74">
        <f t="shared" si="1"/>
        <v>55</v>
      </c>
      <c r="J18" s="74">
        <f>VLOOKUP(A18,'Cruce APP Velocidad ultimas 5 s'!A:H,6,0)</f>
        <v>3</v>
      </c>
      <c r="K18" s="74">
        <f>VLOOKUP(A18,'Cruce APP Velocidad ultimas 5 s'!A:H,7,0)</f>
        <v>2</v>
      </c>
      <c r="L18" s="74">
        <f>VLOOKUP(A18,'Cruce APP Velocidad ultimas 5 s'!A:H,8,0)</f>
        <v>3</v>
      </c>
      <c r="M18" s="74">
        <f>VLOOKUP(A18,'Cruce APP Velocidad ultimas 5 s'!A:I,9,0)</f>
        <v>5</v>
      </c>
      <c r="N18" s="74">
        <f>VLOOKUP(A18,'Cruce APP Velocidad ultimas 5 s'!A:J,10,0)</f>
        <v>0</v>
      </c>
      <c r="O18" s="74"/>
      <c r="P18" s="49" t="s">
        <v>418</v>
      </c>
      <c r="Q18" s="76"/>
      <c r="R18" s="76"/>
      <c r="S18" s="76"/>
      <c r="T18" s="76"/>
      <c r="U18" s="77"/>
      <c r="V18" s="77"/>
      <c r="W18" s="77"/>
      <c r="X18" s="77"/>
    </row>
    <row r="19">
      <c r="A19" s="76" t="s">
        <v>86</v>
      </c>
      <c r="B19" s="47" t="str">
        <f>VLOOKUP(A19,'Cruce APP Velocidad ultimas 5 s'!A:B,2,0)</f>
        <v>Mochila De Viaje 900D Luxgear Notebook Cabina 28 Litros</v>
      </c>
      <c r="C19" s="71" t="str">
        <f>VLOOKUP(A19,'App dashboard año actual'!A:I,9,0)</f>
        <v>28,28</v>
      </c>
      <c r="D19" s="72">
        <f>VLOOKUP(A19,'App dashboard año actual'!A:K,11,0)/VLOOKUP(A19,'App dashboard año actual'!A:N,3,0)</f>
        <v>0.1643435768</v>
      </c>
      <c r="E19" s="73">
        <f>IFERROR(VLOOKUP(A19,'App dashboard año actual'!A:E,3,0)/VLOOKUP(A19,'App dashboard año actual'!A:E,5,0),"Sin ventas")</f>
        <v>33878.88889</v>
      </c>
      <c r="F19" s="74">
        <v>1.2</v>
      </c>
      <c r="G19" s="74">
        <v>4.7</v>
      </c>
      <c r="H19" s="75">
        <v>46078.0</v>
      </c>
      <c r="I19" s="74">
        <f t="shared" si="1"/>
        <v>55</v>
      </c>
      <c r="J19" s="74">
        <f>VLOOKUP(A19,'Cruce APP Velocidad ultimas 5 s'!A:H,6,0)</f>
        <v>2</v>
      </c>
      <c r="K19" s="74">
        <f>VLOOKUP(A19,'Cruce APP Velocidad ultimas 5 s'!A:H,7,0)</f>
        <v>1</v>
      </c>
      <c r="L19" s="74">
        <f>VLOOKUP(A19,'Cruce APP Velocidad ultimas 5 s'!A:H,8,0)</f>
        <v>1</v>
      </c>
      <c r="M19" s="74">
        <f>VLOOKUP(A19,'Cruce APP Velocidad ultimas 5 s'!A:I,9,0)</f>
        <v>1</v>
      </c>
      <c r="N19" s="74">
        <f>VLOOKUP(A19,'Cruce APP Velocidad ultimas 5 s'!A:J,10,0)</f>
        <v>0</v>
      </c>
      <c r="O19" s="74"/>
      <c r="P19" s="82" t="s">
        <v>424</v>
      </c>
      <c r="Q19" s="79" t="s">
        <v>13</v>
      </c>
      <c r="R19" s="76"/>
      <c r="S19" s="76"/>
      <c r="T19" s="76"/>
      <c r="U19" s="77"/>
      <c r="V19" s="77"/>
      <c r="W19" s="77"/>
      <c r="X19" s="77"/>
    </row>
    <row r="20">
      <c r="A20" s="83" t="s">
        <v>46</v>
      </c>
      <c r="B20" s="47" t="str">
        <f>VLOOKUP(A20,'Cruce APP Velocidad ultimas 5 s'!A:B,2,0)</f>
        <v>Frazada king medida 250x230cm 300GSM color azul</v>
      </c>
      <c r="C20" s="71" t="str">
        <f>VLOOKUP(A20,'App dashboard año actual'!A:I,9,0)</f>
        <v>24,45</v>
      </c>
      <c r="D20" s="72">
        <f>VLOOKUP(A20,'App dashboard año actual'!A:K,11,0)/VLOOKUP(A20,'App dashboard año actual'!A:N,3,0)</f>
        <v>0.221598491</v>
      </c>
      <c r="E20" s="73">
        <f>IFERROR(VLOOKUP(A20,'App dashboard año actual'!A:E,3,0)/VLOOKUP(A20,'App dashboard año actual'!A:E,5,0),"Sin ventas")</f>
        <v>27179.96154</v>
      </c>
      <c r="F20" s="19">
        <v>0.9</v>
      </c>
      <c r="G20" s="19">
        <v>4.2</v>
      </c>
      <c r="H20" s="84">
        <v>46083.0</v>
      </c>
      <c r="I20" s="74">
        <f t="shared" si="1"/>
        <v>50</v>
      </c>
      <c r="J20" s="74">
        <f>VLOOKUP(A20,'Cruce APP Velocidad ultimas 5 s'!A:H,6,0)</f>
        <v>1</v>
      </c>
      <c r="K20" s="74">
        <f>VLOOKUP(A20,'Cruce APP Velocidad ultimas 5 s'!A:H,7,0)</f>
        <v>7</v>
      </c>
      <c r="L20" s="74">
        <f>VLOOKUP(A20,'Cruce APP Velocidad ultimas 5 s'!A:H,8,0)</f>
        <v>5</v>
      </c>
      <c r="M20" s="74">
        <f>VLOOKUP(A20,'Cruce APP Velocidad ultimas 5 s'!A:I,9,0)</f>
        <v>4</v>
      </c>
      <c r="N20" s="74">
        <f>VLOOKUP(A20,'Cruce APP Velocidad ultimas 5 s'!A:J,10,0)</f>
        <v>1</v>
      </c>
      <c r="O20" s="74"/>
      <c r="P20" s="49" t="s">
        <v>418</v>
      </c>
      <c r="Q20" s="76"/>
      <c r="R20" s="76"/>
      <c r="S20" s="76"/>
      <c r="T20" s="76"/>
      <c r="U20" s="77"/>
      <c r="V20" s="77"/>
      <c r="W20" s="78"/>
      <c r="X20" s="77"/>
    </row>
    <row r="21">
      <c r="A21" s="83" t="s">
        <v>47</v>
      </c>
      <c r="B21" s="47" t="str">
        <f>VLOOKUP(A21,'Cruce APP Velocidad ultimas 5 s'!A:B,2,0)</f>
        <v>Frazada king medida 250x230cm 300GSM color gris</v>
      </c>
      <c r="C21" s="71" t="str">
        <f>VLOOKUP(A21,'App dashboard año actual'!A:I,9,0)</f>
        <v>25,09</v>
      </c>
      <c r="D21" s="72">
        <f>VLOOKUP(A21,'App dashboard año actual'!A:K,11,0)/VLOOKUP(A21,'App dashboard año actual'!A:N,3,0)</f>
        <v>0.2337151537</v>
      </c>
      <c r="E21" s="73">
        <f>IFERROR(VLOOKUP(A21,'App dashboard año actual'!A:E,3,0)/VLOOKUP(A21,'App dashboard año actual'!A:E,5,0),"Sin ventas")</f>
        <v>29429.2</v>
      </c>
      <c r="F21" s="19">
        <v>0.9</v>
      </c>
      <c r="G21" s="19">
        <v>4.2</v>
      </c>
      <c r="H21" s="84">
        <v>46083.0</v>
      </c>
      <c r="I21" s="74">
        <f t="shared" si="1"/>
        <v>50</v>
      </c>
      <c r="J21" s="74">
        <f>VLOOKUP(A21,'Cruce APP Velocidad ultimas 5 s'!A:H,6,0)</f>
        <v>11</v>
      </c>
      <c r="K21" s="74">
        <f>VLOOKUP(A21,'Cruce APP Velocidad ultimas 5 s'!A:H,7,0)</f>
        <v>11</v>
      </c>
      <c r="L21" s="74">
        <f>VLOOKUP(A21,'Cruce APP Velocidad ultimas 5 s'!A:H,8,0)</f>
        <v>4</v>
      </c>
      <c r="M21" s="74">
        <f>VLOOKUP(A21,'Cruce APP Velocidad ultimas 5 s'!A:I,9,0)</f>
        <v>10</v>
      </c>
      <c r="N21" s="74">
        <f>VLOOKUP(A21,'Cruce APP Velocidad ultimas 5 s'!A:J,10,0)</f>
        <v>0</v>
      </c>
      <c r="O21" s="74"/>
      <c r="P21" s="49" t="s">
        <v>418</v>
      </c>
      <c r="Q21" s="76"/>
      <c r="R21" s="76"/>
      <c r="S21" s="76"/>
      <c r="T21" s="76"/>
      <c r="U21" s="77"/>
      <c r="V21" s="77"/>
      <c r="W21" s="77"/>
      <c r="X21" s="77"/>
    </row>
    <row r="22">
      <c r="A22" s="83" t="s">
        <v>48</v>
      </c>
      <c r="B22" s="47" t="str">
        <f>VLOOKUP(A22,'Cruce APP Velocidad ultimas 5 s'!A:B,2,0)</f>
        <v>Frazada Queen medida 220x220cm 300GSM color azul</v>
      </c>
      <c r="C22" s="71" t="str">
        <f>VLOOKUP(A22,'App dashboard año actual'!A:I,9,0)</f>
        <v>2,09</v>
      </c>
      <c r="D22" s="72">
        <f>VLOOKUP(A22,'App dashboard año actual'!A:K,11,0)/VLOOKUP(A22,'App dashboard año actual'!A:N,3,0)</f>
        <v>0.4160284245</v>
      </c>
      <c r="E22" s="73">
        <f>IFERROR(VLOOKUP(A22,'App dashboard año actual'!A:E,3,0)/VLOOKUP(A22,'App dashboard año actual'!A:E,5,0),"Sin ventas")</f>
        <v>18769</v>
      </c>
      <c r="F22" s="19">
        <v>0.9</v>
      </c>
      <c r="G22" s="19">
        <v>4.2</v>
      </c>
      <c r="H22" s="84">
        <v>46083.0</v>
      </c>
      <c r="I22" s="74">
        <f t="shared" si="1"/>
        <v>50</v>
      </c>
      <c r="J22" s="74">
        <f>VLOOKUP(A22,'Cruce APP Velocidad ultimas 5 s'!A:H,6,0)</f>
        <v>3</v>
      </c>
      <c r="K22" s="74">
        <f>VLOOKUP(A22,'Cruce APP Velocidad ultimas 5 s'!A:H,7,0)</f>
        <v>6</v>
      </c>
      <c r="L22" s="74">
        <f>VLOOKUP(A22,'Cruce APP Velocidad ultimas 5 s'!A:H,8,0)</f>
        <v>1</v>
      </c>
      <c r="M22" s="74">
        <f>VLOOKUP(A22,'Cruce APP Velocidad ultimas 5 s'!A:I,9,0)</f>
        <v>2</v>
      </c>
      <c r="N22" s="74">
        <f>VLOOKUP(A22,'Cruce APP Velocidad ultimas 5 s'!A:J,10,0)</f>
        <v>0</v>
      </c>
      <c r="O22" s="74"/>
      <c r="P22" s="49" t="s">
        <v>418</v>
      </c>
      <c r="Q22" s="76"/>
      <c r="R22" s="76"/>
      <c r="S22" s="76"/>
      <c r="T22" s="76"/>
      <c r="U22" s="77"/>
      <c r="V22" s="77"/>
      <c r="W22" s="77"/>
      <c r="X22" s="77"/>
    </row>
    <row r="23">
      <c r="A23" s="83" t="s">
        <v>49</v>
      </c>
      <c r="B23" s="47" t="str">
        <f>VLOOKUP(A23,'Cruce APP Velocidad ultimas 5 s'!A:B,2,0)</f>
        <v>Frazada Queen medida 220x220cm 300GSM color gris</v>
      </c>
      <c r="C23" s="71" t="str">
        <f>VLOOKUP(A23,'App dashboard año actual'!A:I,9,0)</f>
        <v>26,77</v>
      </c>
      <c r="D23" s="72">
        <f>VLOOKUP(A23,'App dashboard año actual'!A:K,11,0)/VLOOKUP(A23,'App dashboard año actual'!A:N,3,0)</f>
        <v>0.159134408</v>
      </c>
      <c r="E23" s="73">
        <f>IFERROR(VLOOKUP(A23,'App dashboard año actual'!A:E,3,0)/VLOOKUP(A23,'App dashboard año actual'!A:E,5,0),"Sin ventas")</f>
        <v>18548</v>
      </c>
      <c r="F23" s="19">
        <v>0.9</v>
      </c>
      <c r="G23" s="19">
        <v>4.2</v>
      </c>
      <c r="H23" s="84">
        <v>46083.0</v>
      </c>
      <c r="I23" s="74">
        <f t="shared" si="1"/>
        <v>50</v>
      </c>
      <c r="J23" s="74">
        <f>VLOOKUP(A23,'Cruce APP Velocidad ultimas 5 s'!A:H,6,0)</f>
        <v>3</v>
      </c>
      <c r="K23" s="74">
        <f>VLOOKUP(A23,'Cruce APP Velocidad ultimas 5 s'!A:H,7,0)</f>
        <v>5</v>
      </c>
      <c r="L23" s="74">
        <f>VLOOKUP(A23,'Cruce APP Velocidad ultimas 5 s'!A:H,8,0)</f>
        <v>6</v>
      </c>
      <c r="M23" s="74">
        <f>VLOOKUP(A23,'Cruce APP Velocidad ultimas 5 s'!A:I,9,0)</f>
        <v>1</v>
      </c>
      <c r="N23" s="74">
        <f>VLOOKUP(A23,'Cruce APP Velocidad ultimas 5 s'!A:J,10,0)</f>
        <v>0</v>
      </c>
      <c r="O23" s="74"/>
      <c r="P23" s="49" t="s">
        <v>418</v>
      </c>
      <c r="Q23" s="76"/>
      <c r="R23" s="76"/>
      <c r="S23" s="76"/>
      <c r="T23" s="76"/>
      <c r="U23" s="77"/>
      <c r="V23" s="77"/>
      <c r="W23" s="77"/>
      <c r="X23" s="77"/>
    </row>
    <row r="24">
      <c r="A24" s="83" t="s">
        <v>95</v>
      </c>
      <c r="B24" s="47" t="str">
        <f>VLOOKUP(A24,'Cruce APP Velocidad ultimas 5 s'!A:B,2,0)</f>
        <v>Colchoneta Deportiva lisa 100x50x5cm oxford</v>
      </c>
      <c r="C24" s="71" t="str">
        <f>VLOOKUP(A24,'App dashboard año actual'!A:I,9,0)</f>
        <v>32,12</v>
      </c>
      <c r="D24" s="72">
        <f>VLOOKUP(A24,'App dashboard año actual'!A:K,11,0)/VLOOKUP(A24,'App dashboard año actual'!A:N,3,0)</f>
        <v>0.1141144961</v>
      </c>
      <c r="E24" s="73">
        <f>IFERROR(VLOOKUP(A24,'App dashboard año actual'!A:E,3,0)/VLOOKUP(A24,'App dashboard año actual'!A:E,5,0),"Sin ventas")</f>
        <v>16966.55814</v>
      </c>
      <c r="F24" s="19">
        <v>3.7</v>
      </c>
      <c r="G24" s="19">
        <v>11.7</v>
      </c>
      <c r="H24" s="84">
        <v>46083.0</v>
      </c>
      <c r="I24" s="74">
        <f t="shared" si="1"/>
        <v>50</v>
      </c>
      <c r="J24" s="74">
        <f>VLOOKUP(A24,'Cruce APP Velocidad ultimas 5 s'!A:H,6,0)</f>
        <v>6</v>
      </c>
      <c r="K24" s="74">
        <f>VLOOKUP(A24,'Cruce APP Velocidad ultimas 5 s'!A:H,7,0)</f>
        <v>0</v>
      </c>
      <c r="L24" s="74">
        <f>VLOOKUP(A24,'Cruce APP Velocidad ultimas 5 s'!A:H,8,0)</f>
        <v>18</v>
      </c>
      <c r="M24" s="74">
        <f>VLOOKUP(A24,'Cruce APP Velocidad ultimas 5 s'!A:I,9,0)</f>
        <v>1</v>
      </c>
      <c r="N24" s="74">
        <f>VLOOKUP(A24,'Cruce APP Velocidad ultimas 5 s'!A:J,10,0)</f>
        <v>0</v>
      </c>
      <c r="O24" s="74"/>
      <c r="P24" s="49" t="s">
        <v>418</v>
      </c>
      <c r="Q24" s="76"/>
      <c r="R24" s="76"/>
      <c r="S24" s="76"/>
      <c r="T24" s="76"/>
    </row>
    <row r="25">
      <c r="A25" s="85" t="s">
        <v>425</v>
      </c>
      <c r="B25" s="47" t="str">
        <f>VLOOKUP(A25,'Cruce APP Velocidad ultimas 5 s'!A:B,2,0)</f>
        <v>Amplificador para guitarra eléctrica 20W Ibrah Music</v>
      </c>
      <c r="C25" s="71">
        <f>VLOOKUP(A25,'App dashboard año actual'!A:I,9,0)</f>
        <v>38</v>
      </c>
      <c r="D25" s="72">
        <f>VLOOKUP(A25,'App dashboard año actual'!A:K,11,0)/VLOOKUP(A25,'App dashboard año actual'!A:N,3,0)</f>
        <v>0.07088965565</v>
      </c>
      <c r="E25" s="73">
        <f>IFERROR(VLOOKUP(A25,'App dashboard año actual'!A:E,3,0)/VLOOKUP(A25,'App dashboard año actual'!A:E,5,0),"Sin ventas")</f>
        <v>49040.26316</v>
      </c>
      <c r="F25" s="19">
        <v>3.7</v>
      </c>
      <c r="G25" s="19">
        <v>11.7</v>
      </c>
      <c r="H25" s="84">
        <v>46084.0</v>
      </c>
      <c r="I25" s="74">
        <f t="shared" si="1"/>
        <v>49</v>
      </c>
      <c r="J25" s="74">
        <f>VLOOKUP(A25,'Cruce APP Velocidad ultimas 5 s'!A:H,6,0)</f>
        <v>6</v>
      </c>
      <c r="K25" s="74">
        <f>VLOOKUP(A25,'Cruce APP Velocidad ultimas 5 s'!A:H,7,0)</f>
        <v>12</v>
      </c>
      <c r="L25" s="74">
        <f>VLOOKUP(A25,'Cruce APP Velocidad ultimas 5 s'!A:H,8,0)</f>
        <v>9</v>
      </c>
      <c r="M25" s="74">
        <f>VLOOKUP(A25,'Cruce APP Velocidad ultimas 5 s'!A:I,9,0)</f>
        <v>9</v>
      </c>
      <c r="N25" s="74">
        <f>VLOOKUP(A25,'Cruce APP Velocidad ultimas 5 s'!A:J,10,0)</f>
        <v>1</v>
      </c>
      <c r="O25" s="74"/>
      <c r="P25" s="49" t="s">
        <v>418</v>
      </c>
      <c r="Q25" s="76"/>
      <c r="R25" s="76"/>
      <c r="S25" s="76"/>
      <c r="T25" s="76"/>
    </row>
    <row r="26">
      <c r="A26" s="16" t="s">
        <v>96</v>
      </c>
      <c r="B26" s="47" t="str">
        <f>VLOOKUP(A26,'Cruce APP Velocidad ultimas 5 s'!A:B,2,0)</f>
        <v>Guitarra Electrica Stratocaster Ibrah + Amplif + Accesorios</v>
      </c>
      <c r="C26" s="71" t="str">
        <f>VLOOKUP(A26,'App dashboard año actual'!A:I,9,0)</f>
        <v>40,77</v>
      </c>
      <c r="D26" s="72">
        <f>VLOOKUP(A26,'App dashboard año actual'!A:K,11,0)/VLOOKUP(A26,'App dashboard año actual'!A:N,3,0)</f>
        <v>0.0848131378</v>
      </c>
      <c r="E26" s="73">
        <f>IFERROR(VLOOKUP(A26,'App dashboard año actual'!A:E,3,0)/VLOOKUP(A26,'App dashboard año actual'!A:E,5,0),"Sin ventas")</f>
        <v>183821.4762</v>
      </c>
      <c r="F26" s="19">
        <v>3.7</v>
      </c>
      <c r="G26" s="19">
        <v>11.7</v>
      </c>
      <c r="H26" s="84">
        <v>46085.0</v>
      </c>
      <c r="I26" s="74">
        <f t="shared" si="1"/>
        <v>48</v>
      </c>
      <c r="J26" s="74">
        <f>VLOOKUP(A26,'Cruce APP Velocidad ultimas 5 s'!A:H,6,0)</f>
        <v>5</v>
      </c>
      <c r="K26" s="74">
        <f>VLOOKUP(A26,'Cruce APP Velocidad ultimas 5 s'!A:H,7,0)</f>
        <v>5</v>
      </c>
      <c r="L26" s="74">
        <f>VLOOKUP(A26,'Cruce APP Velocidad ultimas 5 s'!A:H,8,0)</f>
        <v>5</v>
      </c>
      <c r="M26" s="74">
        <f>VLOOKUP(A26,'Cruce APP Velocidad ultimas 5 s'!A:I,9,0)</f>
        <v>6</v>
      </c>
      <c r="N26" s="74">
        <f>VLOOKUP(A26,'Cruce APP Velocidad ultimas 5 s'!A:J,10,0)</f>
        <v>0</v>
      </c>
      <c r="O26" s="74"/>
      <c r="P26" s="49" t="s">
        <v>418</v>
      </c>
      <c r="Q26" s="76"/>
      <c r="R26" s="76"/>
      <c r="S26" s="76"/>
      <c r="T26" s="76"/>
    </row>
    <row r="27">
      <c r="A27" s="16" t="s">
        <v>97</v>
      </c>
      <c r="B27" s="47" t="str">
        <f>VLOOKUP(A27,'Cruce APP Velocidad ultimas 5 s'!A:B,2,0)</f>
        <v>Guitarra Electrica Strato Zurdos Ibrah Amplificador + Acc</v>
      </c>
      <c r="C27" s="71" t="str">
        <f>VLOOKUP(A27,'App dashboard año actual'!A:I,9,0)</f>
        <v>36,12</v>
      </c>
      <c r="D27" s="72">
        <f>VLOOKUP(A27,'App dashboard año actual'!A:K,11,0)/VLOOKUP(A27,'App dashboard año actual'!A:N,3,0)</f>
        <v>0.1168313318</v>
      </c>
      <c r="E27" s="73">
        <f>IFERROR(VLOOKUP(A27,'App dashboard año actual'!A:E,3,0)/VLOOKUP(A27,'App dashboard año actual'!A:E,5,0),"Sin ventas")</f>
        <v>187400.5</v>
      </c>
      <c r="F27" s="19">
        <v>3.7</v>
      </c>
      <c r="G27" s="19">
        <v>11.7</v>
      </c>
      <c r="H27" s="84">
        <v>46086.0</v>
      </c>
      <c r="I27" s="74">
        <f t="shared" si="1"/>
        <v>47</v>
      </c>
      <c r="J27" s="74">
        <f>VLOOKUP(A27,'Cruce APP Velocidad ultimas 5 s'!A:H,6,0)</f>
        <v>0</v>
      </c>
      <c r="K27" s="74">
        <f>VLOOKUP(A27,'Cruce APP Velocidad ultimas 5 s'!A:H,7,0)</f>
        <v>1</v>
      </c>
      <c r="L27" s="74">
        <f>VLOOKUP(A27,'Cruce APP Velocidad ultimas 5 s'!A:H,8,0)</f>
        <v>1</v>
      </c>
      <c r="M27" s="74">
        <f>VLOOKUP(A27,'Cruce APP Velocidad ultimas 5 s'!A:I,9,0)</f>
        <v>1</v>
      </c>
      <c r="N27" s="74">
        <f>VLOOKUP(A27,'Cruce APP Velocidad ultimas 5 s'!A:J,10,0)</f>
        <v>0</v>
      </c>
      <c r="O27" s="74"/>
      <c r="P27" s="82" t="s">
        <v>424</v>
      </c>
      <c r="Q27" s="79" t="s">
        <v>13</v>
      </c>
      <c r="R27" s="76"/>
      <c r="S27" s="76"/>
      <c r="T27" s="76"/>
    </row>
    <row r="28">
      <c r="A28" s="70" t="s">
        <v>120</v>
      </c>
      <c r="B28" s="47" t="str">
        <f>VLOOKUP(A28,'Cruce APP Velocidad ultimas 5 s'!A:B,2,0)</f>
        <v>Teclado Musical 61 Teclas Ibrah Music Piano Con Midi Sustain</v>
      </c>
      <c r="C28" s="71" t="str">
        <f>VLOOKUP(A28,'App dashboard año actual'!A:I,9,0)</f>
        <v>29,25</v>
      </c>
      <c r="D28" s="72">
        <f>VLOOKUP(A28,'App dashboard año actual'!A:K,11,0)/VLOOKUP(A28,'App dashboard año actual'!A:N,3,0)</f>
        <v>0.1099838534</v>
      </c>
      <c r="E28" s="73">
        <f>IFERROR(VLOOKUP(A28,'App dashboard año actual'!A:E,3,0)/VLOOKUP(A28,'App dashboard año actual'!A:E,5,0),"Sin ventas")</f>
        <v>92026.31818</v>
      </c>
      <c r="F28" s="74">
        <v>1.9</v>
      </c>
      <c r="G28" s="74">
        <v>5.6</v>
      </c>
      <c r="H28" s="86">
        <v>46108.0</v>
      </c>
      <c r="I28" s="74">
        <f t="shared" si="1"/>
        <v>25</v>
      </c>
      <c r="J28" s="74">
        <f>VLOOKUP(A28,'Cruce APP Velocidad ultimas 5 s'!A:H,6,0)</f>
        <v>2</v>
      </c>
      <c r="K28" s="74">
        <f>VLOOKUP(A28,'Cruce APP Velocidad ultimas 5 s'!A:H,7,0)</f>
        <v>7</v>
      </c>
      <c r="L28" s="74">
        <f>VLOOKUP(A28,'Cruce APP Velocidad ultimas 5 s'!A:H,8,0)</f>
        <v>5</v>
      </c>
      <c r="M28" s="74">
        <f>VLOOKUP(A28,'Cruce APP Velocidad ultimas 5 s'!A:I,9,0)</f>
        <v>7</v>
      </c>
      <c r="N28" s="74">
        <f>VLOOKUP(A28,'Cruce APP Velocidad ultimas 5 s'!A:J,10,0)</f>
        <v>1</v>
      </c>
      <c r="O28" s="74"/>
      <c r="P28" s="49" t="s">
        <v>418</v>
      </c>
      <c r="Q28" s="76"/>
      <c r="R28" s="76"/>
      <c r="S28" s="76"/>
      <c r="T28" s="76"/>
      <c r="U28" s="77"/>
      <c r="V28" s="77"/>
      <c r="W28" s="77"/>
      <c r="X28" s="77"/>
    </row>
    <row r="29">
      <c r="A29" s="16" t="s">
        <v>115</v>
      </c>
      <c r="B29" s="47" t="str">
        <f>VLOOKUP(A29,'Cruce APP Velocidad ultimas 5 s'!A:B,2,0)</f>
        <v>Disco de pesa olímpica 10 kg</v>
      </c>
      <c r="C29" s="71" t="str">
        <f>VLOOKUP(A29,'App dashboard año actual'!A:I,9,0)</f>
        <v>27,17</v>
      </c>
      <c r="D29" s="72">
        <f>VLOOKUP(A29,'App dashboard año actual'!A:K,11,0)/VLOOKUP(A29,'App dashboard año actual'!A:N,3,0)</f>
        <v>0.09916390598</v>
      </c>
      <c r="E29" s="73">
        <f>IFERROR(VLOOKUP(A29,'App dashboard año actual'!A:E,3,0)/VLOOKUP(A29,'App dashboard año actual'!A:E,5,0),"Sin ventas")</f>
        <v>40750.71429</v>
      </c>
      <c r="F29" s="74">
        <v>1.9</v>
      </c>
      <c r="G29" s="74">
        <v>5.6</v>
      </c>
      <c r="H29" s="86">
        <v>46107.0</v>
      </c>
      <c r="I29" s="74">
        <f t="shared" si="1"/>
        <v>26</v>
      </c>
      <c r="J29" s="74">
        <f>VLOOKUP(A29,'Cruce APP Velocidad ultimas 5 s'!A:H,6,0)</f>
        <v>0</v>
      </c>
      <c r="K29" s="74">
        <f>VLOOKUP(A29,'Cruce APP Velocidad ultimas 5 s'!A:H,7,0)</f>
        <v>4</v>
      </c>
      <c r="L29" s="74">
        <f>VLOOKUP(A29,'Cruce APP Velocidad ultimas 5 s'!A:H,8,0)</f>
        <v>2</v>
      </c>
      <c r="M29" s="74">
        <f>VLOOKUP(A29,'Cruce APP Velocidad ultimas 5 s'!A:I,9,0)</f>
        <v>8</v>
      </c>
      <c r="N29" s="74">
        <f>VLOOKUP(A29,'Cruce APP Velocidad ultimas 5 s'!A:J,10,0)</f>
        <v>0</v>
      </c>
      <c r="O29" s="74"/>
      <c r="P29" s="49" t="s">
        <v>418</v>
      </c>
      <c r="Q29" s="76"/>
      <c r="R29" s="76"/>
      <c r="S29" s="76"/>
      <c r="T29" s="76"/>
    </row>
    <row r="30">
      <c r="A30" s="16" t="s">
        <v>116</v>
      </c>
      <c r="B30" s="47" t="str">
        <f>VLOOKUP(A30,'Cruce APP Velocidad ultimas 5 s'!A:B,2,0)</f>
        <v>Disco de pesa olímpica 15 kg</v>
      </c>
      <c r="C30" s="71" t="str">
        <f>VLOOKUP(A30,'App dashboard año actual'!A:I,9,0)</f>
        <v>32,3</v>
      </c>
      <c r="D30" s="72">
        <f>VLOOKUP(A30,'App dashboard año actual'!A:K,11,0)/VLOOKUP(A30,'App dashboard año actual'!A:N,3,0)</f>
        <v>0.033524496</v>
      </c>
      <c r="E30" s="73">
        <f>IFERROR(VLOOKUP(A30,'App dashboard año actual'!A:E,3,0)/VLOOKUP(A30,'App dashboard año actual'!A:E,5,0),"Sin ventas")</f>
        <v>53968</v>
      </c>
      <c r="F30" s="74">
        <v>1.9</v>
      </c>
      <c r="G30" s="74">
        <v>5.6</v>
      </c>
      <c r="H30" s="86">
        <v>46107.0</v>
      </c>
      <c r="I30" s="74">
        <f t="shared" si="1"/>
        <v>26</v>
      </c>
      <c r="J30" s="74">
        <f>VLOOKUP(A30,'Cruce APP Velocidad ultimas 5 s'!A:H,6,0)</f>
        <v>0</v>
      </c>
      <c r="K30" s="74">
        <f>VLOOKUP(A30,'Cruce APP Velocidad ultimas 5 s'!A:H,7,0)</f>
        <v>0</v>
      </c>
      <c r="L30" s="74">
        <f>VLOOKUP(A30,'Cruce APP Velocidad ultimas 5 s'!A:H,8,0)</f>
        <v>2</v>
      </c>
      <c r="M30" s="74">
        <f>VLOOKUP(A30,'Cruce APP Velocidad ultimas 5 s'!A:I,9,0)</f>
        <v>2</v>
      </c>
      <c r="N30" s="74">
        <f>VLOOKUP(A30,'Cruce APP Velocidad ultimas 5 s'!A:J,10,0)</f>
        <v>0</v>
      </c>
      <c r="O30" s="74"/>
      <c r="P30" s="82" t="s">
        <v>424</v>
      </c>
      <c r="Q30" s="79" t="s">
        <v>13</v>
      </c>
      <c r="R30" s="76"/>
      <c r="S30" s="76"/>
      <c r="T30" s="76"/>
    </row>
    <row r="31">
      <c r="A31" s="16" t="s">
        <v>117</v>
      </c>
      <c r="B31" s="47" t="str">
        <f>VLOOKUP(A31,'Cruce APP Velocidad ultimas 5 s'!A:B,2,0)</f>
        <v>Disco de pesa olímpica 20 kg</v>
      </c>
      <c r="C31" s="71" t="str">
        <f>VLOOKUP(A31,'App dashboard año actual'!A:I,9,0)</f>
        <v>32,78</v>
      </c>
      <c r="D31" s="72">
        <f>VLOOKUP(A31,'App dashboard año actual'!A:K,11,0)/VLOOKUP(A31,'App dashboard año actual'!A:N,3,0)</f>
        <v>0.1072594107</v>
      </c>
      <c r="E31" s="73">
        <f>IFERROR(VLOOKUP(A31,'App dashboard año actual'!A:E,3,0)/VLOOKUP(A31,'App dashboard año actual'!A:E,5,0),"Sin ventas")</f>
        <v>73387.5</v>
      </c>
      <c r="F31" s="74">
        <v>1.9</v>
      </c>
      <c r="G31" s="74">
        <v>5.6</v>
      </c>
      <c r="H31" s="86">
        <v>46107.0</v>
      </c>
      <c r="I31" s="74">
        <f t="shared" si="1"/>
        <v>26</v>
      </c>
      <c r="J31" s="74">
        <f>VLOOKUP(A31,'Cruce APP Velocidad ultimas 5 s'!A:H,6,0)</f>
        <v>0</v>
      </c>
      <c r="K31" s="74">
        <f>VLOOKUP(A31,'Cruce APP Velocidad ultimas 5 s'!A:H,7,0)</f>
        <v>2</v>
      </c>
      <c r="L31" s="74">
        <f>VLOOKUP(A31,'Cruce APP Velocidad ultimas 5 s'!A:H,8,0)</f>
        <v>2</v>
      </c>
      <c r="M31" s="74">
        <f>VLOOKUP(A31,'Cruce APP Velocidad ultimas 5 s'!A:I,9,0)</f>
        <v>0</v>
      </c>
      <c r="N31" s="74">
        <f>VLOOKUP(A31,'Cruce APP Velocidad ultimas 5 s'!A:J,10,0)</f>
        <v>0</v>
      </c>
      <c r="O31" s="74"/>
      <c r="P31" s="82" t="s">
        <v>424</v>
      </c>
      <c r="Q31" s="79" t="s">
        <v>13</v>
      </c>
      <c r="R31" s="76"/>
      <c r="S31" s="76"/>
      <c r="T31" s="76"/>
    </row>
    <row r="32">
      <c r="A32" s="16" t="s">
        <v>114</v>
      </c>
      <c r="B32" s="47" t="str">
        <f>VLOOKUP(A32,'Cruce APP Velocidad ultimas 5 s'!A:B,2,0)</f>
        <v>Disco de pesa olímpica 5 kg</v>
      </c>
      <c r="C32" s="71" t="str">
        <f>VLOOKUP(A32,'App dashboard año actual'!A:I,9,0)</f>
        <v>24,08</v>
      </c>
      <c r="D32" s="72">
        <f>VLOOKUP(A32,'App dashboard año actual'!A:K,11,0)/VLOOKUP(A32,'App dashboard año actual'!A:N,3,0)</f>
        <v>0.147853036</v>
      </c>
      <c r="E32" s="73">
        <f>IFERROR(VLOOKUP(A32,'App dashboard año actual'!A:E,3,0)/VLOOKUP(A32,'App dashboard año actual'!A:E,5,0),"Sin ventas")</f>
        <v>17064.62857</v>
      </c>
      <c r="F32" s="74">
        <v>1.9</v>
      </c>
      <c r="G32" s="74">
        <v>5.6</v>
      </c>
      <c r="H32" s="86">
        <v>46107.0</v>
      </c>
      <c r="I32" s="74">
        <f t="shared" si="1"/>
        <v>26</v>
      </c>
      <c r="J32" s="74">
        <f>VLOOKUP(A32,'Cruce APP Velocidad ultimas 5 s'!A:H,6,0)</f>
        <v>0</v>
      </c>
      <c r="K32" s="74">
        <f>VLOOKUP(A32,'Cruce APP Velocidad ultimas 5 s'!A:H,7,0)</f>
        <v>9</v>
      </c>
      <c r="L32" s="74">
        <f>VLOOKUP(A32,'Cruce APP Velocidad ultimas 5 s'!A:H,8,0)</f>
        <v>10</v>
      </c>
      <c r="M32" s="74">
        <f>VLOOKUP(A32,'Cruce APP Velocidad ultimas 5 s'!A:I,9,0)</f>
        <v>16</v>
      </c>
      <c r="N32" s="74">
        <f>VLOOKUP(A32,'Cruce APP Velocidad ultimas 5 s'!A:J,10,0)</f>
        <v>0</v>
      </c>
      <c r="O32" s="74"/>
      <c r="P32" s="49" t="s">
        <v>418</v>
      </c>
      <c r="Q32" s="76"/>
      <c r="R32" s="76"/>
      <c r="S32" s="76"/>
      <c r="T32" s="76"/>
    </row>
    <row r="33">
      <c r="A33" s="16" t="s">
        <v>118</v>
      </c>
      <c r="B33" s="47" t="str">
        <f>VLOOKUP(A33,'Cruce APP Velocidad ultimas 5 s'!A:B,2,0)</f>
        <v>Mancuernas Cromadas 30kg Ajustables</v>
      </c>
      <c r="C33" s="71" t="str">
        <f>VLOOKUP(A33,'App dashboard año actual'!A:I,9,0)</f>
        <v>39,67</v>
      </c>
      <c r="D33" s="72">
        <f>VLOOKUP(A33,'App dashboard año actual'!A:K,11,0)/VLOOKUP(A33,'App dashboard año actual'!A:N,3,0)</f>
        <v>0.03209245472</v>
      </c>
      <c r="E33" s="73">
        <f>IFERROR(VLOOKUP(A33,'App dashboard año actual'!A:E,3,0)/VLOOKUP(A33,'App dashboard año actual'!A:E,5,0),"Sin ventas")</f>
        <v>89990</v>
      </c>
      <c r="F33" s="74">
        <v>1.9</v>
      </c>
      <c r="G33" s="74">
        <v>5.6</v>
      </c>
      <c r="H33" s="86">
        <v>46107.0</v>
      </c>
      <c r="I33" s="74">
        <f t="shared" si="1"/>
        <v>26</v>
      </c>
      <c r="J33" s="74">
        <f>VLOOKUP(A33,'Cruce APP Velocidad ultimas 5 s'!A:H,6,0)</f>
        <v>0</v>
      </c>
      <c r="K33" s="74">
        <f>VLOOKUP(A33,'Cruce APP Velocidad ultimas 5 s'!A:H,7,0)</f>
        <v>0</v>
      </c>
      <c r="L33" s="74">
        <f>VLOOKUP(A33,'Cruce APP Velocidad ultimas 5 s'!A:H,8,0)</f>
        <v>0</v>
      </c>
      <c r="M33" s="74">
        <f>VLOOKUP(A33,'Cruce APP Velocidad ultimas 5 s'!A:I,9,0)</f>
        <v>1</v>
      </c>
      <c r="N33" s="74">
        <f>VLOOKUP(A33,'Cruce APP Velocidad ultimas 5 s'!A:J,10,0)</f>
        <v>0</v>
      </c>
      <c r="O33" s="74"/>
      <c r="P33" s="82" t="s">
        <v>426</v>
      </c>
      <c r="Q33" s="79" t="s">
        <v>11</v>
      </c>
      <c r="R33" s="79" t="s">
        <v>13</v>
      </c>
      <c r="S33" s="76"/>
      <c r="T33" s="76"/>
    </row>
    <row r="34">
      <c r="A34" s="16" t="s">
        <v>119</v>
      </c>
      <c r="B34" s="47" t="str">
        <f>VLOOKUP(A34,'Cruce APP Velocidad ultimas 5 s'!A:B,2,0)</f>
        <v>Barra olímpica hexagonal 23 kg</v>
      </c>
      <c r="C34" s="71" t="str">
        <f>VLOOKUP(A34,'App dashboard año actual'!A:I,9,0)</f>
        <v>46,3</v>
      </c>
      <c r="D34" s="72">
        <f>VLOOKUP(A34,'App dashboard año actual'!A:K,11,0)/VLOOKUP(A34,'App dashboard año actual'!A:N,3,0)</f>
        <v>0.007537107198</v>
      </c>
      <c r="E34" s="73">
        <f>IFERROR(VLOOKUP(A34,'App dashboard año actual'!A:E,3,0)/VLOOKUP(A34,'App dashboard año actual'!A:E,5,0),"Sin ventas")</f>
        <v>122562.2353</v>
      </c>
      <c r="F34" s="74">
        <v>1.9</v>
      </c>
      <c r="G34" s="74">
        <v>5.6</v>
      </c>
      <c r="H34" s="86">
        <v>46107.0</v>
      </c>
      <c r="I34" s="74">
        <f t="shared" si="1"/>
        <v>26</v>
      </c>
      <c r="J34" s="74">
        <f>VLOOKUP(A34,'Cruce APP Velocidad ultimas 5 s'!A:H,6,0)</f>
        <v>4</v>
      </c>
      <c r="K34" s="74">
        <f>VLOOKUP(A34,'Cruce APP Velocidad ultimas 5 s'!A:H,7,0)</f>
        <v>1</v>
      </c>
      <c r="L34" s="74">
        <f>VLOOKUP(A34,'Cruce APP Velocidad ultimas 5 s'!A:H,8,0)</f>
        <v>6</v>
      </c>
      <c r="M34" s="74">
        <f>VLOOKUP(A34,'Cruce APP Velocidad ultimas 5 s'!A:I,9,0)</f>
        <v>6</v>
      </c>
      <c r="N34" s="74">
        <f>VLOOKUP(A34,'Cruce APP Velocidad ultimas 5 s'!A:J,10,0)</f>
        <v>0</v>
      </c>
      <c r="O34" s="74"/>
      <c r="P34" s="49" t="s">
        <v>418</v>
      </c>
      <c r="Q34" s="76"/>
      <c r="R34" s="76"/>
      <c r="S34" s="76"/>
      <c r="T34" s="76"/>
    </row>
    <row r="35">
      <c r="A35" s="16" t="s">
        <v>107</v>
      </c>
      <c r="B35" s="47" t="str">
        <f>VLOOKUP(A35,'Cruce APP Velocidad ultimas 5 s'!A:B,2,0)</f>
        <v>Cuchillo Santoku 7 pulgadas acero inoxidable</v>
      </c>
      <c r="C35" s="71" t="str">
        <f>VLOOKUP(A35,'App dashboard año actual'!A:I,9,0)</f>
        <v>-15,58</v>
      </c>
      <c r="D35" s="72">
        <f>VLOOKUP(A35,'App dashboard año actual'!A:K,11,0)/VLOOKUP(A35,'App dashboard año actual'!A:N,3,0)</f>
        <v>0.6551441614</v>
      </c>
      <c r="E35" s="73">
        <f>IFERROR(VLOOKUP(A35,'App dashboard año actual'!A:E,3,0)/VLOOKUP(A35,'App dashboard año actual'!A:E,5,0),"Sin ventas")</f>
        <v>25631</v>
      </c>
      <c r="F35" s="74">
        <v>1.9</v>
      </c>
      <c r="G35" s="74">
        <v>5.6</v>
      </c>
      <c r="H35" s="86">
        <v>46111.0</v>
      </c>
      <c r="I35" s="74">
        <f t="shared" si="1"/>
        <v>22</v>
      </c>
      <c r="J35" s="74">
        <f>VLOOKUP(A35,'Cruce APP Velocidad ultimas 5 s'!A:H,6,0)</f>
        <v>0</v>
      </c>
      <c r="K35" s="74">
        <f>VLOOKUP(A35,'Cruce APP Velocidad ultimas 5 s'!A:H,7,0)</f>
        <v>0</v>
      </c>
      <c r="L35" s="74">
        <f>VLOOKUP(A35,'Cruce APP Velocidad ultimas 5 s'!A:H,8,0)</f>
        <v>0</v>
      </c>
      <c r="M35" s="74">
        <f>VLOOKUP(A35,'Cruce APP Velocidad ultimas 5 s'!A:I,9,0)</f>
        <v>1</v>
      </c>
      <c r="N35" s="74">
        <f>VLOOKUP(A35,'Cruce APP Velocidad ultimas 5 s'!A:J,10,0)</f>
        <v>0</v>
      </c>
      <c r="O35" s="74"/>
      <c r="P35" s="82" t="s">
        <v>424</v>
      </c>
      <c r="Q35" s="79" t="s">
        <v>13</v>
      </c>
      <c r="R35" s="76"/>
      <c r="S35" s="76"/>
      <c r="T35" s="76"/>
    </row>
    <row r="36">
      <c r="A36" s="16" t="s">
        <v>111</v>
      </c>
      <c r="B36" s="47" t="str">
        <f>VLOOKUP(A36,'Cruce APP Velocidad ultimas 5 s'!A:B,2,0)</f>
        <v>Lampara doble Led Aluminio panel touch color negro</v>
      </c>
      <c r="C36" s="71" t="str">
        <f>VLOOKUP(A36,'App dashboard año actual'!A:I,9,0)</f>
        <v>5,91</v>
      </c>
      <c r="D36" s="72">
        <f>VLOOKUP(A36,'App dashboard año actual'!A:K,11,0)/VLOOKUP(A36,'App dashboard año actual'!A:N,3,0)</f>
        <v>0.1982891983</v>
      </c>
      <c r="E36" s="73">
        <f>IFERROR(VLOOKUP(A36,'App dashboard año actual'!A:E,3,0)/VLOOKUP(A36,'App dashboard año actual'!A:E,5,0),"Sin ventas")</f>
        <v>19980</v>
      </c>
      <c r="F36" s="74">
        <v>1.9</v>
      </c>
      <c r="G36" s="74">
        <v>5.6</v>
      </c>
      <c r="H36" s="86">
        <v>46112.0</v>
      </c>
      <c r="I36" s="74">
        <f t="shared" si="1"/>
        <v>21</v>
      </c>
      <c r="J36" s="74">
        <f>VLOOKUP(A36,'Cruce APP Velocidad ultimas 5 s'!A:H,6,0)</f>
        <v>0</v>
      </c>
      <c r="K36" s="74">
        <f>VLOOKUP(A36,'Cruce APP Velocidad ultimas 5 s'!A:H,7,0)</f>
        <v>0</v>
      </c>
      <c r="L36" s="74">
        <f>VLOOKUP(A36,'Cruce APP Velocidad ultimas 5 s'!A:H,8,0)</f>
        <v>6</v>
      </c>
      <c r="M36" s="74">
        <f>VLOOKUP(A36,'Cruce APP Velocidad ultimas 5 s'!A:I,9,0)</f>
        <v>5</v>
      </c>
      <c r="N36" s="74">
        <f>VLOOKUP(A36,'Cruce APP Velocidad ultimas 5 s'!A:J,10,0)</f>
        <v>0</v>
      </c>
      <c r="O36" s="74"/>
      <c r="P36" s="49" t="s">
        <v>418</v>
      </c>
      <c r="Q36" s="76"/>
      <c r="R36" s="76"/>
      <c r="S36" s="76"/>
      <c r="T36" s="76"/>
    </row>
    <row r="37">
      <c r="A37" s="16" t="s">
        <v>104</v>
      </c>
      <c r="B37" s="47" t="str">
        <f>VLOOKUP(A37,'Cruce APP Velocidad ultimas 5 s'!A:B,2,0)</f>
        <v>Almohada Viscoelástica Memory Negra</v>
      </c>
      <c r="C37" s="71" t="str">
        <f>VLOOKUP(A37,'App dashboard año actual'!A:I,9,0)</f>
        <v>3,11</v>
      </c>
      <c r="D37" s="72">
        <f>VLOOKUP(A37,'App dashboard año actual'!A:K,11,0)/VLOOKUP(A37,'App dashboard año actual'!A:N,3,0)</f>
        <v>0.3675392929</v>
      </c>
      <c r="E37" s="73">
        <f>IFERROR(VLOOKUP(A37,'App dashboard año actual'!A:E,3,0)/VLOOKUP(A37,'App dashboard año actual'!A:E,5,0),"Sin ventas")</f>
        <v>25597.26316</v>
      </c>
      <c r="F37" s="74">
        <v>1.9</v>
      </c>
      <c r="G37" s="74">
        <v>5.6</v>
      </c>
      <c r="H37" s="86">
        <v>46112.0</v>
      </c>
      <c r="I37" s="74">
        <f t="shared" si="1"/>
        <v>21</v>
      </c>
      <c r="J37" s="74">
        <f>VLOOKUP(A37,'Cruce APP Velocidad ultimas 5 s'!A:H,6,0)</f>
        <v>0</v>
      </c>
      <c r="K37" s="74">
        <f>VLOOKUP(A37,'Cruce APP Velocidad ultimas 5 s'!A:H,7,0)</f>
        <v>3</v>
      </c>
      <c r="L37" s="74">
        <f>VLOOKUP(A37,'Cruce APP Velocidad ultimas 5 s'!A:H,8,0)</f>
        <v>7</v>
      </c>
      <c r="M37" s="74">
        <f>VLOOKUP(A37,'Cruce APP Velocidad ultimas 5 s'!A:I,9,0)</f>
        <v>9</v>
      </c>
      <c r="N37" s="74">
        <f>VLOOKUP(A37,'Cruce APP Velocidad ultimas 5 s'!A:J,10,0)</f>
        <v>0</v>
      </c>
      <c r="O37" s="74"/>
      <c r="P37" s="49" t="s">
        <v>418</v>
      </c>
      <c r="Q37" s="76"/>
      <c r="R37" s="76"/>
      <c r="S37" s="76"/>
      <c r="T37" s="76"/>
    </row>
    <row r="38">
      <c r="A38" s="16" t="s">
        <v>105</v>
      </c>
      <c r="B38" s="47" t="str">
        <f>VLOOKUP(A38,'Cruce APP Velocidad ultimas 5 s'!A:B,2,0)</f>
        <v>Pack ukelele caoba Ibrah Music + Funda + Accesorios</v>
      </c>
      <c r="C38" s="71" t="str">
        <f>VLOOKUP(A38,'App dashboard año actual'!A:I,9,0)</f>
        <v>17,75</v>
      </c>
      <c r="D38" s="72">
        <f>VLOOKUP(A38,'App dashboard año actual'!A:K,11,0)/VLOOKUP(A38,'App dashboard año actual'!A:N,3,0)</f>
        <v>0.2286575606</v>
      </c>
      <c r="E38" s="73">
        <f>IFERROR(VLOOKUP(A38,'App dashboard año actual'!A:E,3,0)/VLOOKUP(A38,'App dashboard año actual'!A:E,5,0),"Sin ventas")</f>
        <v>39916.55556</v>
      </c>
      <c r="F38" s="74">
        <v>1.9</v>
      </c>
      <c r="G38" s="74">
        <v>5.6</v>
      </c>
      <c r="H38" s="86">
        <v>46112.0</v>
      </c>
      <c r="I38" s="74">
        <f t="shared" si="1"/>
        <v>21</v>
      </c>
      <c r="J38" s="74">
        <f>VLOOKUP(A38,'Cruce APP Velocidad ultimas 5 s'!A:H,6,0)</f>
        <v>0</v>
      </c>
      <c r="K38" s="74">
        <f>VLOOKUP(A38,'Cruce APP Velocidad ultimas 5 s'!A:H,7,0)</f>
        <v>0</v>
      </c>
      <c r="L38" s="74">
        <f>VLOOKUP(A38,'Cruce APP Velocidad ultimas 5 s'!A:H,8,0)</f>
        <v>6</v>
      </c>
      <c r="M38" s="74">
        <f>VLOOKUP(A38,'Cruce APP Velocidad ultimas 5 s'!A:I,9,0)</f>
        <v>2</v>
      </c>
      <c r="N38" s="74">
        <f>VLOOKUP(A38,'Cruce APP Velocidad ultimas 5 s'!A:J,10,0)</f>
        <v>1</v>
      </c>
      <c r="O38" s="74"/>
      <c r="P38" s="49" t="s">
        <v>418</v>
      </c>
      <c r="Q38" s="76"/>
      <c r="R38" s="76"/>
      <c r="S38" s="76"/>
      <c r="T38" s="76"/>
    </row>
    <row r="39">
      <c r="A39" s="16" t="s">
        <v>106</v>
      </c>
      <c r="B39" s="47" t="str">
        <f>VLOOKUP(A39,'Cruce APP Velocidad ultimas 5 s'!A:B,2,0)</f>
        <v>Silla De Ruedas Adulto Mayor Plegable</v>
      </c>
      <c r="C39" s="71" t="str">
        <f>VLOOKUP(A39,'App dashboard año actual'!A:I,9,0)</f>
        <v>45,96</v>
      </c>
      <c r="D39" s="72">
        <f>VLOOKUP(A39,'App dashboard año actual'!A:K,11,0)/VLOOKUP(A39,'App dashboard año actual'!A:N,3,0)</f>
        <v>0.001168288026</v>
      </c>
      <c r="E39" s="73">
        <f>IFERROR(VLOOKUP(A39,'App dashboard año actual'!A:E,3,0)/VLOOKUP(A39,'App dashboard año actual'!A:E,5,0),"Sin ventas")</f>
        <v>109990</v>
      </c>
      <c r="F39" s="74">
        <v>1.9</v>
      </c>
      <c r="G39" s="74">
        <v>5.6</v>
      </c>
      <c r="H39" s="86">
        <v>46112.0</v>
      </c>
      <c r="I39" s="74">
        <f t="shared" si="1"/>
        <v>21</v>
      </c>
      <c r="J39" s="74">
        <f>VLOOKUP(A39,'Cruce APP Velocidad ultimas 5 s'!A:H,6,0)</f>
        <v>0</v>
      </c>
      <c r="K39" s="74">
        <f>VLOOKUP(A39,'Cruce APP Velocidad ultimas 5 s'!A:H,7,0)</f>
        <v>0</v>
      </c>
      <c r="L39" s="74">
        <f>VLOOKUP(A39,'Cruce APP Velocidad ultimas 5 s'!A:H,8,0)</f>
        <v>2</v>
      </c>
      <c r="M39" s="74">
        <f>VLOOKUP(A39,'Cruce APP Velocidad ultimas 5 s'!A:I,9,0)</f>
        <v>0</v>
      </c>
      <c r="N39" s="74">
        <f>VLOOKUP(A39,'Cruce APP Velocidad ultimas 5 s'!A:J,10,0)</f>
        <v>0</v>
      </c>
      <c r="O39" s="74"/>
      <c r="P39" s="87" t="s">
        <v>427</v>
      </c>
      <c r="Q39" s="79" t="s">
        <v>14</v>
      </c>
      <c r="R39" s="76"/>
      <c r="S39" s="76"/>
      <c r="T39" s="76"/>
    </row>
    <row r="40">
      <c r="A40" s="16" t="s">
        <v>99</v>
      </c>
      <c r="B40" s="47" t="str">
        <f>VLOOKUP(A40,'Cruce APP Velocidad ultimas 5 s'!A:B,2,0)</f>
        <v>Calienta camas 2 plazas 160 x 150 cm dual</v>
      </c>
      <c r="C40" s="71" t="str">
        <f>VLOOKUP(A40,'App dashboard año actual'!A:I,9,0)</f>
        <v>31,59</v>
      </c>
      <c r="D40" s="72">
        <f>VLOOKUP(A40,'App dashboard año actual'!A:K,11,0)/VLOOKUP(A40,'App dashboard año actual'!A:N,3,0)</f>
        <v>0.1244438639</v>
      </c>
      <c r="E40" s="73">
        <f>IFERROR(VLOOKUP(A40,'App dashboard año actual'!A:E,3,0)/VLOOKUP(A40,'App dashboard año actual'!A:E,5,0),"Sin ventas")</f>
        <v>50340.57576</v>
      </c>
      <c r="F40" s="74">
        <v>1.9</v>
      </c>
      <c r="G40" s="74">
        <v>5.6</v>
      </c>
      <c r="H40" s="86">
        <v>46112.0</v>
      </c>
      <c r="I40" s="74">
        <f t="shared" si="1"/>
        <v>21</v>
      </c>
      <c r="J40" s="74">
        <f>VLOOKUP(A40,'Cruce APP Velocidad ultimas 5 s'!A:H,6,0)</f>
        <v>0</v>
      </c>
      <c r="K40" s="74">
        <f>VLOOKUP(A40,'Cruce APP Velocidad ultimas 5 s'!A:H,7,0)</f>
        <v>0</v>
      </c>
      <c r="L40" s="74">
        <f>VLOOKUP(A40,'Cruce APP Velocidad ultimas 5 s'!A:H,8,0)</f>
        <v>6</v>
      </c>
      <c r="M40" s="74">
        <f>VLOOKUP(A40,'Cruce APP Velocidad ultimas 5 s'!A:I,9,0)</f>
        <v>25</v>
      </c>
      <c r="N40" s="74">
        <f>VLOOKUP(A40,'Cruce APP Velocidad ultimas 5 s'!A:J,10,0)</f>
        <v>2</v>
      </c>
      <c r="O40" s="74"/>
      <c r="P40" s="49" t="s">
        <v>418</v>
      </c>
      <c r="Q40" s="76"/>
      <c r="R40" s="76"/>
      <c r="S40" s="76"/>
      <c r="T40" s="76"/>
    </row>
    <row r="41">
      <c r="A41" s="16" t="s">
        <v>100</v>
      </c>
      <c r="B41" s="47" t="str">
        <f>VLOOKUP(A41,'Cruce APP Velocidad ultimas 5 s'!A:B,2,0)</f>
        <v>Calienta camas king 180 x 200 cm dual</v>
      </c>
      <c r="C41" s="71" t="str">
        <f>VLOOKUP(A41,'App dashboard año actual'!A:I,9,0)</f>
        <v>58,69</v>
      </c>
      <c r="D41" s="72">
        <f>VLOOKUP(A41,'App dashboard año actual'!A:K,11,0)/VLOOKUP(A41,'App dashboard año actual'!A:N,3,0)</f>
        <v>0.02942749487</v>
      </c>
      <c r="E41" s="73">
        <f>IFERROR(VLOOKUP(A41,'App dashboard año actual'!A:E,3,0)/VLOOKUP(A41,'App dashboard año actual'!A:E,5,0),"Sin ventas")</f>
        <v>100433.2857</v>
      </c>
      <c r="F41" s="74">
        <v>1.9</v>
      </c>
      <c r="G41" s="74">
        <v>5.6</v>
      </c>
      <c r="H41" s="86">
        <v>46112.0</v>
      </c>
      <c r="I41" s="74">
        <f t="shared" si="1"/>
        <v>21</v>
      </c>
      <c r="J41" s="74">
        <f>VLOOKUP(A41,'Cruce APP Velocidad ultimas 5 s'!A:H,6,0)</f>
        <v>0</v>
      </c>
      <c r="K41" s="74">
        <f>VLOOKUP(A41,'Cruce APP Velocidad ultimas 5 s'!A:H,7,0)</f>
        <v>4</v>
      </c>
      <c r="L41" s="74">
        <f>VLOOKUP(A41,'Cruce APP Velocidad ultimas 5 s'!A:H,8,0)</f>
        <v>6</v>
      </c>
      <c r="M41" s="74">
        <f>VLOOKUP(A41,'Cruce APP Velocidad ultimas 5 s'!A:I,9,0)</f>
        <v>3</v>
      </c>
      <c r="N41" s="74">
        <f>VLOOKUP(A41,'Cruce APP Velocidad ultimas 5 s'!A:J,10,0)</f>
        <v>1</v>
      </c>
      <c r="O41" s="74"/>
      <c r="P41" s="49" t="s">
        <v>418</v>
      </c>
      <c r="Q41" s="76"/>
      <c r="R41" s="76"/>
      <c r="S41" s="76"/>
      <c r="T41" s="76"/>
    </row>
    <row r="42">
      <c r="A42" s="16" t="s">
        <v>108</v>
      </c>
      <c r="B42" s="47" t="str">
        <f>VLOOKUP(A42,'Cruce APP Velocidad ultimas 5 s'!A:B,2,0)</f>
        <v>Mat de yoga TPE grosor 0.8mm Overfit con líneas guía bicolor</v>
      </c>
      <c r="C42" s="71" t="str">
        <f>VLOOKUP(A42,'App dashboard año actual'!A:I,9,0)</f>
        <v>38,18</v>
      </c>
      <c r="D42" s="72">
        <f>VLOOKUP(A42,'App dashboard año actual'!A:K,11,0)/VLOOKUP(A42,'App dashboard año actual'!A:N,3,0)</f>
        <v>0.04618492475</v>
      </c>
      <c r="E42" s="73">
        <f>IFERROR(VLOOKUP(A42,'App dashboard año actual'!A:E,3,0)/VLOOKUP(A42,'App dashboard año actual'!A:E,5,0),"Sin ventas")</f>
        <v>18528</v>
      </c>
      <c r="F42" s="74">
        <v>1.9</v>
      </c>
      <c r="G42" s="74">
        <v>5.6</v>
      </c>
      <c r="H42" s="86">
        <v>46113.0</v>
      </c>
      <c r="I42" s="74">
        <f t="shared" si="1"/>
        <v>20</v>
      </c>
      <c r="J42" s="74">
        <f>VLOOKUP(A42,'Cruce APP Velocidad ultimas 5 s'!A:H,6,0)</f>
        <v>0</v>
      </c>
      <c r="K42" s="74">
        <f>VLOOKUP(A42,'Cruce APP Velocidad ultimas 5 s'!A:H,7,0)</f>
        <v>0</v>
      </c>
      <c r="L42" s="74">
        <f>VLOOKUP(A42,'Cruce APP Velocidad ultimas 5 s'!A:H,8,0)</f>
        <v>1</v>
      </c>
      <c r="M42" s="74">
        <f>VLOOKUP(A42,'Cruce APP Velocidad ultimas 5 s'!A:I,9,0)</f>
        <v>6</v>
      </c>
      <c r="N42" s="74">
        <f>VLOOKUP(A42,'Cruce APP Velocidad ultimas 5 s'!A:J,10,0)</f>
        <v>0</v>
      </c>
      <c r="O42" s="74"/>
      <c r="P42" s="49" t="s">
        <v>418</v>
      </c>
      <c r="Q42" s="76"/>
      <c r="R42" s="76"/>
      <c r="S42" s="76"/>
      <c r="T42" s="76"/>
    </row>
    <row r="43">
      <c r="A43" s="16" t="s">
        <v>110</v>
      </c>
      <c r="B43" s="47" t="str">
        <f>VLOOKUP(A43,'Cruce APP Velocidad ultimas 5 s'!A:B,2,0)</f>
        <v>Mat de yoga NBR grosor 15mm unicolor rosado</v>
      </c>
      <c r="C43" s="71" t="str">
        <f>VLOOKUP(A43,'App dashboard año actual'!A:I,9,0)</f>
        <v>22,61</v>
      </c>
      <c r="D43" s="72">
        <f>VLOOKUP(A43,'App dashboard año actual'!A:K,11,0)/VLOOKUP(A43,'App dashboard año actual'!A:N,3,0)</f>
        <v>0.2169184821</v>
      </c>
      <c r="E43" s="73">
        <f>IFERROR(VLOOKUP(A43,'App dashboard año actual'!A:E,3,0)/VLOOKUP(A43,'App dashboard año actual'!A:E,5,0),"Sin ventas")</f>
        <v>19735.11765</v>
      </c>
      <c r="F43" s="74">
        <v>1.9</v>
      </c>
      <c r="G43" s="74">
        <v>5.6</v>
      </c>
      <c r="H43" s="86">
        <v>46114.0</v>
      </c>
      <c r="I43" s="74">
        <f t="shared" si="1"/>
        <v>19</v>
      </c>
      <c r="J43" s="74">
        <f>VLOOKUP(A43,'Cruce APP Velocidad ultimas 5 s'!A:H,6,0)</f>
        <v>0</v>
      </c>
      <c r="K43" s="74">
        <f>VLOOKUP(A43,'Cruce APP Velocidad ultimas 5 s'!A:H,7,0)</f>
        <v>6</v>
      </c>
      <c r="L43" s="74">
        <f>VLOOKUP(A43,'Cruce APP Velocidad ultimas 5 s'!A:H,8,0)</f>
        <v>11</v>
      </c>
      <c r="M43" s="74">
        <f>VLOOKUP(A43,'Cruce APP Velocidad ultimas 5 s'!A:I,9,0)</f>
        <v>15</v>
      </c>
      <c r="N43" s="74">
        <f>VLOOKUP(A43,'Cruce APP Velocidad ultimas 5 s'!A:J,10,0)</f>
        <v>2</v>
      </c>
      <c r="O43" s="74"/>
      <c r="P43" s="49" t="s">
        <v>418</v>
      </c>
      <c r="Q43" s="76"/>
      <c r="R43" s="76"/>
      <c r="S43" s="76"/>
      <c r="T43" s="76"/>
    </row>
    <row r="44">
      <c r="A44" s="16" t="s">
        <v>101</v>
      </c>
      <c r="B44" s="47" t="str">
        <f>VLOOKUP(A44,'Cruce APP Velocidad ultimas 5 s'!A:B,2,0)</f>
        <v>Kit glucómetro + 10 tiras + 10 lancetas + estuche Howell</v>
      </c>
      <c r="C44" s="71" t="str">
        <f>VLOOKUP(A44,'App dashboard año actual'!A:I,9,0)</f>
        <v>-7,78</v>
      </c>
      <c r="D44" s="72">
        <f>VLOOKUP(A44,'App dashboard año actual'!A:K,11,0)/VLOOKUP(A44,'App dashboard año actual'!A:N,3,0)</f>
        <v>0.4033432426</v>
      </c>
      <c r="E44" s="73">
        <f>IFERROR(VLOOKUP(A44,'App dashboard año actual'!A:E,3,0)/VLOOKUP(A44,'App dashboard año actual'!A:E,5,0),"Sin ventas")</f>
        <v>16819.23077</v>
      </c>
      <c r="F44" s="74">
        <v>1.9</v>
      </c>
      <c r="G44" s="74">
        <v>5.6</v>
      </c>
      <c r="H44" s="86">
        <v>46115.0</v>
      </c>
      <c r="I44" s="74">
        <f t="shared" si="1"/>
        <v>18</v>
      </c>
      <c r="J44" s="74">
        <f>VLOOKUP(A44,'Cruce APP Velocidad ultimas 5 s'!A:H,6,0)</f>
        <v>0</v>
      </c>
      <c r="K44" s="74">
        <f>VLOOKUP(A44,'Cruce APP Velocidad ultimas 5 s'!A:H,7,0)</f>
        <v>0</v>
      </c>
      <c r="L44" s="74">
        <f>VLOOKUP(A44,'Cruce APP Velocidad ultimas 5 s'!A:H,8,0)</f>
        <v>0</v>
      </c>
      <c r="M44" s="74">
        <f>VLOOKUP(A44,'Cruce APP Velocidad ultimas 5 s'!A:I,9,0)</f>
        <v>9</v>
      </c>
      <c r="N44" s="74">
        <f>VLOOKUP(A44,'Cruce APP Velocidad ultimas 5 s'!A:J,10,0)</f>
        <v>4</v>
      </c>
      <c r="O44" s="74"/>
      <c r="P44" s="49" t="s">
        <v>418</v>
      </c>
      <c r="Q44" s="76"/>
      <c r="R44" s="76"/>
      <c r="S44" s="76"/>
      <c r="T44" s="76"/>
    </row>
    <row r="45">
      <c r="A45" s="16" t="s">
        <v>103</v>
      </c>
      <c r="B45" s="47" t="str">
        <f>VLOOKUP(A45,'Cruce APP Velocidad ultimas 5 s'!A:B,2,0)</f>
        <v>Pack 50 Tiras Reactivas glucómetro Howell</v>
      </c>
      <c r="C45" s="71" t="str">
        <f>VLOOKUP(A45,'App dashboard año actual'!A:I,9,0)</f>
        <v>38,24</v>
      </c>
      <c r="D45" s="72">
        <f>VLOOKUP(A45,'App dashboard año actual'!A:K,11,0)/VLOOKUP(A45,'App dashboard año actual'!A:N,3,0)</f>
        <v>0.1402618525</v>
      </c>
      <c r="E45" s="73">
        <f>IFERROR(VLOOKUP(A45,'App dashboard año actual'!A:E,3,0)/VLOOKUP(A45,'App dashboard año actual'!A:E,5,0),"Sin ventas")</f>
        <v>12297</v>
      </c>
      <c r="F45" s="74">
        <v>1.9</v>
      </c>
      <c r="G45" s="74">
        <v>5.6</v>
      </c>
      <c r="H45" s="86">
        <v>46116.0</v>
      </c>
      <c r="I45" s="74">
        <f t="shared" si="1"/>
        <v>17</v>
      </c>
      <c r="J45" s="74">
        <f>VLOOKUP(A45,'Cruce APP Velocidad ultimas 5 s'!A:H,6,0)</f>
        <v>0</v>
      </c>
      <c r="K45" s="74">
        <f>VLOOKUP(A45,'Cruce APP Velocidad ultimas 5 s'!A:H,7,0)</f>
        <v>0</v>
      </c>
      <c r="L45" s="74">
        <f>VLOOKUP(A45,'Cruce APP Velocidad ultimas 5 s'!A:H,8,0)</f>
        <v>0</v>
      </c>
      <c r="M45" s="74">
        <f>VLOOKUP(A45,'Cruce APP Velocidad ultimas 5 s'!A:I,9,0)</f>
        <v>4</v>
      </c>
      <c r="N45" s="74">
        <f>VLOOKUP(A45,'Cruce APP Velocidad ultimas 5 s'!A:J,10,0)</f>
        <v>1</v>
      </c>
      <c r="O45" s="74"/>
      <c r="P45" s="19" t="s">
        <v>428</v>
      </c>
      <c r="Q45" s="76"/>
      <c r="R45" s="76"/>
      <c r="S45" s="76"/>
      <c r="T45" s="76"/>
    </row>
    <row r="46">
      <c r="A46" s="16" t="s">
        <v>102</v>
      </c>
      <c r="B46" s="47" t="str">
        <f>VLOOKUP(A46,'Cruce APP Velocidad ultimas 5 s'!A:B,2,0)</f>
        <v>Pack 50 Lancetas glucómetro Howell</v>
      </c>
      <c r="C46" s="71" t="str">
        <f>VLOOKUP(A46,'App dashboard año actual'!A:I,9,0)</f>
        <v>26,7</v>
      </c>
      <c r="D46" s="72">
        <f>VLOOKUP(A46,'App dashboard año actual'!A:K,11,0)/VLOOKUP(A46,'App dashboard año actual'!A:N,3,0)</f>
        <v>0.25839599</v>
      </c>
      <c r="E46" s="73">
        <f>IFERROR(VLOOKUP(A46,'App dashboard año actual'!A:E,3,0)/VLOOKUP(A46,'App dashboard año actual'!A:E,5,0),"Sin ventas")</f>
        <v>3990</v>
      </c>
      <c r="F46" s="74">
        <v>1.9</v>
      </c>
      <c r="G46" s="74">
        <v>5.6</v>
      </c>
      <c r="H46" s="86">
        <v>46117.0</v>
      </c>
      <c r="I46" s="74">
        <f t="shared" si="1"/>
        <v>16</v>
      </c>
      <c r="J46" s="74">
        <f>VLOOKUP(A46,'Cruce APP Velocidad ultimas 5 s'!A:H,6,0)</f>
        <v>0</v>
      </c>
      <c r="K46" s="74">
        <f>VLOOKUP(A46,'Cruce APP Velocidad ultimas 5 s'!A:H,7,0)</f>
        <v>0</v>
      </c>
      <c r="L46" s="74">
        <f>VLOOKUP(A46,'Cruce APP Velocidad ultimas 5 s'!A:H,8,0)</f>
        <v>0</v>
      </c>
      <c r="M46" s="74">
        <f>VLOOKUP(A46,'Cruce APP Velocidad ultimas 5 s'!A:I,9,0)</f>
        <v>1</v>
      </c>
      <c r="N46" s="74">
        <f>VLOOKUP(A46,'Cruce APP Velocidad ultimas 5 s'!A:J,10,0)</f>
        <v>1</v>
      </c>
      <c r="O46" s="74"/>
      <c r="P46" s="19" t="s">
        <v>428</v>
      </c>
      <c r="Q46" s="76"/>
      <c r="R46" s="76"/>
      <c r="S46" s="76"/>
      <c r="T46" s="76"/>
    </row>
    <row r="47">
      <c r="A47" s="16" t="s">
        <v>113</v>
      </c>
      <c r="B47" s="47" t="str">
        <f>VLOOKUP(A47,'Cruce APP Velocidad ultimas 5 s'!A:B,2,0)</f>
        <v>Masajeador de compresión de piernas bota inalámbrica</v>
      </c>
      <c r="C47" s="71" t="str">
        <f>VLOOKUP(A47,'App dashboard año actual'!A:I,9,0)</f>
        <v>35,34</v>
      </c>
      <c r="D47" s="72">
        <f>VLOOKUP(A47,'App dashboard año actual'!A:K,11,0)/VLOOKUP(A47,'App dashboard año actual'!A:N,3,0)</f>
        <v>0.1097741341</v>
      </c>
      <c r="E47" s="73">
        <f>IFERROR(VLOOKUP(A47,'App dashboard año actual'!A:E,3,0)/VLOOKUP(A47,'App dashboard año actual'!A:E,5,0),"Sin ventas")</f>
        <v>88996.375</v>
      </c>
      <c r="F47" s="74">
        <v>1.9</v>
      </c>
      <c r="G47" s="74">
        <v>5.6</v>
      </c>
      <c r="H47" s="86">
        <v>46118.0</v>
      </c>
      <c r="I47" s="74">
        <f t="shared" si="1"/>
        <v>15</v>
      </c>
      <c r="J47" s="74">
        <f>VLOOKUP(A47,'Cruce APP Velocidad ultimas 5 s'!A:H,6,0)</f>
        <v>0</v>
      </c>
      <c r="K47" s="74">
        <f>VLOOKUP(A47,'Cruce APP Velocidad ultimas 5 s'!A:H,7,0)</f>
        <v>2</v>
      </c>
      <c r="L47" s="74">
        <f>VLOOKUP(A47,'Cruce APP Velocidad ultimas 5 s'!A:H,8,0)</f>
        <v>1</v>
      </c>
      <c r="M47" s="74">
        <f>VLOOKUP(A47,'Cruce APP Velocidad ultimas 5 s'!A:I,9,0)</f>
        <v>5</v>
      </c>
      <c r="N47" s="74">
        <f>VLOOKUP(A47,'Cruce APP Velocidad ultimas 5 s'!A:J,10,0)</f>
        <v>0</v>
      </c>
      <c r="O47" s="74"/>
      <c r="P47" s="87" t="s">
        <v>429</v>
      </c>
      <c r="Q47" s="79" t="s">
        <v>7</v>
      </c>
      <c r="R47" s="76"/>
      <c r="S47" s="76"/>
      <c r="T47" s="76"/>
    </row>
    <row r="48">
      <c r="A48" s="16" t="s">
        <v>112</v>
      </c>
      <c r="B48" s="47" t="str">
        <f>VLOOKUP(A48,'Cruce APP Velocidad ultimas 5 s'!A:B,2,0)</f>
        <v>Tiras Nasales Parche dilatador 30 unidades</v>
      </c>
      <c r="C48" s="71" t="str">
        <f>VLOOKUP(A48,'App dashboard año actual'!A:I,9,0)</f>
        <v>-46,44</v>
      </c>
      <c r="D48" s="72">
        <f>VLOOKUP(A48,'App dashboard año actual'!A:K,11,0)/VLOOKUP(A48,'App dashboard año actual'!A:N,3,0)</f>
        <v>1.059131649</v>
      </c>
      <c r="E48" s="73">
        <f>IFERROR(VLOOKUP(A48,'App dashboard año actual'!A:E,3,0)/VLOOKUP(A48,'App dashboard año actual'!A:E,5,0),"Sin ventas")</f>
        <v>17182</v>
      </c>
      <c r="F48" s="74">
        <v>1.9</v>
      </c>
      <c r="G48" s="74">
        <v>5.6</v>
      </c>
      <c r="H48" s="86">
        <v>46119.0</v>
      </c>
      <c r="I48" s="74">
        <f t="shared" si="1"/>
        <v>14</v>
      </c>
      <c r="J48" s="74">
        <f>VLOOKUP(A48,'Cruce APP Velocidad ultimas 5 s'!A:H,6,0)</f>
        <v>0</v>
      </c>
      <c r="K48" s="74">
        <f>VLOOKUP(A48,'Cruce APP Velocidad ultimas 5 s'!A:H,7,0)</f>
        <v>0</v>
      </c>
      <c r="L48" s="74">
        <f>VLOOKUP(A48,'Cruce APP Velocidad ultimas 5 s'!A:H,8,0)</f>
        <v>0</v>
      </c>
      <c r="M48" s="74">
        <f>VLOOKUP(A48,'Cruce APP Velocidad ultimas 5 s'!A:I,9,0)</f>
        <v>1</v>
      </c>
      <c r="N48" s="74">
        <f>VLOOKUP(A48,'Cruce APP Velocidad ultimas 5 s'!A:J,10,0)</f>
        <v>1</v>
      </c>
      <c r="O48" s="74"/>
      <c r="P48" s="82" t="s">
        <v>424</v>
      </c>
      <c r="Q48" s="79" t="s">
        <v>13</v>
      </c>
      <c r="R48" s="76"/>
      <c r="S48" s="76"/>
      <c r="T48" s="76"/>
    </row>
    <row r="49">
      <c r="A49" s="16" t="s">
        <v>109</v>
      </c>
      <c r="B49" s="47" t="str">
        <f>VLOOKUP(A49,'Cruce APP Velocidad ultimas 5 s'!A:B,2,0)</f>
        <v>Cuchillo Chef Profesional 18 Cm Fervora Cocina Acero Inox</v>
      </c>
      <c r="C49" s="71" t="str">
        <f>VLOOKUP(A49,'App dashboard año actual'!A:I,9,0)</f>
        <v>28,58</v>
      </c>
      <c r="D49" s="72">
        <f>VLOOKUP(A49,'App dashboard año actual'!A:K,11,0)/VLOOKUP(A49,'App dashboard año actual'!A:N,3,0)</f>
        <v>0.2561900792</v>
      </c>
      <c r="E49" s="73">
        <f>IFERROR(VLOOKUP(A49,'App dashboard año actual'!A:E,3,0)/VLOOKUP(A49,'App dashboard año actual'!A:E,5,0),"Sin ventas")</f>
        <v>23990</v>
      </c>
      <c r="F49" s="74">
        <v>1.9</v>
      </c>
      <c r="G49" s="74">
        <v>5.6</v>
      </c>
      <c r="H49" s="86">
        <v>46120.0</v>
      </c>
      <c r="I49" s="74">
        <f t="shared" si="1"/>
        <v>13</v>
      </c>
      <c r="J49" s="74">
        <f>VLOOKUP(A49,'Cruce APP Velocidad ultimas 5 s'!A:H,6,0)</f>
        <v>0</v>
      </c>
      <c r="K49" s="74">
        <f>VLOOKUP(A49,'Cruce APP Velocidad ultimas 5 s'!A:H,7,0)</f>
        <v>0</v>
      </c>
      <c r="L49" s="74">
        <f>VLOOKUP(A49,'Cruce APP Velocidad ultimas 5 s'!A:H,8,0)</f>
        <v>2</v>
      </c>
      <c r="M49" s="74">
        <f>VLOOKUP(A49,'Cruce APP Velocidad ultimas 5 s'!A:I,9,0)</f>
        <v>2</v>
      </c>
      <c r="N49" s="74">
        <f>VLOOKUP(A49,'Cruce APP Velocidad ultimas 5 s'!A:J,10,0)</f>
        <v>0</v>
      </c>
      <c r="O49" s="74"/>
      <c r="P49" s="19" t="s">
        <v>430</v>
      </c>
      <c r="Q49" s="76"/>
      <c r="R49" s="76"/>
      <c r="S49" s="76"/>
      <c r="T49" s="76"/>
    </row>
    <row r="50">
      <c r="D50" s="88"/>
      <c r="E50" s="89"/>
    </row>
    <row r="51">
      <c r="D51" s="88"/>
      <c r="E51" s="89"/>
    </row>
    <row r="52">
      <c r="D52" s="88"/>
      <c r="E52" s="89"/>
    </row>
    <row r="53">
      <c r="D53" s="88"/>
      <c r="E53" s="89"/>
    </row>
    <row r="54">
      <c r="D54" s="88"/>
      <c r="E54" s="89"/>
    </row>
    <row r="55">
      <c r="D55" s="88"/>
      <c r="E55" s="89"/>
    </row>
    <row r="56">
      <c r="D56" s="88"/>
      <c r="E56" s="89"/>
    </row>
    <row r="57">
      <c r="D57" s="88"/>
      <c r="E57" s="89"/>
    </row>
    <row r="58">
      <c r="D58" s="88"/>
      <c r="E58" s="89"/>
    </row>
    <row r="59">
      <c r="D59" s="88"/>
      <c r="E59" s="89"/>
    </row>
    <row r="60">
      <c r="D60" s="88"/>
      <c r="E60" s="89"/>
    </row>
    <row r="61">
      <c r="D61" s="88"/>
      <c r="E61" s="89"/>
    </row>
    <row r="62">
      <c r="D62" s="88"/>
      <c r="E62" s="89"/>
    </row>
    <row r="63">
      <c r="D63" s="88"/>
      <c r="E63" s="89"/>
    </row>
    <row r="64">
      <c r="D64" s="88"/>
      <c r="E64" s="89"/>
    </row>
    <row r="65">
      <c r="D65" s="88"/>
      <c r="E65" s="89"/>
    </row>
    <row r="66">
      <c r="D66" s="88"/>
      <c r="E66" s="89"/>
    </row>
    <row r="67">
      <c r="D67" s="88"/>
      <c r="E67" s="89"/>
    </row>
    <row r="68">
      <c r="D68" s="88"/>
      <c r="E68" s="89"/>
    </row>
    <row r="69">
      <c r="D69" s="88"/>
      <c r="E69" s="89"/>
    </row>
    <row r="70">
      <c r="D70" s="88"/>
      <c r="E70" s="89"/>
    </row>
    <row r="71">
      <c r="D71" s="88"/>
      <c r="E71" s="89"/>
    </row>
    <row r="72">
      <c r="D72" s="88"/>
      <c r="E72" s="89"/>
    </row>
    <row r="73">
      <c r="D73" s="88"/>
      <c r="E73" s="89"/>
    </row>
    <row r="74">
      <c r="D74" s="88"/>
      <c r="E74" s="89"/>
    </row>
    <row r="75">
      <c r="D75" s="88"/>
      <c r="E75" s="89"/>
    </row>
    <row r="76">
      <c r="D76" s="88"/>
      <c r="E76" s="89"/>
    </row>
    <row r="77">
      <c r="D77" s="88"/>
      <c r="E77" s="89"/>
    </row>
    <row r="78">
      <c r="D78" s="88"/>
      <c r="E78" s="89"/>
    </row>
    <row r="79">
      <c r="D79" s="88"/>
      <c r="E79" s="89"/>
    </row>
    <row r="80">
      <c r="D80" s="88"/>
      <c r="E80" s="89"/>
    </row>
    <row r="81">
      <c r="D81" s="88"/>
      <c r="E81" s="89"/>
    </row>
    <row r="82">
      <c r="D82" s="88"/>
      <c r="E82" s="89"/>
    </row>
    <row r="83">
      <c r="D83" s="88"/>
      <c r="E83" s="89"/>
    </row>
    <row r="84">
      <c r="D84" s="88"/>
      <c r="E84" s="89"/>
    </row>
    <row r="85">
      <c r="D85" s="88"/>
      <c r="E85" s="89"/>
    </row>
    <row r="86">
      <c r="D86" s="88"/>
      <c r="E86" s="89"/>
    </row>
    <row r="87">
      <c r="D87" s="88"/>
      <c r="E87" s="89"/>
    </row>
    <row r="88">
      <c r="D88" s="88"/>
      <c r="E88" s="89"/>
    </row>
    <row r="89">
      <c r="D89" s="88"/>
      <c r="E89" s="89"/>
    </row>
    <row r="90">
      <c r="D90" s="88"/>
      <c r="E90" s="89"/>
    </row>
    <row r="91">
      <c r="D91" s="88"/>
      <c r="E91" s="89"/>
    </row>
    <row r="92">
      <c r="D92" s="88"/>
      <c r="E92" s="89"/>
    </row>
    <row r="93">
      <c r="D93" s="88"/>
      <c r="E93" s="89"/>
    </row>
    <row r="94">
      <c r="D94" s="88"/>
      <c r="E94" s="89"/>
    </row>
    <row r="95">
      <c r="D95" s="88"/>
      <c r="E95" s="89"/>
    </row>
    <row r="96">
      <c r="D96" s="88"/>
      <c r="E96" s="89"/>
    </row>
    <row r="97">
      <c r="D97" s="88"/>
      <c r="E97" s="89"/>
    </row>
    <row r="98">
      <c r="D98" s="88"/>
      <c r="E98" s="89"/>
    </row>
    <row r="99">
      <c r="D99" s="88"/>
      <c r="E99" s="89"/>
    </row>
    <row r="100">
      <c r="D100" s="88"/>
      <c r="E100" s="89"/>
    </row>
    <row r="101">
      <c r="D101" s="88"/>
      <c r="E101" s="89"/>
    </row>
    <row r="102">
      <c r="D102" s="88"/>
      <c r="E102" s="89"/>
    </row>
    <row r="103">
      <c r="D103" s="88"/>
      <c r="E103" s="89"/>
    </row>
    <row r="104">
      <c r="D104" s="88"/>
      <c r="E104" s="89"/>
    </row>
    <row r="105">
      <c r="D105" s="88"/>
      <c r="E105" s="89"/>
    </row>
    <row r="106">
      <c r="D106" s="88"/>
      <c r="E106" s="89"/>
    </row>
    <row r="107">
      <c r="D107" s="88"/>
      <c r="E107" s="89"/>
    </row>
    <row r="108">
      <c r="D108" s="88"/>
      <c r="E108" s="89"/>
    </row>
    <row r="109">
      <c r="D109" s="88"/>
      <c r="E109" s="89"/>
    </row>
    <row r="110">
      <c r="D110" s="88"/>
      <c r="E110" s="89"/>
    </row>
    <row r="111">
      <c r="D111" s="88"/>
      <c r="E111" s="89"/>
    </row>
    <row r="112">
      <c r="D112" s="88"/>
      <c r="E112" s="89"/>
    </row>
    <row r="113">
      <c r="D113" s="88"/>
      <c r="E113" s="89"/>
    </row>
    <row r="114">
      <c r="D114" s="88"/>
      <c r="E114" s="89"/>
    </row>
    <row r="115">
      <c r="D115" s="88"/>
      <c r="E115" s="89"/>
    </row>
    <row r="116">
      <c r="D116" s="88"/>
      <c r="E116" s="89"/>
    </row>
    <row r="117">
      <c r="D117" s="88"/>
      <c r="E117" s="89"/>
    </row>
    <row r="118">
      <c r="D118" s="88"/>
      <c r="E118" s="89"/>
    </row>
    <row r="119">
      <c r="D119" s="88"/>
      <c r="E119" s="89"/>
    </row>
    <row r="120">
      <c r="D120" s="88"/>
      <c r="E120" s="89"/>
    </row>
    <row r="121">
      <c r="D121" s="88"/>
      <c r="E121" s="89"/>
    </row>
    <row r="122">
      <c r="D122" s="88"/>
      <c r="E122" s="89"/>
    </row>
    <row r="123">
      <c r="D123" s="88"/>
      <c r="E123" s="89"/>
    </row>
    <row r="124">
      <c r="D124" s="88"/>
      <c r="E124" s="89"/>
    </row>
    <row r="125">
      <c r="D125" s="88"/>
      <c r="E125" s="89"/>
    </row>
    <row r="126">
      <c r="D126" s="88"/>
      <c r="E126" s="89"/>
    </row>
    <row r="127">
      <c r="D127" s="88"/>
      <c r="E127" s="89"/>
    </row>
    <row r="128">
      <c r="D128" s="88"/>
      <c r="E128" s="89"/>
    </row>
    <row r="129">
      <c r="D129" s="88"/>
      <c r="E129" s="89"/>
    </row>
    <row r="130">
      <c r="D130" s="88"/>
      <c r="E130" s="89"/>
    </row>
    <row r="131">
      <c r="D131" s="88"/>
      <c r="E131" s="89"/>
    </row>
    <row r="132">
      <c r="D132" s="88"/>
      <c r="E132" s="89"/>
    </row>
    <row r="133">
      <c r="D133" s="88"/>
      <c r="E133" s="89"/>
    </row>
    <row r="134">
      <c r="D134" s="88"/>
      <c r="E134" s="89"/>
    </row>
    <row r="135">
      <c r="D135" s="88"/>
      <c r="E135" s="89"/>
    </row>
    <row r="136">
      <c r="D136" s="88"/>
      <c r="E136" s="89"/>
    </row>
    <row r="137">
      <c r="D137" s="88"/>
      <c r="E137" s="89"/>
    </row>
    <row r="138">
      <c r="D138" s="88"/>
      <c r="E138" s="89"/>
    </row>
    <row r="139">
      <c r="D139" s="88"/>
      <c r="E139" s="89"/>
    </row>
    <row r="140">
      <c r="D140" s="88"/>
      <c r="E140" s="89"/>
    </row>
    <row r="141">
      <c r="D141" s="88"/>
      <c r="E141" s="89"/>
    </row>
    <row r="142">
      <c r="D142" s="88"/>
      <c r="E142" s="89"/>
    </row>
    <row r="143">
      <c r="D143" s="88"/>
      <c r="E143" s="89"/>
    </row>
    <row r="144">
      <c r="D144" s="88"/>
      <c r="E144" s="89"/>
    </row>
    <row r="145">
      <c r="D145" s="88"/>
      <c r="E145" s="89"/>
    </row>
    <row r="146">
      <c r="D146" s="88"/>
      <c r="E146" s="89"/>
    </row>
    <row r="147">
      <c r="D147" s="88"/>
      <c r="E147" s="89"/>
    </row>
    <row r="148">
      <c r="D148" s="88"/>
      <c r="E148" s="89"/>
    </row>
    <row r="149">
      <c r="D149" s="88"/>
      <c r="E149" s="89"/>
    </row>
    <row r="150">
      <c r="D150" s="88"/>
      <c r="E150" s="89"/>
    </row>
    <row r="151">
      <c r="D151" s="88"/>
      <c r="E151" s="89"/>
    </row>
    <row r="152">
      <c r="D152" s="88"/>
      <c r="E152" s="89"/>
    </row>
    <row r="153">
      <c r="D153" s="88"/>
      <c r="E153" s="89"/>
    </row>
    <row r="154">
      <c r="D154" s="88"/>
      <c r="E154" s="89"/>
    </row>
    <row r="155">
      <c r="D155" s="88"/>
      <c r="E155" s="89"/>
    </row>
    <row r="156">
      <c r="D156" s="88"/>
      <c r="E156" s="89"/>
    </row>
    <row r="157">
      <c r="D157" s="88"/>
      <c r="E157" s="89"/>
    </row>
    <row r="158">
      <c r="D158" s="88"/>
      <c r="E158" s="89"/>
    </row>
    <row r="159">
      <c r="D159" s="88"/>
      <c r="E159" s="89"/>
    </row>
    <row r="160">
      <c r="D160" s="88"/>
      <c r="E160" s="89"/>
    </row>
    <row r="161">
      <c r="D161" s="88"/>
      <c r="E161" s="89"/>
    </row>
    <row r="162">
      <c r="D162" s="88"/>
      <c r="E162" s="89"/>
    </row>
    <row r="163">
      <c r="D163" s="88"/>
      <c r="E163" s="89"/>
    </row>
    <row r="164">
      <c r="D164" s="88"/>
      <c r="E164" s="89"/>
    </row>
    <row r="165">
      <c r="D165" s="88"/>
      <c r="E165" s="89"/>
    </row>
    <row r="166">
      <c r="D166" s="88"/>
      <c r="E166" s="89"/>
    </row>
    <row r="167">
      <c r="D167" s="88"/>
      <c r="E167" s="89"/>
    </row>
    <row r="168">
      <c r="D168" s="88"/>
      <c r="E168" s="89"/>
    </row>
    <row r="169">
      <c r="D169" s="88"/>
      <c r="E169" s="89"/>
    </row>
    <row r="170">
      <c r="D170" s="88"/>
      <c r="E170" s="89"/>
    </row>
    <row r="171">
      <c r="D171" s="88"/>
      <c r="E171" s="89"/>
    </row>
    <row r="172">
      <c r="D172" s="88"/>
      <c r="E172" s="89"/>
    </row>
    <row r="173">
      <c r="D173" s="88"/>
      <c r="E173" s="89"/>
    </row>
    <row r="174">
      <c r="D174" s="88"/>
      <c r="E174" s="89"/>
    </row>
    <row r="175">
      <c r="D175" s="88"/>
      <c r="E175" s="89"/>
    </row>
    <row r="176">
      <c r="D176" s="88"/>
      <c r="E176" s="89"/>
    </row>
    <row r="177">
      <c r="D177" s="88"/>
      <c r="E177" s="89"/>
    </row>
    <row r="178">
      <c r="D178" s="88"/>
      <c r="E178" s="89"/>
    </row>
    <row r="179">
      <c r="D179" s="88"/>
      <c r="E179" s="89"/>
    </row>
    <row r="180">
      <c r="D180" s="88"/>
      <c r="E180" s="89"/>
    </row>
    <row r="181">
      <c r="D181" s="88"/>
      <c r="E181" s="89"/>
    </row>
    <row r="182">
      <c r="D182" s="88"/>
      <c r="E182" s="89"/>
    </row>
    <row r="183">
      <c r="D183" s="88"/>
      <c r="E183" s="89"/>
    </row>
    <row r="184">
      <c r="D184" s="88"/>
      <c r="E184" s="89"/>
    </row>
    <row r="185">
      <c r="D185" s="88"/>
      <c r="E185" s="89"/>
    </row>
    <row r="186">
      <c r="D186" s="88"/>
      <c r="E186" s="89"/>
    </row>
    <row r="187">
      <c r="D187" s="88"/>
      <c r="E187" s="89"/>
    </row>
    <row r="188">
      <c r="D188" s="88"/>
      <c r="E188" s="89"/>
    </row>
    <row r="189">
      <c r="D189" s="88"/>
      <c r="E189" s="89"/>
    </row>
    <row r="190">
      <c r="D190" s="88"/>
      <c r="E190" s="89"/>
    </row>
    <row r="191">
      <c r="D191" s="88"/>
      <c r="E191" s="89"/>
    </row>
    <row r="192">
      <c r="D192" s="88"/>
      <c r="E192" s="89"/>
    </row>
    <row r="193">
      <c r="D193" s="88"/>
      <c r="E193" s="89"/>
    </row>
    <row r="194">
      <c r="D194" s="88"/>
      <c r="E194" s="89"/>
    </row>
    <row r="195">
      <c r="D195" s="88"/>
      <c r="E195" s="89"/>
    </row>
    <row r="196">
      <c r="D196" s="88"/>
      <c r="E196" s="89"/>
    </row>
    <row r="197">
      <c r="D197" s="88"/>
      <c r="E197" s="89"/>
    </row>
    <row r="198">
      <c r="D198" s="88"/>
      <c r="E198" s="89"/>
    </row>
    <row r="199">
      <c r="D199" s="88"/>
      <c r="E199" s="89"/>
    </row>
    <row r="200">
      <c r="D200" s="88"/>
      <c r="E200" s="89"/>
    </row>
    <row r="201">
      <c r="D201" s="88"/>
      <c r="E201" s="89"/>
    </row>
    <row r="202">
      <c r="D202" s="88"/>
      <c r="E202" s="89"/>
    </row>
    <row r="203">
      <c r="D203" s="88"/>
      <c r="E203" s="89"/>
    </row>
    <row r="204">
      <c r="D204" s="88"/>
      <c r="E204" s="89"/>
    </row>
    <row r="205">
      <c r="D205" s="88"/>
      <c r="E205" s="89"/>
    </row>
    <row r="206">
      <c r="D206" s="88"/>
      <c r="E206" s="89"/>
    </row>
    <row r="207">
      <c r="D207" s="88"/>
      <c r="E207" s="89"/>
    </row>
    <row r="208">
      <c r="D208" s="88"/>
      <c r="E208" s="89"/>
    </row>
    <row r="209">
      <c r="D209" s="88"/>
      <c r="E209" s="89"/>
    </row>
    <row r="210">
      <c r="D210" s="88"/>
      <c r="E210" s="89"/>
    </row>
    <row r="211">
      <c r="D211" s="88"/>
      <c r="E211" s="89"/>
    </row>
    <row r="212">
      <c r="D212" s="88"/>
      <c r="E212" s="89"/>
    </row>
    <row r="213">
      <c r="D213" s="88"/>
      <c r="E213" s="89"/>
    </row>
    <row r="214">
      <c r="D214" s="88"/>
      <c r="E214" s="89"/>
    </row>
    <row r="215">
      <c r="D215" s="88"/>
      <c r="E215" s="89"/>
    </row>
    <row r="216">
      <c r="D216" s="88"/>
      <c r="E216" s="89"/>
    </row>
    <row r="217">
      <c r="D217" s="88"/>
      <c r="E217" s="89"/>
    </row>
    <row r="218">
      <c r="D218" s="88"/>
      <c r="E218" s="89"/>
    </row>
    <row r="219">
      <c r="D219" s="88"/>
      <c r="E219" s="89"/>
    </row>
    <row r="220">
      <c r="D220" s="88"/>
      <c r="E220" s="89"/>
    </row>
    <row r="221">
      <c r="D221" s="88"/>
      <c r="E221" s="89"/>
    </row>
    <row r="222">
      <c r="D222" s="88"/>
      <c r="E222" s="89"/>
    </row>
    <row r="223">
      <c r="D223" s="88"/>
      <c r="E223" s="89"/>
    </row>
    <row r="224">
      <c r="D224" s="88"/>
      <c r="E224" s="89"/>
    </row>
    <row r="225">
      <c r="D225" s="88"/>
      <c r="E225" s="89"/>
    </row>
    <row r="226">
      <c r="D226" s="88"/>
      <c r="E226" s="89"/>
    </row>
    <row r="227">
      <c r="D227" s="88"/>
      <c r="E227" s="89"/>
    </row>
    <row r="228">
      <c r="D228" s="88"/>
      <c r="E228" s="89"/>
    </row>
    <row r="229">
      <c r="D229" s="88"/>
      <c r="E229" s="89"/>
    </row>
    <row r="230">
      <c r="D230" s="88"/>
      <c r="E230" s="89"/>
    </row>
    <row r="231">
      <c r="D231" s="88"/>
      <c r="E231" s="89"/>
    </row>
    <row r="232">
      <c r="D232" s="88"/>
      <c r="E232" s="89"/>
    </row>
    <row r="233">
      <c r="D233" s="88"/>
      <c r="E233" s="89"/>
    </row>
    <row r="234">
      <c r="D234" s="88"/>
      <c r="E234" s="89"/>
    </row>
    <row r="235">
      <c r="D235" s="88"/>
      <c r="E235" s="89"/>
    </row>
    <row r="236">
      <c r="D236" s="88"/>
      <c r="E236" s="89"/>
    </row>
    <row r="237">
      <c r="D237" s="88"/>
      <c r="E237" s="89"/>
    </row>
    <row r="238">
      <c r="D238" s="88"/>
      <c r="E238" s="89"/>
    </row>
    <row r="239">
      <c r="D239" s="88"/>
      <c r="E239" s="89"/>
    </row>
    <row r="240">
      <c r="D240" s="88"/>
      <c r="E240" s="89"/>
    </row>
    <row r="241">
      <c r="D241" s="88"/>
      <c r="E241" s="89"/>
    </row>
    <row r="242">
      <c r="D242" s="88"/>
      <c r="E242" s="89"/>
    </row>
    <row r="243">
      <c r="D243" s="88"/>
      <c r="E243" s="89"/>
    </row>
    <row r="244">
      <c r="D244" s="88"/>
      <c r="E244" s="89"/>
    </row>
    <row r="245">
      <c r="D245" s="88"/>
      <c r="E245" s="89"/>
    </row>
    <row r="246">
      <c r="D246" s="88"/>
      <c r="E246" s="89"/>
    </row>
    <row r="247">
      <c r="D247" s="88"/>
      <c r="E247" s="89"/>
    </row>
    <row r="248">
      <c r="D248" s="88"/>
      <c r="E248" s="89"/>
    </row>
    <row r="249">
      <c r="D249" s="88"/>
      <c r="E249" s="89"/>
    </row>
    <row r="250">
      <c r="D250" s="88"/>
      <c r="E250" s="89"/>
    </row>
    <row r="251">
      <c r="D251" s="88"/>
      <c r="E251" s="89"/>
    </row>
    <row r="252">
      <c r="D252" s="88"/>
      <c r="E252" s="89"/>
    </row>
    <row r="253">
      <c r="D253" s="88"/>
      <c r="E253" s="89"/>
    </row>
    <row r="254">
      <c r="D254" s="88"/>
      <c r="E254" s="89"/>
    </row>
    <row r="255">
      <c r="D255" s="88"/>
      <c r="E255" s="89"/>
    </row>
    <row r="256">
      <c r="D256" s="88"/>
      <c r="E256" s="89"/>
    </row>
    <row r="257">
      <c r="D257" s="88"/>
      <c r="E257" s="89"/>
    </row>
    <row r="258">
      <c r="D258" s="88"/>
      <c r="E258" s="89"/>
    </row>
    <row r="259">
      <c r="D259" s="88"/>
      <c r="E259" s="89"/>
    </row>
    <row r="260">
      <c r="D260" s="88"/>
      <c r="E260" s="89"/>
    </row>
    <row r="261">
      <c r="D261" s="88"/>
      <c r="E261" s="89"/>
    </row>
    <row r="262">
      <c r="D262" s="88"/>
      <c r="E262" s="89"/>
    </row>
    <row r="263">
      <c r="D263" s="88"/>
      <c r="E263" s="89"/>
    </row>
    <row r="264">
      <c r="D264" s="88"/>
      <c r="E264" s="89"/>
    </row>
    <row r="265">
      <c r="D265" s="88"/>
      <c r="E265" s="89"/>
    </row>
    <row r="266">
      <c r="D266" s="88"/>
      <c r="E266" s="89"/>
    </row>
    <row r="267">
      <c r="D267" s="88"/>
      <c r="E267" s="89"/>
    </row>
    <row r="268">
      <c r="D268" s="88"/>
      <c r="E268" s="89"/>
    </row>
    <row r="269">
      <c r="D269" s="88"/>
      <c r="E269" s="89"/>
    </row>
    <row r="270">
      <c r="D270" s="88"/>
      <c r="E270" s="89"/>
    </row>
    <row r="271">
      <c r="D271" s="88"/>
      <c r="E271" s="89"/>
    </row>
    <row r="272">
      <c r="D272" s="88"/>
      <c r="E272" s="89"/>
    </row>
    <row r="273">
      <c r="D273" s="88"/>
      <c r="E273" s="89"/>
    </row>
    <row r="274">
      <c r="D274" s="88"/>
      <c r="E274" s="89"/>
    </row>
    <row r="275">
      <c r="D275" s="88"/>
      <c r="E275" s="89"/>
    </row>
    <row r="276">
      <c r="D276" s="88"/>
      <c r="E276" s="89"/>
    </row>
    <row r="277">
      <c r="D277" s="88"/>
      <c r="E277" s="89"/>
    </row>
    <row r="278">
      <c r="D278" s="88"/>
      <c r="E278" s="89"/>
    </row>
    <row r="279">
      <c r="D279" s="88"/>
      <c r="E279" s="89"/>
    </row>
    <row r="280">
      <c r="D280" s="88"/>
      <c r="E280" s="89"/>
    </row>
    <row r="281">
      <c r="D281" s="88"/>
      <c r="E281" s="89"/>
    </row>
    <row r="282">
      <c r="D282" s="88"/>
      <c r="E282" s="89"/>
    </row>
    <row r="283">
      <c r="D283" s="88"/>
      <c r="E283" s="89"/>
    </row>
    <row r="284">
      <c r="D284" s="88"/>
      <c r="E284" s="89"/>
    </row>
    <row r="285">
      <c r="D285" s="88"/>
      <c r="E285" s="89"/>
    </row>
    <row r="286">
      <c r="D286" s="88"/>
      <c r="E286" s="89"/>
    </row>
    <row r="287">
      <c r="D287" s="88"/>
      <c r="E287" s="89"/>
    </row>
    <row r="288">
      <c r="D288" s="88"/>
      <c r="E288" s="89"/>
    </row>
    <row r="289">
      <c r="D289" s="88"/>
      <c r="E289" s="89"/>
    </row>
    <row r="290">
      <c r="D290" s="88"/>
      <c r="E290" s="89"/>
    </row>
    <row r="291">
      <c r="D291" s="88"/>
      <c r="E291" s="89"/>
    </row>
    <row r="292">
      <c r="D292" s="88"/>
      <c r="E292" s="89"/>
    </row>
    <row r="293">
      <c r="D293" s="88"/>
      <c r="E293" s="89"/>
    </row>
    <row r="294">
      <c r="D294" s="88"/>
      <c r="E294" s="89"/>
    </row>
    <row r="295">
      <c r="D295" s="88"/>
      <c r="E295" s="89"/>
    </row>
    <row r="296">
      <c r="D296" s="88"/>
      <c r="E296" s="89"/>
    </row>
    <row r="297">
      <c r="D297" s="88"/>
      <c r="E297" s="89"/>
    </row>
    <row r="298">
      <c r="D298" s="88"/>
      <c r="E298" s="89"/>
    </row>
    <row r="299">
      <c r="D299" s="88"/>
      <c r="E299" s="89"/>
    </row>
    <row r="300">
      <c r="D300" s="88"/>
      <c r="E300" s="89"/>
    </row>
    <row r="301">
      <c r="D301" s="88"/>
      <c r="E301" s="89"/>
    </row>
    <row r="302">
      <c r="D302" s="88"/>
      <c r="E302" s="89"/>
    </row>
    <row r="303">
      <c r="D303" s="88"/>
      <c r="E303" s="89"/>
    </row>
    <row r="304">
      <c r="D304" s="88"/>
      <c r="E304" s="89"/>
    </row>
    <row r="305">
      <c r="D305" s="88"/>
      <c r="E305" s="89"/>
    </row>
    <row r="306">
      <c r="D306" s="88"/>
      <c r="E306" s="89"/>
    </row>
    <row r="307">
      <c r="D307" s="88"/>
      <c r="E307" s="89"/>
    </row>
    <row r="308">
      <c r="D308" s="88"/>
      <c r="E308" s="89"/>
    </row>
    <row r="309">
      <c r="D309" s="88"/>
      <c r="E309" s="89"/>
    </row>
    <row r="310">
      <c r="D310" s="88"/>
      <c r="E310" s="89"/>
    </row>
    <row r="311">
      <c r="D311" s="88"/>
      <c r="E311" s="89"/>
    </row>
    <row r="312">
      <c r="D312" s="88"/>
      <c r="E312" s="89"/>
    </row>
    <row r="313">
      <c r="D313" s="88"/>
      <c r="E313" s="89"/>
    </row>
    <row r="314">
      <c r="D314" s="88"/>
      <c r="E314" s="89"/>
    </row>
    <row r="315">
      <c r="D315" s="88"/>
      <c r="E315" s="89"/>
    </row>
    <row r="316">
      <c r="D316" s="88"/>
      <c r="E316" s="89"/>
    </row>
    <row r="317">
      <c r="D317" s="88"/>
      <c r="E317" s="89"/>
    </row>
    <row r="318">
      <c r="D318" s="88"/>
      <c r="E318" s="89"/>
    </row>
    <row r="319">
      <c r="D319" s="88"/>
      <c r="E319" s="89"/>
    </row>
    <row r="320">
      <c r="D320" s="88"/>
      <c r="E320" s="89"/>
    </row>
    <row r="321">
      <c r="D321" s="88"/>
      <c r="E321" s="89"/>
    </row>
    <row r="322">
      <c r="D322" s="88"/>
      <c r="E322" s="89"/>
    </row>
    <row r="323">
      <c r="D323" s="88"/>
      <c r="E323" s="89"/>
    </row>
    <row r="324">
      <c r="D324" s="88"/>
      <c r="E324" s="89"/>
    </row>
    <row r="325">
      <c r="D325" s="88"/>
      <c r="E325" s="89"/>
    </row>
    <row r="326">
      <c r="D326" s="88"/>
      <c r="E326" s="89"/>
    </row>
    <row r="327">
      <c r="D327" s="88"/>
      <c r="E327" s="89"/>
    </row>
    <row r="328">
      <c r="D328" s="88"/>
      <c r="E328" s="89"/>
    </row>
    <row r="329">
      <c r="D329" s="88"/>
      <c r="E329" s="89"/>
    </row>
    <row r="330">
      <c r="D330" s="88"/>
      <c r="E330" s="89"/>
    </row>
    <row r="331">
      <c r="D331" s="88"/>
      <c r="E331" s="89"/>
    </row>
    <row r="332">
      <c r="D332" s="88"/>
      <c r="E332" s="89"/>
    </row>
    <row r="333">
      <c r="D333" s="88"/>
      <c r="E333" s="89"/>
    </row>
    <row r="334">
      <c r="D334" s="88"/>
      <c r="E334" s="89"/>
    </row>
    <row r="335">
      <c r="D335" s="88"/>
      <c r="E335" s="89"/>
    </row>
    <row r="336">
      <c r="D336" s="88"/>
      <c r="E336" s="89"/>
    </row>
    <row r="337">
      <c r="D337" s="88"/>
      <c r="E337" s="89"/>
    </row>
    <row r="338">
      <c r="D338" s="88"/>
      <c r="E338" s="89"/>
    </row>
    <row r="339">
      <c r="D339" s="88"/>
      <c r="E339" s="89"/>
    </row>
    <row r="340">
      <c r="D340" s="88"/>
      <c r="E340" s="89"/>
    </row>
    <row r="341">
      <c r="D341" s="88"/>
      <c r="E341" s="89"/>
    </row>
    <row r="342">
      <c r="D342" s="88"/>
      <c r="E342" s="89"/>
    </row>
    <row r="343">
      <c r="D343" s="88"/>
      <c r="E343" s="89"/>
    </row>
    <row r="344">
      <c r="D344" s="88"/>
      <c r="E344" s="89"/>
    </row>
    <row r="345">
      <c r="D345" s="88"/>
      <c r="E345" s="89"/>
    </row>
    <row r="346">
      <c r="D346" s="88"/>
      <c r="E346" s="89"/>
    </row>
    <row r="347">
      <c r="D347" s="88"/>
      <c r="E347" s="89"/>
    </row>
    <row r="348">
      <c r="D348" s="88"/>
      <c r="E348" s="89"/>
    </row>
    <row r="349">
      <c r="D349" s="88"/>
      <c r="E349" s="89"/>
    </row>
    <row r="350">
      <c r="D350" s="88"/>
      <c r="E350" s="89"/>
    </row>
    <row r="351">
      <c r="D351" s="88"/>
      <c r="E351" s="89"/>
    </row>
    <row r="352">
      <c r="D352" s="88"/>
      <c r="E352" s="89"/>
    </row>
    <row r="353">
      <c r="D353" s="88"/>
      <c r="E353" s="89"/>
    </row>
    <row r="354">
      <c r="D354" s="88"/>
      <c r="E354" s="89"/>
    </row>
    <row r="355">
      <c r="D355" s="88"/>
      <c r="E355" s="89"/>
    </row>
    <row r="356">
      <c r="D356" s="88"/>
      <c r="E356" s="89"/>
    </row>
    <row r="357">
      <c r="D357" s="88"/>
      <c r="E357" s="89"/>
    </row>
    <row r="358">
      <c r="D358" s="88"/>
      <c r="E358" s="89"/>
    </row>
    <row r="359">
      <c r="D359" s="88"/>
      <c r="E359" s="89"/>
    </row>
    <row r="360">
      <c r="D360" s="88"/>
      <c r="E360" s="89"/>
    </row>
    <row r="361">
      <c r="D361" s="88"/>
      <c r="E361" s="89"/>
    </row>
    <row r="362">
      <c r="D362" s="88"/>
      <c r="E362" s="89"/>
    </row>
    <row r="363">
      <c r="D363" s="88"/>
      <c r="E363" s="89"/>
    </row>
    <row r="364">
      <c r="D364" s="88"/>
      <c r="E364" s="89"/>
    </row>
    <row r="365">
      <c r="D365" s="88"/>
      <c r="E365" s="89"/>
    </row>
    <row r="366">
      <c r="D366" s="88"/>
      <c r="E366" s="89"/>
    </row>
    <row r="367">
      <c r="D367" s="88"/>
      <c r="E367" s="89"/>
    </row>
    <row r="368">
      <c r="D368" s="88"/>
      <c r="E368" s="89"/>
    </row>
    <row r="369">
      <c r="D369" s="88"/>
      <c r="E369" s="89"/>
    </row>
    <row r="370">
      <c r="D370" s="88"/>
      <c r="E370" s="89"/>
    </row>
    <row r="371">
      <c r="D371" s="88"/>
      <c r="E371" s="89"/>
    </row>
    <row r="372">
      <c r="D372" s="88"/>
      <c r="E372" s="89"/>
    </row>
    <row r="373">
      <c r="D373" s="88"/>
      <c r="E373" s="89"/>
    </row>
    <row r="374">
      <c r="D374" s="88"/>
      <c r="E374" s="89"/>
    </row>
    <row r="375">
      <c r="D375" s="88"/>
      <c r="E375" s="89"/>
    </row>
    <row r="376">
      <c r="D376" s="88"/>
      <c r="E376" s="89"/>
    </row>
    <row r="377">
      <c r="D377" s="88"/>
      <c r="E377" s="89"/>
    </row>
    <row r="378">
      <c r="D378" s="88"/>
      <c r="E378" s="89"/>
    </row>
    <row r="379">
      <c r="D379" s="88"/>
      <c r="E379" s="89"/>
    </row>
    <row r="380">
      <c r="D380" s="88"/>
      <c r="E380" s="89"/>
    </row>
    <row r="381">
      <c r="D381" s="88"/>
      <c r="E381" s="89"/>
    </row>
    <row r="382">
      <c r="D382" s="88"/>
      <c r="E382" s="89"/>
    </row>
    <row r="383">
      <c r="D383" s="88"/>
      <c r="E383" s="89"/>
    </row>
    <row r="384">
      <c r="D384" s="88"/>
      <c r="E384" s="89"/>
    </row>
    <row r="385">
      <c r="D385" s="88"/>
      <c r="E385" s="89"/>
    </row>
    <row r="386">
      <c r="D386" s="88"/>
      <c r="E386" s="89"/>
    </row>
    <row r="387">
      <c r="D387" s="88"/>
      <c r="E387" s="89"/>
    </row>
    <row r="388">
      <c r="D388" s="88"/>
      <c r="E388" s="89"/>
    </row>
    <row r="389">
      <c r="D389" s="88"/>
      <c r="E389" s="89"/>
    </row>
    <row r="390">
      <c r="D390" s="88"/>
      <c r="E390" s="89"/>
    </row>
    <row r="391">
      <c r="D391" s="88"/>
      <c r="E391" s="89"/>
    </row>
    <row r="392">
      <c r="D392" s="88"/>
      <c r="E392" s="89"/>
    </row>
    <row r="393">
      <c r="D393" s="88"/>
      <c r="E393" s="89"/>
    </row>
    <row r="394">
      <c r="D394" s="88"/>
      <c r="E394" s="89"/>
    </row>
    <row r="395">
      <c r="D395" s="88"/>
      <c r="E395" s="89"/>
    </row>
    <row r="396">
      <c r="D396" s="88"/>
      <c r="E396" s="89"/>
    </row>
    <row r="397">
      <c r="D397" s="88"/>
      <c r="E397" s="89"/>
    </row>
    <row r="398">
      <c r="D398" s="88"/>
      <c r="E398" s="89"/>
    </row>
    <row r="399">
      <c r="D399" s="88"/>
      <c r="E399" s="89"/>
    </row>
    <row r="400">
      <c r="D400" s="88"/>
      <c r="E400" s="89"/>
    </row>
    <row r="401">
      <c r="D401" s="88"/>
      <c r="E401" s="89"/>
    </row>
    <row r="402">
      <c r="D402" s="88"/>
      <c r="E402" s="89"/>
    </row>
    <row r="403">
      <c r="D403" s="88"/>
      <c r="E403" s="89"/>
    </row>
    <row r="404">
      <c r="D404" s="88"/>
      <c r="E404" s="89"/>
    </row>
    <row r="405">
      <c r="D405" s="88"/>
      <c r="E405" s="89"/>
    </row>
    <row r="406">
      <c r="D406" s="88"/>
      <c r="E406" s="89"/>
    </row>
    <row r="407">
      <c r="D407" s="88"/>
      <c r="E407" s="89"/>
    </row>
    <row r="408">
      <c r="D408" s="88"/>
      <c r="E408" s="89"/>
    </row>
    <row r="409">
      <c r="D409" s="88"/>
      <c r="E409" s="89"/>
    </row>
    <row r="410">
      <c r="D410" s="88"/>
      <c r="E410" s="89"/>
    </row>
    <row r="411">
      <c r="D411" s="88"/>
      <c r="E411" s="89"/>
    </row>
    <row r="412">
      <c r="D412" s="88"/>
      <c r="E412" s="89"/>
    </row>
    <row r="413">
      <c r="D413" s="88"/>
      <c r="E413" s="89"/>
    </row>
    <row r="414">
      <c r="D414" s="88"/>
      <c r="E414" s="89"/>
    </row>
    <row r="415">
      <c r="D415" s="88"/>
      <c r="E415" s="89"/>
    </row>
    <row r="416">
      <c r="D416" s="88"/>
      <c r="E416" s="89"/>
    </row>
    <row r="417">
      <c r="D417" s="88"/>
      <c r="E417" s="89"/>
    </row>
    <row r="418">
      <c r="D418" s="88"/>
      <c r="E418" s="89"/>
    </row>
    <row r="419">
      <c r="D419" s="88"/>
      <c r="E419" s="89"/>
    </row>
    <row r="420">
      <c r="D420" s="88"/>
      <c r="E420" s="89"/>
    </row>
    <row r="421">
      <c r="D421" s="88"/>
      <c r="E421" s="89"/>
    </row>
    <row r="422">
      <c r="D422" s="88"/>
      <c r="E422" s="89"/>
    </row>
    <row r="423">
      <c r="D423" s="88"/>
      <c r="E423" s="89"/>
    </row>
    <row r="424">
      <c r="D424" s="88"/>
      <c r="E424" s="89"/>
    </row>
    <row r="425">
      <c r="D425" s="88"/>
      <c r="E425" s="89"/>
    </row>
    <row r="426">
      <c r="D426" s="88"/>
      <c r="E426" s="89"/>
    </row>
    <row r="427">
      <c r="D427" s="88"/>
      <c r="E427" s="89"/>
    </row>
    <row r="428">
      <c r="D428" s="88"/>
      <c r="E428" s="89"/>
    </row>
    <row r="429">
      <c r="D429" s="88"/>
      <c r="E429" s="89"/>
    </row>
    <row r="430">
      <c r="D430" s="88"/>
      <c r="E430" s="89"/>
    </row>
    <row r="431">
      <c r="D431" s="88"/>
      <c r="E431" s="89"/>
    </row>
    <row r="432">
      <c r="D432" s="88"/>
      <c r="E432" s="89"/>
    </row>
    <row r="433">
      <c r="D433" s="88"/>
      <c r="E433" s="89"/>
    </row>
    <row r="434">
      <c r="D434" s="88"/>
      <c r="E434" s="89"/>
    </row>
    <row r="435">
      <c r="D435" s="88"/>
      <c r="E435" s="89"/>
    </row>
    <row r="436">
      <c r="D436" s="88"/>
      <c r="E436" s="89"/>
    </row>
    <row r="437">
      <c r="D437" s="88"/>
      <c r="E437" s="89"/>
    </row>
    <row r="438">
      <c r="D438" s="88"/>
      <c r="E438" s="89"/>
    </row>
    <row r="439">
      <c r="D439" s="88"/>
      <c r="E439" s="89"/>
    </row>
    <row r="440">
      <c r="D440" s="88"/>
      <c r="E440" s="89"/>
    </row>
    <row r="441">
      <c r="D441" s="88"/>
      <c r="E441" s="89"/>
    </row>
    <row r="442">
      <c r="D442" s="88"/>
      <c r="E442" s="89"/>
    </row>
    <row r="443">
      <c r="D443" s="88"/>
      <c r="E443" s="89"/>
    </row>
    <row r="444">
      <c r="D444" s="88"/>
      <c r="E444" s="89"/>
    </row>
    <row r="445">
      <c r="D445" s="88"/>
      <c r="E445" s="89"/>
    </row>
    <row r="446">
      <c r="D446" s="88"/>
      <c r="E446" s="89"/>
    </row>
    <row r="447">
      <c r="D447" s="88"/>
      <c r="E447" s="89"/>
    </row>
    <row r="448">
      <c r="D448" s="88"/>
      <c r="E448" s="89"/>
    </row>
    <row r="449">
      <c r="D449" s="88"/>
      <c r="E449" s="89"/>
    </row>
    <row r="450">
      <c r="D450" s="88"/>
      <c r="E450" s="89"/>
    </row>
    <row r="451">
      <c r="D451" s="88"/>
      <c r="E451" s="89"/>
    </row>
    <row r="452">
      <c r="D452" s="88"/>
      <c r="E452" s="89"/>
    </row>
    <row r="453">
      <c r="D453" s="88"/>
      <c r="E453" s="89"/>
    </row>
    <row r="454">
      <c r="D454" s="88"/>
      <c r="E454" s="89"/>
    </row>
    <row r="455">
      <c r="D455" s="88"/>
      <c r="E455" s="89"/>
    </row>
    <row r="456">
      <c r="D456" s="88"/>
      <c r="E456" s="89"/>
    </row>
    <row r="457">
      <c r="D457" s="88"/>
      <c r="E457" s="89"/>
    </row>
    <row r="458">
      <c r="D458" s="88"/>
      <c r="E458" s="89"/>
    </row>
    <row r="459">
      <c r="D459" s="88"/>
      <c r="E459" s="89"/>
    </row>
    <row r="460">
      <c r="D460" s="88"/>
      <c r="E460" s="89"/>
    </row>
    <row r="461">
      <c r="D461" s="88"/>
      <c r="E461" s="89"/>
    </row>
    <row r="462">
      <c r="D462" s="88"/>
      <c r="E462" s="89"/>
    </row>
    <row r="463">
      <c r="D463" s="88"/>
      <c r="E463" s="89"/>
    </row>
    <row r="464">
      <c r="D464" s="88"/>
      <c r="E464" s="89"/>
    </row>
    <row r="465">
      <c r="D465" s="88"/>
      <c r="E465" s="89"/>
    </row>
    <row r="466">
      <c r="D466" s="88"/>
      <c r="E466" s="89"/>
    </row>
    <row r="467">
      <c r="D467" s="88"/>
      <c r="E467" s="89"/>
    </row>
    <row r="468">
      <c r="D468" s="88"/>
      <c r="E468" s="89"/>
    </row>
    <row r="469">
      <c r="D469" s="88"/>
      <c r="E469" s="89"/>
    </row>
    <row r="470">
      <c r="D470" s="88"/>
      <c r="E470" s="89"/>
    </row>
    <row r="471">
      <c r="D471" s="88"/>
      <c r="E471" s="89"/>
    </row>
    <row r="472">
      <c r="D472" s="88"/>
      <c r="E472" s="89"/>
    </row>
    <row r="473">
      <c r="D473" s="88"/>
      <c r="E473" s="89"/>
    </row>
    <row r="474">
      <c r="D474" s="88"/>
      <c r="E474" s="89"/>
    </row>
    <row r="475">
      <c r="D475" s="88"/>
      <c r="E475" s="89"/>
    </row>
    <row r="476">
      <c r="D476" s="88"/>
      <c r="E476" s="89"/>
    </row>
    <row r="477">
      <c r="D477" s="88"/>
      <c r="E477" s="89"/>
    </row>
    <row r="478">
      <c r="D478" s="88"/>
      <c r="E478" s="89"/>
    </row>
    <row r="479">
      <c r="D479" s="88"/>
      <c r="E479" s="89"/>
    </row>
    <row r="480">
      <c r="D480" s="88"/>
      <c r="E480" s="89"/>
    </row>
    <row r="481">
      <c r="D481" s="88"/>
      <c r="E481" s="89"/>
    </row>
    <row r="482">
      <c r="D482" s="88"/>
      <c r="E482" s="89"/>
    </row>
    <row r="483">
      <c r="D483" s="88"/>
      <c r="E483" s="89"/>
    </row>
    <row r="484">
      <c r="D484" s="88"/>
      <c r="E484" s="89"/>
    </row>
    <row r="485">
      <c r="D485" s="88"/>
      <c r="E485" s="89"/>
    </row>
    <row r="486">
      <c r="D486" s="88"/>
      <c r="E486" s="89"/>
    </row>
    <row r="487">
      <c r="D487" s="88"/>
      <c r="E487" s="89"/>
    </row>
    <row r="488">
      <c r="D488" s="88"/>
      <c r="E488" s="89"/>
    </row>
    <row r="489">
      <c r="D489" s="88"/>
      <c r="E489" s="89"/>
    </row>
    <row r="490">
      <c r="D490" s="88"/>
      <c r="E490" s="89"/>
    </row>
    <row r="491">
      <c r="D491" s="88"/>
      <c r="E491" s="89"/>
    </row>
    <row r="492">
      <c r="D492" s="88"/>
      <c r="E492" s="89"/>
    </row>
    <row r="493">
      <c r="D493" s="88"/>
      <c r="E493" s="89"/>
    </row>
    <row r="494">
      <c r="D494" s="88"/>
      <c r="E494" s="89"/>
    </row>
    <row r="495">
      <c r="D495" s="88"/>
      <c r="E495" s="89"/>
    </row>
    <row r="496">
      <c r="D496" s="88"/>
      <c r="E496" s="89"/>
    </row>
    <row r="497">
      <c r="D497" s="88"/>
      <c r="E497" s="89"/>
    </row>
    <row r="498">
      <c r="D498" s="88"/>
      <c r="E498" s="89"/>
    </row>
    <row r="499">
      <c r="D499" s="88"/>
      <c r="E499" s="89"/>
    </row>
    <row r="500">
      <c r="D500" s="88"/>
      <c r="E500" s="89"/>
    </row>
    <row r="501">
      <c r="D501" s="88"/>
      <c r="E501" s="89"/>
    </row>
    <row r="502">
      <c r="D502" s="88"/>
      <c r="E502" s="89"/>
    </row>
    <row r="503">
      <c r="D503" s="88"/>
      <c r="E503" s="89"/>
    </row>
    <row r="504">
      <c r="D504" s="88"/>
      <c r="E504" s="89"/>
    </row>
    <row r="505">
      <c r="D505" s="88"/>
      <c r="E505" s="89"/>
    </row>
    <row r="506">
      <c r="D506" s="88"/>
      <c r="E506" s="89"/>
    </row>
    <row r="507">
      <c r="D507" s="88"/>
      <c r="E507" s="89"/>
    </row>
    <row r="508">
      <c r="D508" s="88"/>
      <c r="E508" s="89"/>
    </row>
    <row r="509">
      <c r="D509" s="88"/>
      <c r="E509" s="89"/>
    </row>
    <row r="510">
      <c r="D510" s="88"/>
      <c r="E510" s="89"/>
    </row>
    <row r="511">
      <c r="D511" s="88"/>
      <c r="E511" s="89"/>
    </row>
    <row r="512">
      <c r="D512" s="88"/>
      <c r="E512" s="89"/>
    </row>
    <row r="513">
      <c r="D513" s="88"/>
      <c r="E513" s="89"/>
    </row>
    <row r="514">
      <c r="D514" s="88"/>
      <c r="E514" s="89"/>
    </row>
    <row r="515">
      <c r="D515" s="88"/>
      <c r="E515" s="89"/>
    </row>
    <row r="516">
      <c r="D516" s="88"/>
      <c r="E516" s="89"/>
    </row>
    <row r="517">
      <c r="D517" s="88"/>
      <c r="E517" s="89"/>
    </row>
    <row r="518">
      <c r="D518" s="88"/>
      <c r="E518" s="89"/>
    </row>
    <row r="519">
      <c r="D519" s="88"/>
      <c r="E519" s="89"/>
    </row>
    <row r="520">
      <c r="D520" s="88"/>
      <c r="E520" s="89"/>
    </row>
    <row r="521">
      <c r="D521" s="88"/>
      <c r="E521" s="89"/>
    </row>
    <row r="522">
      <c r="D522" s="88"/>
      <c r="E522" s="89"/>
    </row>
    <row r="523">
      <c r="D523" s="88"/>
      <c r="E523" s="89"/>
    </row>
    <row r="524">
      <c r="D524" s="88"/>
      <c r="E524" s="89"/>
    </row>
    <row r="525">
      <c r="D525" s="88"/>
      <c r="E525" s="89"/>
    </row>
    <row r="526">
      <c r="D526" s="88"/>
      <c r="E526" s="89"/>
    </row>
    <row r="527">
      <c r="D527" s="88"/>
      <c r="E527" s="89"/>
    </row>
    <row r="528">
      <c r="D528" s="88"/>
      <c r="E528" s="89"/>
    </row>
    <row r="529">
      <c r="D529" s="88"/>
      <c r="E529" s="89"/>
    </row>
    <row r="530">
      <c r="D530" s="88"/>
      <c r="E530" s="89"/>
    </row>
    <row r="531">
      <c r="D531" s="88"/>
      <c r="E531" s="89"/>
    </row>
    <row r="532">
      <c r="D532" s="88"/>
      <c r="E532" s="89"/>
    </row>
    <row r="533">
      <c r="D533" s="88"/>
      <c r="E533" s="89"/>
    </row>
    <row r="534">
      <c r="D534" s="88"/>
      <c r="E534" s="89"/>
    </row>
    <row r="535">
      <c r="D535" s="88"/>
      <c r="E535" s="89"/>
    </row>
    <row r="536">
      <c r="D536" s="88"/>
      <c r="E536" s="89"/>
    </row>
    <row r="537">
      <c r="D537" s="88"/>
      <c r="E537" s="89"/>
    </row>
    <row r="538">
      <c r="D538" s="88"/>
      <c r="E538" s="89"/>
    </row>
    <row r="539">
      <c r="D539" s="88"/>
      <c r="E539" s="89"/>
    </row>
    <row r="540">
      <c r="D540" s="88"/>
      <c r="E540" s="89"/>
    </row>
    <row r="541">
      <c r="D541" s="88"/>
      <c r="E541" s="89"/>
    </row>
    <row r="542">
      <c r="D542" s="88"/>
      <c r="E542" s="89"/>
    </row>
    <row r="543">
      <c r="D543" s="88"/>
      <c r="E543" s="89"/>
    </row>
    <row r="544">
      <c r="D544" s="88"/>
      <c r="E544" s="89"/>
    </row>
    <row r="545">
      <c r="D545" s="88"/>
      <c r="E545" s="89"/>
    </row>
    <row r="546">
      <c r="D546" s="88"/>
      <c r="E546" s="89"/>
    </row>
    <row r="547">
      <c r="D547" s="88"/>
      <c r="E547" s="89"/>
    </row>
    <row r="548">
      <c r="D548" s="88"/>
      <c r="E548" s="89"/>
    </row>
    <row r="549">
      <c r="D549" s="88"/>
      <c r="E549" s="89"/>
    </row>
    <row r="550">
      <c r="D550" s="88"/>
      <c r="E550" s="89"/>
    </row>
    <row r="551">
      <c r="D551" s="88"/>
      <c r="E551" s="89"/>
    </row>
    <row r="552">
      <c r="D552" s="88"/>
      <c r="E552" s="89"/>
    </row>
    <row r="553">
      <c r="D553" s="88"/>
      <c r="E553" s="89"/>
    </row>
    <row r="554">
      <c r="D554" s="88"/>
      <c r="E554" s="89"/>
    </row>
    <row r="555">
      <c r="D555" s="88"/>
      <c r="E555" s="89"/>
    </row>
    <row r="556">
      <c r="D556" s="88"/>
      <c r="E556" s="89"/>
    </row>
    <row r="557">
      <c r="D557" s="88"/>
      <c r="E557" s="89"/>
    </row>
    <row r="558">
      <c r="D558" s="88"/>
      <c r="E558" s="89"/>
    </row>
    <row r="559">
      <c r="D559" s="88"/>
      <c r="E559" s="89"/>
    </row>
    <row r="560">
      <c r="D560" s="88"/>
      <c r="E560" s="89"/>
    </row>
    <row r="561">
      <c r="D561" s="88"/>
      <c r="E561" s="89"/>
    </row>
    <row r="562">
      <c r="D562" s="88"/>
      <c r="E562" s="89"/>
    </row>
    <row r="563">
      <c r="D563" s="88"/>
      <c r="E563" s="89"/>
    </row>
    <row r="564">
      <c r="D564" s="88"/>
      <c r="E564" s="89"/>
    </row>
    <row r="565">
      <c r="D565" s="88"/>
      <c r="E565" s="89"/>
    </row>
    <row r="566">
      <c r="D566" s="88"/>
      <c r="E566" s="89"/>
    </row>
    <row r="567">
      <c r="D567" s="88"/>
      <c r="E567" s="89"/>
    </row>
    <row r="568">
      <c r="D568" s="88"/>
      <c r="E568" s="89"/>
    </row>
    <row r="569">
      <c r="D569" s="88"/>
      <c r="E569" s="89"/>
    </row>
    <row r="570">
      <c r="D570" s="88"/>
      <c r="E570" s="89"/>
    </row>
    <row r="571">
      <c r="D571" s="88"/>
      <c r="E571" s="89"/>
    </row>
    <row r="572">
      <c r="D572" s="88"/>
      <c r="E572" s="89"/>
    </row>
    <row r="573">
      <c r="D573" s="88"/>
      <c r="E573" s="89"/>
    </row>
    <row r="574">
      <c r="D574" s="88"/>
      <c r="E574" s="89"/>
    </row>
    <row r="575">
      <c r="D575" s="88"/>
      <c r="E575" s="89"/>
    </row>
    <row r="576">
      <c r="D576" s="88"/>
      <c r="E576" s="89"/>
    </row>
    <row r="577">
      <c r="D577" s="88"/>
      <c r="E577" s="89"/>
    </row>
    <row r="578">
      <c r="D578" s="88"/>
      <c r="E578" s="89"/>
    </row>
    <row r="579">
      <c r="D579" s="88"/>
      <c r="E579" s="89"/>
    </row>
    <row r="580">
      <c r="D580" s="88"/>
      <c r="E580" s="89"/>
    </row>
    <row r="581">
      <c r="D581" s="88"/>
      <c r="E581" s="89"/>
    </row>
    <row r="582">
      <c r="D582" s="88"/>
      <c r="E582" s="89"/>
    </row>
    <row r="583">
      <c r="D583" s="88"/>
      <c r="E583" s="89"/>
    </row>
    <row r="584">
      <c r="D584" s="88"/>
      <c r="E584" s="89"/>
    </row>
    <row r="585">
      <c r="D585" s="88"/>
      <c r="E585" s="89"/>
    </row>
    <row r="586">
      <c r="D586" s="88"/>
      <c r="E586" s="89"/>
    </row>
    <row r="587">
      <c r="D587" s="88"/>
      <c r="E587" s="89"/>
    </row>
    <row r="588">
      <c r="D588" s="88"/>
      <c r="E588" s="89"/>
    </row>
    <row r="589">
      <c r="D589" s="88"/>
      <c r="E589" s="89"/>
    </row>
    <row r="590">
      <c r="D590" s="88"/>
      <c r="E590" s="89"/>
    </row>
    <row r="591">
      <c r="D591" s="88"/>
      <c r="E591" s="89"/>
    </row>
    <row r="592">
      <c r="D592" s="88"/>
      <c r="E592" s="89"/>
    </row>
    <row r="593">
      <c r="D593" s="88"/>
      <c r="E593" s="89"/>
    </row>
    <row r="594">
      <c r="D594" s="88"/>
      <c r="E594" s="89"/>
    </row>
    <row r="595">
      <c r="D595" s="88"/>
      <c r="E595" s="89"/>
    </row>
    <row r="596">
      <c r="D596" s="88"/>
      <c r="E596" s="89"/>
    </row>
    <row r="597">
      <c r="D597" s="88"/>
      <c r="E597" s="89"/>
    </row>
    <row r="598">
      <c r="D598" s="88"/>
      <c r="E598" s="89"/>
    </row>
    <row r="599">
      <c r="D599" s="88"/>
      <c r="E599" s="89"/>
    </row>
    <row r="600">
      <c r="D600" s="88"/>
      <c r="E600" s="89"/>
    </row>
    <row r="601">
      <c r="D601" s="88"/>
      <c r="E601" s="89"/>
    </row>
    <row r="602">
      <c r="D602" s="88"/>
      <c r="E602" s="89"/>
    </row>
    <row r="603">
      <c r="D603" s="88"/>
      <c r="E603" s="89"/>
    </row>
    <row r="604">
      <c r="D604" s="88"/>
      <c r="E604" s="89"/>
    </row>
    <row r="605">
      <c r="D605" s="88"/>
      <c r="E605" s="89"/>
    </row>
    <row r="606">
      <c r="D606" s="88"/>
      <c r="E606" s="89"/>
    </row>
    <row r="607">
      <c r="D607" s="88"/>
      <c r="E607" s="89"/>
    </row>
    <row r="608">
      <c r="D608" s="88"/>
      <c r="E608" s="89"/>
    </row>
    <row r="609">
      <c r="D609" s="88"/>
      <c r="E609" s="89"/>
    </row>
    <row r="610">
      <c r="D610" s="88"/>
      <c r="E610" s="89"/>
    </row>
    <row r="611">
      <c r="D611" s="88"/>
      <c r="E611" s="89"/>
    </row>
    <row r="612">
      <c r="D612" s="88"/>
      <c r="E612" s="89"/>
    </row>
    <row r="613">
      <c r="D613" s="88"/>
      <c r="E613" s="89"/>
    </row>
    <row r="614">
      <c r="D614" s="88"/>
      <c r="E614" s="89"/>
    </row>
    <row r="615">
      <c r="D615" s="88"/>
      <c r="E615" s="89"/>
    </row>
    <row r="616">
      <c r="D616" s="88"/>
      <c r="E616" s="89"/>
    </row>
    <row r="617">
      <c r="D617" s="88"/>
      <c r="E617" s="89"/>
    </row>
    <row r="618">
      <c r="D618" s="88"/>
      <c r="E618" s="89"/>
    </row>
    <row r="619">
      <c r="D619" s="88"/>
      <c r="E619" s="89"/>
    </row>
    <row r="620">
      <c r="D620" s="88"/>
      <c r="E620" s="89"/>
    </row>
    <row r="621">
      <c r="D621" s="88"/>
      <c r="E621" s="89"/>
    </row>
    <row r="622">
      <c r="D622" s="88"/>
      <c r="E622" s="89"/>
    </row>
    <row r="623">
      <c r="D623" s="88"/>
      <c r="E623" s="89"/>
    </row>
    <row r="624">
      <c r="D624" s="88"/>
      <c r="E624" s="89"/>
    </row>
    <row r="625">
      <c r="D625" s="88"/>
      <c r="E625" s="89"/>
    </row>
    <row r="626">
      <c r="D626" s="88"/>
      <c r="E626" s="89"/>
    </row>
    <row r="627">
      <c r="D627" s="88"/>
      <c r="E627" s="89"/>
    </row>
    <row r="628">
      <c r="D628" s="88"/>
      <c r="E628" s="89"/>
    </row>
    <row r="629">
      <c r="D629" s="88"/>
      <c r="E629" s="89"/>
    </row>
    <row r="630">
      <c r="D630" s="88"/>
      <c r="E630" s="89"/>
    </row>
    <row r="631">
      <c r="D631" s="88"/>
      <c r="E631" s="89"/>
    </row>
    <row r="632">
      <c r="D632" s="88"/>
      <c r="E632" s="89"/>
    </row>
    <row r="633">
      <c r="D633" s="88"/>
      <c r="E633" s="89"/>
    </row>
    <row r="634">
      <c r="D634" s="88"/>
      <c r="E634" s="89"/>
    </row>
    <row r="635">
      <c r="D635" s="88"/>
      <c r="E635" s="89"/>
    </row>
    <row r="636">
      <c r="D636" s="88"/>
      <c r="E636" s="89"/>
    </row>
    <row r="637">
      <c r="D637" s="88"/>
      <c r="E637" s="89"/>
    </row>
    <row r="638">
      <c r="D638" s="88"/>
      <c r="E638" s="89"/>
    </row>
    <row r="639">
      <c r="D639" s="88"/>
      <c r="E639" s="89"/>
    </row>
    <row r="640">
      <c r="D640" s="88"/>
      <c r="E640" s="89"/>
    </row>
    <row r="641">
      <c r="D641" s="88"/>
      <c r="E641" s="89"/>
    </row>
    <row r="642">
      <c r="D642" s="88"/>
      <c r="E642" s="89"/>
    </row>
    <row r="643">
      <c r="D643" s="88"/>
      <c r="E643" s="89"/>
    </row>
    <row r="644">
      <c r="D644" s="88"/>
      <c r="E644" s="89"/>
    </row>
    <row r="645">
      <c r="D645" s="88"/>
      <c r="E645" s="89"/>
    </row>
    <row r="646">
      <c r="D646" s="88"/>
      <c r="E646" s="89"/>
    </row>
    <row r="647">
      <c r="D647" s="88"/>
      <c r="E647" s="89"/>
    </row>
    <row r="648">
      <c r="D648" s="88"/>
      <c r="E648" s="89"/>
    </row>
    <row r="649">
      <c r="D649" s="88"/>
      <c r="E649" s="89"/>
    </row>
    <row r="650">
      <c r="D650" s="88"/>
      <c r="E650" s="89"/>
    </row>
    <row r="651">
      <c r="D651" s="88"/>
      <c r="E651" s="89"/>
    </row>
    <row r="652">
      <c r="D652" s="88"/>
      <c r="E652" s="89"/>
    </row>
    <row r="653">
      <c r="D653" s="88"/>
      <c r="E653" s="89"/>
    </row>
    <row r="654">
      <c r="D654" s="88"/>
      <c r="E654" s="89"/>
    </row>
    <row r="655">
      <c r="D655" s="88"/>
      <c r="E655" s="89"/>
    </row>
    <row r="656">
      <c r="D656" s="88"/>
      <c r="E656" s="89"/>
    </row>
    <row r="657">
      <c r="D657" s="88"/>
      <c r="E657" s="89"/>
    </row>
    <row r="658">
      <c r="D658" s="88"/>
      <c r="E658" s="89"/>
    </row>
    <row r="659">
      <c r="D659" s="88"/>
      <c r="E659" s="89"/>
    </row>
    <row r="660">
      <c r="D660" s="88"/>
      <c r="E660" s="89"/>
    </row>
    <row r="661">
      <c r="D661" s="88"/>
      <c r="E661" s="89"/>
    </row>
    <row r="662">
      <c r="D662" s="88"/>
      <c r="E662" s="89"/>
    </row>
    <row r="663">
      <c r="D663" s="88"/>
      <c r="E663" s="89"/>
    </row>
    <row r="664">
      <c r="D664" s="88"/>
      <c r="E664" s="89"/>
    </row>
    <row r="665">
      <c r="D665" s="88"/>
      <c r="E665" s="89"/>
    </row>
    <row r="666">
      <c r="D666" s="88"/>
      <c r="E666" s="89"/>
    </row>
    <row r="667">
      <c r="D667" s="88"/>
      <c r="E667" s="89"/>
    </row>
    <row r="668">
      <c r="D668" s="88"/>
      <c r="E668" s="89"/>
    </row>
    <row r="669">
      <c r="D669" s="88"/>
      <c r="E669" s="89"/>
    </row>
    <row r="670">
      <c r="D670" s="88"/>
      <c r="E670" s="89"/>
    </row>
    <row r="671">
      <c r="D671" s="88"/>
      <c r="E671" s="89"/>
    </row>
    <row r="672">
      <c r="D672" s="88"/>
      <c r="E672" s="89"/>
    </row>
    <row r="673">
      <c r="D673" s="88"/>
      <c r="E673" s="89"/>
    </row>
    <row r="674">
      <c r="D674" s="88"/>
      <c r="E674" s="89"/>
    </row>
    <row r="675">
      <c r="D675" s="88"/>
      <c r="E675" s="89"/>
    </row>
    <row r="676">
      <c r="D676" s="88"/>
      <c r="E676" s="89"/>
    </row>
    <row r="677">
      <c r="D677" s="88"/>
      <c r="E677" s="89"/>
    </row>
    <row r="678">
      <c r="D678" s="88"/>
      <c r="E678" s="89"/>
    </row>
    <row r="679">
      <c r="D679" s="88"/>
      <c r="E679" s="89"/>
    </row>
    <row r="680">
      <c r="D680" s="88"/>
      <c r="E680" s="89"/>
    </row>
    <row r="681">
      <c r="D681" s="88"/>
      <c r="E681" s="89"/>
    </row>
    <row r="682">
      <c r="D682" s="88"/>
      <c r="E682" s="89"/>
    </row>
    <row r="683">
      <c r="D683" s="88"/>
      <c r="E683" s="89"/>
    </row>
    <row r="684">
      <c r="D684" s="88"/>
      <c r="E684" s="89"/>
    </row>
    <row r="685">
      <c r="D685" s="88"/>
      <c r="E685" s="89"/>
    </row>
    <row r="686">
      <c r="D686" s="88"/>
      <c r="E686" s="89"/>
    </row>
    <row r="687">
      <c r="D687" s="88"/>
      <c r="E687" s="89"/>
    </row>
    <row r="688">
      <c r="D688" s="88"/>
      <c r="E688" s="89"/>
    </row>
    <row r="689">
      <c r="D689" s="88"/>
      <c r="E689" s="89"/>
    </row>
    <row r="690">
      <c r="D690" s="88"/>
      <c r="E690" s="89"/>
    </row>
    <row r="691">
      <c r="D691" s="88"/>
      <c r="E691" s="89"/>
    </row>
    <row r="692">
      <c r="D692" s="88"/>
      <c r="E692" s="89"/>
    </row>
    <row r="693">
      <c r="D693" s="88"/>
      <c r="E693" s="89"/>
    </row>
    <row r="694">
      <c r="D694" s="88"/>
      <c r="E694" s="89"/>
    </row>
    <row r="695">
      <c r="D695" s="88"/>
      <c r="E695" s="89"/>
    </row>
    <row r="696">
      <c r="D696" s="88"/>
      <c r="E696" s="89"/>
    </row>
    <row r="697">
      <c r="D697" s="88"/>
      <c r="E697" s="89"/>
    </row>
    <row r="698">
      <c r="D698" s="88"/>
      <c r="E698" s="89"/>
    </row>
    <row r="699">
      <c r="D699" s="88"/>
      <c r="E699" s="89"/>
    </row>
    <row r="700">
      <c r="D700" s="88"/>
      <c r="E700" s="89"/>
    </row>
    <row r="701">
      <c r="D701" s="88"/>
      <c r="E701" s="89"/>
    </row>
    <row r="702">
      <c r="D702" s="88"/>
      <c r="E702" s="89"/>
    </row>
    <row r="703">
      <c r="D703" s="88"/>
      <c r="E703" s="89"/>
    </row>
    <row r="704">
      <c r="D704" s="88"/>
      <c r="E704" s="89"/>
    </row>
    <row r="705">
      <c r="D705" s="88"/>
      <c r="E705" s="89"/>
    </row>
    <row r="706">
      <c r="D706" s="88"/>
      <c r="E706" s="89"/>
    </row>
    <row r="707">
      <c r="D707" s="88"/>
      <c r="E707" s="89"/>
    </row>
    <row r="708">
      <c r="D708" s="88"/>
      <c r="E708" s="89"/>
    </row>
    <row r="709">
      <c r="D709" s="88"/>
      <c r="E709" s="89"/>
    </row>
    <row r="710">
      <c r="D710" s="88"/>
      <c r="E710" s="89"/>
    </row>
    <row r="711">
      <c r="D711" s="88"/>
      <c r="E711" s="89"/>
    </row>
    <row r="712">
      <c r="D712" s="88"/>
      <c r="E712" s="89"/>
    </row>
    <row r="713">
      <c r="D713" s="88"/>
      <c r="E713" s="89"/>
    </row>
    <row r="714">
      <c r="D714" s="88"/>
      <c r="E714" s="89"/>
    </row>
    <row r="715">
      <c r="D715" s="88"/>
      <c r="E715" s="89"/>
    </row>
    <row r="716">
      <c r="D716" s="88"/>
      <c r="E716" s="89"/>
    </row>
    <row r="717">
      <c r="D717" s="88"/>
      <c r="E717" s="89"/>
    </row>
    <row r="718">
      <c r="D718" s="88"/>
      <c r="E718" s="89"/>
    </row>
    <row r="719">
      <c r="D719" s="88"/>
      <c r="E719" s="89"/>
    </row>
    <row r="720">
      <c r="D720" s="88"/>
      <c r="E720" s="89"/>
    </row>
    <row r="721">
      <c r="D721" s="88"/>
      <c r="E721" s="89"/>
    </row>
    <row r="722">
      <c r="D722" s="88"/>
      <c r="E722" s="89"/>
    </row>
    <row r="723">
      <c r="D723" s="88"/>
      <c r="E723" s="89"/>
    </row>
    <row r="724">
      <c r="D724" s="88"/>
      <c r="E724" s="89"/>
    </row>
    <row r="725">
      <c r="D725" s="88"/>
      <c r="E725" s="89"/>
    </row>
    <row r="726">
      <c r="D726" s="88"/>
      <c r="E726" s="89"/>
    </row>
    <row r="727">
      <c r="D727" s="88"/>
      <c r="E727" s="89"/>
    </row>
    <row r="728">
      <c r="D728" s="88"/>
      <c r="E728" s="89"/>
    </row>
    <row r="729">
      <c r="D729" s="88"/>
      <c r="E729" s="89"/>
    </row>
    <row r="730">
      <c r="D730" s="88"/>
      <c r="E730" s="89"/>
    </row>
    <row r="731">
      <c r="D731" s="88"/>
      <c r="E731" s="89"/>
    </row>
    <row r="732">
      <c r="D732" s="88"/>
      <c r="E732" s="89"/>
    </row>
    <row r="733">
      <c r="D733" s="88"/>
      <c r="E733" s="89"/>
    </row>
    <row r="734">
      <c r="D734" s="88"/>
      <c r="E734" s="89"/>
    </row>
    <row r="735">
      <c r="D735" s="88"/>
      <c r="E735" s="89"/>
    </row>
    <row r="736">
      <c r="D736" s="88"/>
      <c r="E736" s="89"/>
    </row>
    <row r="737">
      <c r="D737" s="88"/>
      <c r="E737" s="89"/>
    </row>
    <row r="738">
      <c r="D738" s="88"/>
      <c r="E738" s="89"/>
    </row>
    <row r="739">
      <c r="D739" s="88"/>
      <c r="E739" s="89"/>
    </row>
    <row r="740">
      <c r="D740" s="88"/>
      <c r="E740" s="89"/>
    </row>
    <row r="741">
      <c r="D741" s="88"/>
      <c r="E741" s="89"/>
    </row>
    <row r="742">
      <c r="D742" s="88"/>
      <c r="E742" s="89"/>
    </row>
    <row r="743">
      <c r="D743" s="88"/>
      <c r="E743" s="89"/>
    </row>
    <row r="744">
      <c r="D744" s="88"/>
      <c r="E744" s="89"/>
    </row>
    <row r="745">
      <c r="D745" s="88"/>
      <c r="E745" s="89"/>
    </row>
    <row r="746">
      <c r="D746" s="88"/>
      <c r="E746" s="89"/>
    </row>
    <row r="747">
      <c r="D747" s="88"/>
      <c r="E747" s="89"/>
    </row>
    <row r="748">
      <c r="D748" s="88"/>
      <c r="E748" s="89"/>
    </row>
    <row r="749">
      <c r="D749" s="88"/>
      <c r="E749" s="89"/>
    </row>
    <row r="750">
      <c r="D750" s="88"/>
      <c r="E750" s="89"/>
    </row>
    <row r="751">
      <c r="D751" s="88"/>
      <c r="E751" s="89"/>
    </row>
    <row r="752">
      <c r="D752" s="88"/>
      <c r="E752" s="89"/>
    </row>
    <row r="753">
      <c r="D753" s="88"/>
      <c r="E753" s="89"/>
    </row>
    <row r="754">
      <c r="D754" s="88"/>
      <c r="E754" s="89"/>
    </row>
    <row r="755">
      <c r="D755" s="88"/>
      <c r="E755" s="89"/>
    </row>
    <row r="756">
      <c r="D756" s="88"/>
      <c r="E756" s="89"/>
    </row>
    <row r="757">
      <c r="D757" s="88"/>
      <c r="E757" s="89"/>
    </row>
    <row r="758">
      <c r="D758" s="88"/>
      <c r="E758" s="89"/>
    </row>
    <row r="759">
      <c r="D759" s="88"/>
      <c r="E759" s="89"/>
    </row>
    <row r="760">
      <c r="D760" s="88"/>
      <c r="E760" s="89"/>
    </row>
    <row r="761">
      <c r="D761" s="88"/>
      <c r="E761" s="89"/>
    </row>
    <row r="762">
      <c r="D762" s="88"/>
      <c r="E762" s="89"/>
    </row>
    <row r="763">
      <c r="D763" s="88"/>
      <c r="E763" s="89"/>
    </row>
    <row r="764">
      <c r="D764" s="88"/>
      <c r="E764" s="89"/>
    </row>
    <row r="765">
      <c r="D765" s="88"/>
      <c r="E765" s="89"/>
    </row>
    <row r="766">
      <c r="D766" s="88"/>
      <c r="E766" s="89"/>
    </row>
    <row r="767">
      <c r="D767" s="88"/>
      <c r="E767" s="89"/>
    </row>
    <row r="768">
      <c r="D768" s="88"/>
      <c r="E768" s="89"/>
    </row>
    <row r="769">
      <c r="D769" s="88"/>
      <c r="E769" s="89"/>
    </row>
    <row r="770">
      <c r="D770" s="88"/>
      <c r="E770" s="89"/>
    </row>
    <row r="771">
      <c r="D771" s="88"/>
      <c r="E771" s="89"/>
    </row>
    <row r="772">
      <c r="D772" s="88"/>
      <c r="E772" s="89"/>
    </row>
    <row r="773">
      <c r="D773" s="88"/>
      <c r="E773" s="89"/>
    </row>
    <row r="774">
      <c r="D774" s="88"/>
      <c r="E774" s="89"/>
    </row>
    <row r="775">
      <c r="D775" s="88"/>
      <c r="E775" s="89"/>
    </row>
    <row r="776">
      <c r="D776" s="88"/>
      <c r="E776" s="89"/>
    </row>
    <row r="777">
      <c r="D777" s="88"/>
      <c r="E777" s="89"/>
    </row>
    <row r="778">
      <c r="D778" s="88"/>
      <c r="E778" s="89"/>
    </row>
    <row r="779">
      <c r="D779" s="88"/>
      <c r="E779" s="89"/>
    </row>
    <row r="780">
      <c r="D780" s="88"/>
      <c r="E780" s="89"/>
    </row>
    <row r="781">
      <c r="D781" s="88"/>
      <c r="E781" s="89"/>
    </row>
    <row r="782">
      <c r="D782" s="88"/>
      <c r="E782" s="89"/>
    </row>
    <row r="783">
      <c r="D783" s="88"/>
      <c r="E783" s="89"/>
    </row>
    <row r="784">
      <c r="D784" s="88"/>
      <c r="E784" s="89"/>
    </row>
    <row r="785">
      <c r="D785" s="88"/>
      <c r="E785" s="89"/>
    </row>
    <row r="786">
      <c r="D786" s="88"/>
      <c r="E786" s="89"/>
    </row>
    <row r="787">
      <c r="D787" s="88"/>
      <c r="E787" s="89"/>
    </row>
    <row r="788">
      <c r="D788" s="88"/>
      <c r="E788" s="89"/>
    </row>
    <row r="789">
      <c r="D789" s="88"/>
      <c r="E789" s="89"/>
    </row>
    <row r="790">
      <c r="D790" s="88"/>
      <c r="E790" s="89"/>
    </row>
    <row r="791">
      <c r="D791" s="88"/>
      <c r="E791" s="89"/>
    </row>
    <row r="792">
      <c r="D792" s="88"/>
      <c r="E792" s="89"/>
    </row>
    <row r="793">
      <c r="D793" s="88"/>
      <c r="E793" s="89"/>
    </row>
    <row r="794">
      <c r="D794" s="88"/>
      <c r="E794" s="89"/>
    </row>
    <row r="795">
      <c r="D795" s="88"/>
      <c r="E795" s="89"/>
    </row>
    <row r="796">
      <c r="D796" s="88"/>
      <c r="E796" s="89"/>
    </row>
    <row r="797">
      <c r="D797" s="88"/>
      <c r="E797" s="89"/>
    </row>
    <row r="798">
      <c r="D798" s="88"/>
      <c r="E798" s="89"/>
    </row>
    <row r="799">
      <c r="D799" s="88"/>
      <c r="E799" s="89"/>
    </row>
    <row r="800">
      <c r="D800" s="88"/>
      <c r="E800" s="89"/>
    </row>
    <row r="801">
      <c r="D801" s="88"/>
      <c r="E801" s="89"/>
    </row>
    <row r="802">
      <c r="D802" s="88"/>
      <c r="E802" s="89"/>
    </row>
    <row r="803">
      <c r="D803" s="88"/>
      <c r="E803" s="89"/>
    </row>
    <row r="804">
      <c r="D804" s="88"/>
      <c r="E804" s="89"/>
    </row>
    <row r="805">
      <c r="D805" s="88"/>
      <c r="E805" s="89"/>
    </row>
    <row r="806">
      <c r="D806" s="88"/>
      <c r="E806" s="89"/>
    </row>
    <row r="807">
      <c r="D807" s="88"/>
      <c r="E807" s="89"/>
    </row>
    <row r="808">
      <c r="D808" s="88"/>
      <c r="E808" s="89"/>
    </row>
    <row r="809">
      <c r="D809" s="88"/>
      <c r="E809" s="89"/>
    </row>
    <row r="810">
      <c r="D810" s="88"/>
      <c r="E810" s="89"/>
    </row>
    <row r="811">
      <c r="D811" s="88"/>
      <c r="E811" s="89"/>
    </row>
    <row r="812">
      <c r="D812" s="88"/>
      <c r="E812" s="89"/>
    </row>
    <row r="813">
      <c r="D813" s="88"/>
      <c r="E813" s="89"/>
    </row>
    <row r="814">
      <c r="D814" s="88"/>
      <c r="E814" s="89"/>
    </row>
    <row r="815">
      <c r="D815" s="88"/>
      <c r="E815" s="89"/>
    </row>
    <row r="816">
      <c r="D816" s="88"/>
      <c r="E816" s="89"/>
    </row>
    <row r="817">
      <c r="D817" s="88"/>
      <c r="E817" s="89"/>
    </row>
    <row r="818">
      <c r="D818" s="88"/>
      <c r="E818" s="89"/>
    </row>
    <row r="819">
      <c r="D819" s="88"/>
      <c r="E819" s="89"/>
    </row>
    <row r="820">
      <c r="D820" s="88"/>
      <c r="E820" s="89"/>
    </row>
    <row r="821">
      <c r="D821" s="88"/>
      <c r="E821" s="89"/>
    </row>
    <row r="822">
      <c r="D822" s="88"/>
      <c r="E822" s="89"/>
    </row>
    <row r="823">
      <c r="D823" s="88"/>
      <c r="E823" s="89"/>
    </row>
    <row r="824">
      <c r="D824" s="88"/>
      <c r="E824" s="89"/>
    </row>
    <row r="825">
      <c r="D825" s="88"/>
      <c r="E825" s="89"/>
    </row>
    <row r="826">
      <c r="D826" s="88"/>
      <c r="E826" s="89"/>
    </row>
    <row r="827">
      <c r="D827" s="88"/>
      <c r="E827" s="89"/>
    </row>
    <row r="828">
      <c r="D828" s="88"/>
      <c r="E828" s="89"/>
    </row>
    <row r="829">
      <c r="D829" s="88"/>
      <c r="E829" s="89"/>
    </row>
    <row r="830">
      <c r="D830" s="88"/>
      <c r="E830" s="89"/>
    </row>
    <row r="831">
      <c r="D831" s="88"/>
      <c r="E831" s="89"/>
    </row>
    <row r="832">
      <c r="D832" s="88"/>
      <c r="E832" s="89"/>
    </row>
    <row r="833">
      <c r="D833" s="88"/>
      <c r="E833" s="89"/>
    </row>
    <row r="834">
      <c r="D834" s="88"/>
      <c r="E834" s="89"/>
    </row>
    <row r="835">
      <c r="D835" s="88"/>
      <c r="E835" s="89"/>
    </row>
    <row r="836">
      <c r="D836" s="88"/>
      <c r="E836" s="89"/>
    </row>
    <row r="837">
      <c r="D837" s="88"/>
      <c r="E837" s="89"/>
    </row>
    <row r="838">
      <c r="D838" s="88"/>
      <c r="E838" s="89"/>
    </row>
    <row r="839">
      <c r="D839" s="88"/>
      <c r="E839" s="89"/>
    </row>
    <row r="840">
      <c r="D840" s="88"/>
      <c r="E840" s="89"/>
    </row>
    <row r="841">
      <c r="D841" s="88"/>
      <c r="E841" s="89"/>
    </row>
    <row r="842">
      <c r="D842" s="88"/>
      <c r="E842" s="89"/>
    </row>
    <row r="843">
      <c r="D843" s="88"/>
      <c r="E843" s="89"/>
    </row>
    <row r="844">
      <c r="D844" s="88"/>
      <c r="E844" s="89"/>
    </row>
    <row r="845">
      <c r="D845" s="88"/>
      <c r="E845" s="89"/>
    </row>
    <row r="846">
      <c r="D846" s="88"/>
      <c r="E846" s="89"/>
    </row>
    <row r="847">
      <c r="D847" s="88"/>
      <c r="E847" s="89"/>
    </row>
    <row r="848">
      <c r="D848" s="88"/>
      <c r="E848" s="89"/>
    </row>
    <row r="849">
      <c r="D849" s="88"/>
      <c r="E849" s="89"/>
    </row>
    <row r="850">
      <c r="D850" s="88"/>
      <c r="E850" s="89"/>
    </row>
    <row r="851">
      <c r="D851" s="88"/>
      <c r="E851" s="89"/>
    </row>
    <row r="852">
      <c r="D852" s="88"/>
      <c r="E852" s="89"/>
    </row>
    <row r="853">
      <c r="D853" s="88"/>
      <c r="E853" s="89"/>
    </row>
    <row r="854">
      <c r="D854" s="88"/>
      <c r="E854" s="89"/>
    </row>
    <row r="855">
      <c r="D855" s="88"/>
      <c r="E855" s="89"/>
    </row>
    <row r="856">
      <c r="D856" s="88"/>
      <c r="E856" s="89"/>
    </row>
    <row r="857">
      <c r="D857" s="88"/>
      <c r="E857" s="89"/>
    </row>
    <row r="858">
      <c r="D858" s="88"/>
      <c r="E858" s="89"/>
    </row>
    <row r="859">
      <c r="D859" s="88"/>
      <c r="E859" s="89"/>
    </row>
    <row r="860">
      <c r="D860" s="88"/>
      <c r="E860" s="89"/>
    </row>
    <row r="861">
      <c r="D861" s="88"/>
      <c r="E861" s="89"/>
    </row>
    <row r="862">
      <c r="D862" s="88"/>
      <c r="E862" s="89"/>
    </row>
    <row r="863">
      <c r="D863" s="88"/>
      <c r="E863" s="89"/>
    </row>
    <row r="864">
      <c r="D864" s="88"/>
      <c r="E864" s="89"/>
    </row>
    <row r="865">
      <c r="D865" s="88"/>
      <c r="E865" s="89"/>
    </row>
    <row r="866">
      <c r="D866" s="88"/>
      <c r="E866" s="89"/>
    </row>
    <row r="867">
      <c r="D867" s="88"/>
      <c r="E867" s="89"/>
    </row>
    <row r="868">
      <c r="D868" s="88"/>
      <c r="E868" s="89"/>
    </row>
    <row r="869">
      <c r="D869" s="88"/>
      <c r="E869" s="89"/>
    </row>
    <row r="870">
      <c r="D870" s="88"/>
      <c r="E870" s="89"/>
    </row>
    <row r="871">
      <c r="D871" s="88"/>
      <c r="E871" s="89"/>
    </row>
    <row r="872">
      <c r="D872" s="88"/>
      <c r="E872" s="89"/>
    </row>
    <row r="873">
      <c r="D873" s="88"/>
      <c r="E873" s="89"/>
    </row>
    <row r="874">
      <c r="D874" s="88"/>
      <c r="E874" s="89"/>
    </row>
    <row r="875">
      <c r="D875" s="88"/>
      <c r="E875" s="89"/>
    </row>
    <row r="876">
      <c r="D876" s="88"/>
      <c r="E876" s="89"/>
    </row>
    <row r="877">
      <c r="D877" s="88"/>
      <c r="E877" s="89"/>
    </row>
    <row r="878">
      <c r="D878" s="88"/>
      <c r="E878" s="89"/>
    </row>
    <row r="879">
      <c r="D879" s="88"/>
      <c r="E879" s="89"/>
    </row>
    <row r="880">
      <c r="D880" s="88"/>
      <c r="E880" s="89"/>
    </row>
    <row r="881">
      <c r="D881" s="88"/>
      <c r="E881" s="89"/>
    </row>
    <row r="882">
      <c r="D882" s="88"/>
      <c r="E882" s="89"/>
    </row>
    <row r="883">
      <c r="D883" s="88"/>
      <c r="E883" s="89"/>
    </row>
    <row r="884">
      <c r="D884" s="88"/>
      <c r="E884" s="89"/>
    </row>
    <row r="885">
      <c r="D885" s="88"/>
      <c r="E885" s="89"/>
    </row>
    <row r="886">
      <c r="D886" s="88"/>
      <c r="E886" s="89"/>
    </row>
    <row r="887">
      <c r="D887" s="88"/>
      <c r="E887" s="89"/>
    </row>
    <row r="888">
      <c r="D888" s="88"/>
      <c r="E888" s="89"/>
    </row>
    <row r="889">
      <c r="D889" s="88"/>
      <c r="E889" s="89"/>
    </row>
    <row r="890">
      <c r="D890" s="88"/>
      <c r="E890" s="89"/>
    </row>
    <row r="891">
      <c r="D891" s="88"/>
      <c r="E891" s="89"/>
    </row>
    <row r="892">
      <c r="D892" s="88"/>
      <c r="E892" s="89"/>
    </row>
    <row r="893">
      <c r="D893" s="88"/>
      <c r="E893" s="89"/>
    </row>
    <row r="894">
      <c r="D894" s="88"/>
      <c r="E894" s="89"/>
    </row>
    <row r="895">
      <c r="D895" s="88"/>
      <c r="E895" s="89"/>
    </row>
    <row r="896">
      <c r="D896" s="88"/>
      <c r="E896" s="89"/>
    </row>
    <row r="897">
      <c r="D897" s="88"/>
      <c r="E897" s="89"/>
    </row>
    <row r="898">
      <c r="D898" s="88"/>
      <c r="E898" s="89"/>
    </row>
    <row r="899">
      <c r="D899" s="88"/>
      <c r="E899" s="89"/>
    </row>
    <row r="900">
      <c r="D900" s="88"/>
      <c r="E900" s="89"/>
    </row>
    <row r="901">
      <c r="D901" s="88"/>
      <c r="E901" s="89"/>
    </row>
    <row r="902">
      <c r="D902" s="88"/>
      <c r="E902" s="89"/>
    </row>
    <row r="903">
      <c r="D903" s="88"/>
      <c r="E903" s="89"/>
    </row>
    <row r="904">
      <c r="D904" s="88"/>
      <c r="E904" s="89"/>
    </row>
    <row r="905">
      <c r="D905" s="88"/>
      <c r="E905" s="89"/>
    </row>
    <row r="906">
      <c r="D906" s="88"/>
      <c r="E906" s="89"/>
    </row>
    <row r="907">
      <c r="D907" s="88"/>
      <c r="E907" s="89"/>
    </row>
    <row r="908">
      <c r="D908" s="88"/>
      <c r="E908" s="89"/>
    </row>
    <row r="909">
      <c r="D909" s="88"/>
      <c r="E909" s="89"/>
    </row>
    <row r="910">
      <c r="D910" s="88"/>
      <c r="E910" s="89"/>
    </row>
    <row r="911">
      <c r="D911" s="88"/>
      <c r="E911" s="89"/>
    </row>
    <row r="912">
      <c r="D912" s="88"/>
      <c r="E912" s="89"/>
    </row>
    <row r="913">
      <c r="D913" s="88"/>
      <c r="E913" s="89"/>
    </row>
    <row r="914">
      <c r="D914" s="88"/>
      <c r="E914" s="89"/>
    </row>
    <row r="915">
      <c r="D915" s="88"/>
      <c r="E915" s="89"/>
    </row>
    <row r="916">
      <c r="D916" s="88"/>
      <c r="E916" s="89"/>
    </row>
    <row r="917">
      <c r="D917" s="88"/>
      <c r="E917" s="89"/>
    </row>
    <row r="918">
      <c r="D918" s="88"/>
      <c r="E918" s="89"/>
    </row>
    <row r="919">
      <c r="D919" s="88"/>
      <c r="E919" s="89"/>
    </row>
    <row r="920">
      <c r="D920" s="88"/>
      <c r="E920" s="89"/>
    </row>
    <row r="921">
      <c r="D921" s="88"/>
      <c r="E921" s="89"/>
    </row>
    <row r="922">
      <c r="D922" s="88"/>
      <c r="E922" s="89"/>
    </row>
    <row r="923">
      <c r="D923" s="88"/>
      <c r="E923" s="89"/>
    </row>
    <row r="924">
      <c r="D924" s="88"/>
      <c r="E924" s="89"/>
    </row>
    <row r="925">
      <c r="D925" s="88"/>
      <c r="E925" s="89"/>
    </row>
    <row r="926">
      <c r="D926" s="88"/>
      <c r="E926" s="89"/>
    </row>
    <row r="927">
      <c r="D927" s="88"/>
      <c r="E927" s="89"/>
    </row>
    <row r="928">
      <c r="D928" s="88"/>
      <c r="E928" s="89"/>
    </row>
    <row r="929">
      <c r="D929" s="88"/>
      <c r="E929" s="89"/>
    </row>
    <row r="930">
      <c r="D930" s="88"/>
      <c r="E930" s="89"/>
    </row>
    <row r="931">
      <c r="D931" s="88"/>
      <c r="E931" s="89"/>
    </row>
    <row r="932">
      <c r="D932" s="88"/>
      <c r="E932" s="89"/>
    </row>
    <row r="933">
      <c r="D933" s="88"/>
      <c r="E933" s="89"/>
    </row>
    <row r="934">
      <c r="D934" s="88"/>
      <c r="E934" s="89"/>
    </row>
    <row r="935">
      <c r="D935" s="88"/>
      <c r="E935" s="89"/>
    </row>
    <row r="936">
      <c r="D936" s="88"/>
      <c r="E936" s="89"/>
    </row>
    <row r="937">
      <c r="D937" s="88"/>
      <c r="E937" s="89"/>
    </row>
    <row r="938">
      <c r="D938" s="88"/>
      <c r="E938" s="89"/>
    </row>
    <row r="939">
      <c r="D939" s="88"/>
      <c r="E939" s="89"/>
    </row>
    <row r="940">
      <c r="D940" s="88"/>
      <c r="E940" s="89"/>
    </row>
    <row r="941">
      <c r="D941" s="88"/>
      <c r="E941" s="89"/>
    </row>
    <row r="942">
      <c r="D942" s="88"/>
      <c r="E942" s="89"/>
    </row>
    <row r="943">
      <c r="D943" s="88"/>
      <c r="E943" s="89"/>
    </row>
    <row r="944">
      <c r="D944" s="88"/>
      <c r="E944" s="89"/>
    </row>
    <row r="945">
      <c r="D945" s="88"/>
      <c r="E945" s="89"/>
    </row>
    <row r="946">
      <c r="D946" s="88"/>
      <c r="E946" s="89"/>
    </row>
    <row r="947">
      <c r="D947" s="88"/>
      <c r="E947" s="89"/>
    </row>
    <row r="948">
      <c r="D948" s="88"/>
      <c r="E948" s="89"/>
    </row>
    <row r="949">
      <c r="D949" s="88"/>
      <c r="E949" s="89"/>
    </row>
    <row r="950">
      <c r="D950" s="88"/>
      <c r="E950" s="89"/>
    </row>
    <row r="951">
      <c r="D951" s="88"/>
      <c r="E951" s="89"/>
    </row>
    <row r="952">
      <c r="D952" s="88"/>
      <c r="E952" s="89"/>
    </row>
    <row r="953">
      <c r="D953" s="88"/>
      <c r="E953" s="89"/>
    </row>
    <row r="954">
      <c r="D954" s="88"/>
      <c r="E954" s="89"/>
    </row>
    <row r="955">
      <c r="D955" s="88"/>
      <c r="E955" s="89"/>
    </row>
    <row r="956">
      <c r="D956" s="88"/>
      <c r="E956" s="89"/>
    </row>
    <row r="957">
      <c r="D957" s="88"/>
      <c r="E957" s="89"/>
    </row>
    <row r="958">
      <c r="D958" s="88"/>
      <c r="E958" s="89"/>
    </row>
    <row r="959">
      <c r="D959" s="88"/>
      <c r="E959" s="89"/>
    </row>
    <row r="960">
      <c r="D960" s="88"/>
      <c r="E960" s="89"/>
    </row>
    <row r="961">
      <c r="D961" s="88"/>
      <c r="E961" s="89"/>
    </row>
    <row r="962">
      <c r="D962" s="88"/>
      <c r="E962" s="89"/>
    </row>
    <row r="963">
      <c r="D963" s="88"/>
      <c r="E963" s="89"/>
    </row>
    <row r="964">
      <c r="D964" s="88"/>
      <c r="E964" s="89"/>
    </row>
    <row r="965">
      <c r="D965" s="88"/>
      <c r="E965" s="89"/>
    </row>
    <row r="966">
      <c r="D966" s="88"/>
      <c r="E966" s="89"/>
    </row>
    <row r="967">
      <c r="D967" s="88"/>
      <c r="E967" s="89"/>
    </row>
    <row r="968">
      <c r="D968" s="88"/>
      <c r="E968" s="89"/>
    </row>
    <row r="969">
      <c r="D969" s="88"/>
      <c r="E969" s="89"/>
    </row>
    <row r="970">
      <c r="D970" s="88"/>
      <c r="E970" s="89"/>
    </row>
    <row r="971">
      <c r="D971" s="88"/>
      <c r="E971" s="89"/>
    </row>
    <row r="972">
      <c r="D972" s="88"/>
      <c r="E972" s="89"/>
    </row>
    <row r="973">
      <c r="D973" s="88"/>
      <c r="E973" s="89"/>
    </row>
    <row r="974">
      <c r="D974" s="88"/>
      <c r="E974" s="89"/>
    </row>
    <row r="975">
      <c r="D975" s="88"/>
      <c r="E975" s="89"/>
    </row>
    <row r="976">
      <c r="D976" s="88"/>
      <c r="E976" s="89"/>
    </row>
    <row r="977">
      <c r="D977" s="88"/>
      <c r="E977" s="89"/>
    </row>
    <row r="978">
      <c r="D978" s="88"/>
      <c r="E978" s="89"/>
    </row>
    <row r="979">
      <c r="D979" s="88"/>
      <c r="E979" s="89"/>
    </row>
    <row r="980">
      <c r="D980" s="88"/>
      <c r="E980" s="89"/>
    </row>
    <row r="981">
      <c r="D981" s="88"/>
      <c r="E981" s="89"/>
    </row>
    <row r="982">
      <c r="D982" s="88"/>
      <c r="E982" s="89"/>
    </row>
    <row r="983">
      <c r="D983" s="88"/>
      <c r="E983" s="89"/>
    </row>
    <row r="984">
      <c r="D984" s="88"/>
      <c r="E984" s="89"/>
    </row>
    <row r="985">
      <c r="D985" s="88"/>
      <c r="E985" s="89"/>
    </row>
    <row r="986">
      <c r="D986" s="88"/>
      <c r="E986" s="89"/>
    </row>
    <row r="987">
      <c r="D987" s="88"/>
      <c r="E987" s="89"/>
    </row>
    <row r="988">
      <c r="D988" s="88"/>
      <c r="E988" s="89"/>
    </row>
    <row r="989">
      <c r="D989" s="88"/>
      <c r="E989" s="89"/>
    </row>
    <row r="990">
      <c r="D990" s="88"/>
      <c r="E990" s="89"/>
    </row>
    <row r="991">
      <c r="D991" s="88"/>
      <c r="E991" s="89"/>
    </row>
    <row r="992">
      <c r="D992" s="88"/>
      <c r="E992" s="89"/>
    </row>
    <row r="993">
      <c r="D993" s="88"/>
      <c r="E993" s="89"/>
    </row>
    <row r="994">
      <c r="D994" s="88"/>
      <c r="E994" s="89"/>
    </row>
    <row r="995">
      <c r="D995" s="88"/>
      <c r="E995" s="89"/>
    </row>
    <row r="996">
      <c r="D996" s="88"/>
      <c r="E996" s="89"/>
    </row>
    <row r="997">
      <c r="D997" s="88"/>
      <c r="E997" s="89"/>
    </row>
    <row r="998">
      <c r="D998" s="88"/>
      <c r="E998" s="89"/>
    </row>
    <row r="999">
      <c r="D999" s="88"/>
      <c r="E999" s="89"/>
    </row>
  </sheetData>
  <conditionalFormatting sqref="E1:E999">
    <cfRule type="containsText" dxfId="1" priority="1" operator="containsText" text="Sin ventas">
      <formula>NOT(ISERROR(SEARCH(("Sin ventas"),(E1))))</formula>
    </cfRule>
  </conditionalFormatting>
  <conditionalFormatting sqref="J2:O49">
    <cfRule type="expression" dxfId="2" priority="2">
      <formula>J2&gt;=$G2</formula>
    </cfRule>
  </conditionalFormatting>
  <conditionalFormatting sqref="J2:O49">
    <cfRule type="expression" dxfId="3" priority="3">
      <formula>J2&gt;=$F2</formula>
    </cfRule>
  </conditionalFormatting>
  <dataValidations>
    <dataValidation type="list" allowBlank="1" showErrorMessage="1" sqref="Q2:T49">
      <formula1>Palancas!$A$2:$A$15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3.13"/>
    <col customWidth="1" min="3" max="3" width="65.38"/>
    <col customWidth="1" min="4" max="4" width="11.38"/>
    <col customWidth="1" min="5" max="5" width="7.13"/>
    <col customWidth="1" min="6" max="6" width="8.75"/>
    <col customWidth="1" min="7" max="7" width="20.13"/>
    <col customWidth="1" min="10" max="10" width="16.13"/>
  </cols>
  <sheetData>
    <row r="1">
      <c r="A1" s="90" t="s">
        <v>431</v>
      </c>
      <c r="B1" s="90" t="s">
        <v>432</v>
      </c>
      <c r="C1" s="90" t="s">
        <v>433</v>
      </c>
      <c r="D1" s="91" t="s">
        <v>434</v>
      </c>
      <c r="E1" s="90" t="s">
        <v>435</v>
      </c>
      <c r="F1" s="92" t="s">
        <v>436</v>
      </c>
      <c r="G1" s="93" t="s">
        <v>437</v>
      </c>
      <c r="I1" s="94" t="s">
        <v>438</v>
      </c>
      <c r="J1" s="94" t="s">
        <v>439</v>
      </c>
      <c r="K1" s="94" t="s">
        <v>440</v>
      </c>
      <c r="M1" s="95"/>
    </row>
    <row r="2">
      <c r="A2" s="96" t="s">
        <v>441</v>
      </c>
      <c r="B2" s="96" t="s">
        <v>442</v>
      </c>
      <c r="C2" s="96" t="s">
        <v>443</v>
      </c>
      <c r="D2" s="97">
        <v>6.73</v>
      </c>
      <c r="E2" s="98">
        <v>1.0</v>
      </c>
      <c r="F2" s="99">
        <v>0.019</v>
      </c>
      <c r="G2" s="100">
        <f t="shared" ref="G2:G443" si="1">(((D2*$K$2*E2)+(F2*$K$3*$K$4))*1.19)/E2</f>
        <v>8872.045</v>
      </c>
      <c r="I2" s="101" t="s">
        <v>444</v>
      </c>
      <c r="J2" s="94" t="s">
        <v>445</v>
      </c>
      <c r="K2" s="94">
        <v>925.0</v>
      </c>
      <c r="M2" s="95"/>
    </row>
    <row r="3">
      <c r="A3" s="96" t="s">
        <v>446</v>
      </c>
      <c r="B3" s="96" t="s">
        <v>447</v>
      </c>
      <c r="C3" s="96" t="s">
        <v>448</v>
      </c>
      <c r="D3" s="97">
        <v>9.81</v>
      </c>
      <c r="E3" s="98">
        <v>1.0</v>
      </c>
      <c r="F3" s="99">
        <v>0.0106</v>
      </c>
      <c r="G3" s="100">
        <f t="shared" si="1"/>
        <v>11615.114</v>
      </c>
      <c r="I3" s="101" t="s">
        <v>449</v>
      </c>
      <c r="J3" s="94" t="s">
        <v>450</v>
      </c>
      <c r="K3" s="94">
        <v>925.0</v>
      </c>
      <c r="M3" s="95"/>
    </row>
    <row r="4">
      <c r="A4" s="96" t="s">
        <v>451</v>
      </c>
      <c r="B4" s="96" t="s">
        <v>452</v>
      </c>
      <c r="C4" s="96" t="s">
        <v>453</v>
      </c>
      <c r="D4" s="97">
        <v>7.4</v>
      </c>
      <c r="E4" s="98">
        <v>1.0</v>
      </c>
      <c r="F4" s="99">
        <v>0.0113</v>
      </c>
      <c r="G4" s="100">
        <f t="shared" si="1"/>
        <v>9016.24325</v>
      </c>
      <c r="I4" s="101" t="s">
        <v>454</v>
      </c>
      <c r="J4" s="94" t="s">
        <v>455</v>
      </c>
      <c r="K4" s="94">
        <v>70.0</v>
      </c>
      <c r="M4" s="95"/>
    </row>
    <row r="5">
      <c r="A5" s="96" t="s">
        <v>456</v>
      </c>
      <c r="B5" s="96" t="s">
        <v>457</v>
      </c>
      <c r="C5" s="96" t="s">
        <v>458</v>
      </c>
      <c r="D5" s="97">
        <v>4.35</v>
      </c>
      <c r="E5" s="98">
        <v>1.0</v>
      </c>
      <c r="F5" s="99">
        <v>0.0141</v>
      </c>
      <c r="G5" s="100">
        <f t="shared" si="1"/>
        <v>5874.70275</v>
      </c>
      <c r="M5" s="95"/>
    </row>
    <row r="6">
      <c r="A6" s="96" t="s">
        <v>459</v>
      </c>
      <c r="B6" s="96" t="s">
        <v>460</v>
      </c>
      <c r="C6" s="96" t="s">
        <v>461</v>
      </c>
      <c r="D6" s="97">
        <v>16.92</v>
      </c>
      <c r="E6" s="98">
        <v>1.0</v>
      </c>
      <c r="F6" s="99">
        <v>0.0081</v>
      </c>
      <c r="G6" s="100">
        <f t="shared" si="1"/>
        <v>19248.81525</v>
      </c>
      <c r="M6" s="95"/>
    </row>
    <row r="7">
      <c r="A7" s="96" t="s">
        <v>462</v>
      </c>
      <c r="B7" s="96" t="s">
        <v>463</v>
      </c>
      <c r="C7" s="96" t="s">
        <v>464</v>
      </c>
      <c r="D7" s="97">
        <v>3.08</v>
      </c>
      <c r="E7" s="98">
        <v>1.0</v>
      </c>
      <c r="F7" s="99">
        <v>0.0076</v>
      </c>
      <c r="G7" s="100">
        <f t="shared" si="1"/>
        <v>3975.909</v>
      </c>
    </row>
    <row r="8">
      <c r="A8" s="96" t="s">
        <v>465</v>
      </c>
      <c r="B8" s="102" t="s">
        <v>466</v>
      </c>
      <c r="C8" s="96" t="s">
        <v>467</v>
      </c>
      <c r="D8" s="97">
        <v>6.21</v>
      </c>
      <c r="E8" s="98">
        <v>1.0</v>
      </c>
      <c r="F8" s="99">
        <v>0.0151</v>
      </c>
      <c r="G8" s="100">
        <f t="shared" si="1"/>
        <v>7999.15025</v>
      </c>
      <c r="M8" s="95"/>
    </row>
    <row r="9">
      <c r="A9" s="96" t="s">
        <v>468</v>
      </c>
      <c r="B9" s="96"/>
      <c r="C9" s="96" t="s">
        <v>469</v>
      </c>
      <c r="D9" s="97">
        <v>8.6</v>
      </c>
      <c r="E9" s="98">
        <v>1.0</v>
      </c>
      <c r="F9" s="99">
        <v>0.015</v>
      </c>
      <c r="G9" s="100">
        <f t="shared" si="1"/>
        <v>10622.2375</v>
      </c>
      <c r="I9" s="95"/>
    </row>
    <row r="10">
      <c r="A10" s="96" t="s">
        <v>470</v>
      </c>
      <c r="B10" s="96" t="s">
        <v>471</v>
      </c>
      <c r="C10" s="96" t="s">
        <v>472</v>
      </c>
      <c r="D10" s="97">
        <v>1.84</v>
      </c>
      <c r="E10" s="98">
        <v>1.0</v>
      </c>
      <c r="F10" s="99">
        <v>0.003</v>
      </c>
      <c r="G10" s="100">
        <f t="shared" si="1"/>
        <v>2256.5375</v>
      </c>
      <c r="I10" s="95"/>
    </row>
    <row r="11">
      <c r="A11" s="96" t="s">
        <v>473</v>
      </c>
      <c r="B11" s="96" t="s">
        <v>474</v>
      </c>
      <c r="C11" s="96" t="s">
        <v>475</v>
      </c>
      <c r="D11" s="97">
        <v>13.93</v>
      </c>
      <c r="E11" s="98">
        <v>1.0</v>
      </c>
      <c r="F11" s="99">
        <v>0.0206</v>
      </c>
      <c r="G11" s="100">
        <f t="shared" si="1"/>
        <v>16920.729</v>
      </c>
    </row>
    <row r="12">
      <c r="A12" s="96" t="s">
        <v>476</v>
      </c>
      <c r="B12" s="96" t="s">
        <v>477</v>
      </c>
      <c r="C12" s="96" t="s">
        <v>478</v>
      </c>
      <c r="D12" s="97">
        <v>13.57</v>
      </c>
      <c r="E12" s="98">
        <v>1.0</v>
      </c>
      <c r="F12" s="99">
        <v>0.0174</v>
      </c>
      <c r="G12" s="100">
        <f t="shared" si="1"/>
        <v>16277.891</v>
      </c>
      <c r="J12" s="103"/>
    </row>
    <row r="13">
      <c r="A13" s="96" t="s">
        <v>479</v>
      </c>
      <c r="B13" s="96" t="s">
        <v>480</v>
      </c>
      <c r="C13" s="96" t="s">
        <v>481</v>
      </c>
      <c r="D13" s="97">
        <v>6.03</v>
      </c>
      <c r="E13" s="98">
        <v>1.0</v>
      </c>
      <c r="F13" s="99">
        <v>0.0149</v>
      </c>
      <c r="G13" s="100">
        <f t="shared" si="1"/>
        <v>7785.60475</v>
      </c>
    </row>
    <row r="14">
      <c r="A14" s="96" t="s">
        <v>482</v>
      </c>
      <c r="B14" s="96" t="s">
        <v>483</v>
      </c>
      <c r="C14" s="96" t="s">
        <v>484</v>
      </c>
      <c r="D14" s="97">
        <v>37.01</v>
      </c>
      <c r="E14" s="98">
        <v>1.0</v>
      </c>
      <c r="F14" s="99">
        <v>0.033</v>
      </c>
      <c r="G14" s="100">
        <f t="shared" si="1"/>
        <v>43281.49</v>
      </c>
    </row>
    <row r="15">
      <c r="A15" s="96" t="s">
        <v>485</v>
      </c>
      <c r="B15" s="96" t="s">
        <v>452</v>
      </c>
      <c r="C15" s="96" t="s">
        <v>486</v>
      </c>
      <c r="D15" s="97">
        <v>8.45</v>
      </c>
      <c r="E15" s="98">
        <v>1.0</v>
      </c>
      <c r="F15" s="99">
        <v>0.015</v>
      </c>
      <c r="G15" s="100">
        <f t="shared" si="1"/>
        <v>10457.125</v>
      </c>
    </row>
    <row r="16">
      <c r="A16" s="96" t="s">
        <v>487</v>
      </c>
      <c r="B16" s="96" t="s">
        <v>488</v>
      </c>
      <c r="C16" s="96" t="s">
        <v>489</v>
      </c>
      <c r="D16" s="97">
        <v>10.76</v>
      </c>
      <c r="E16" s="98">
        <v>1.0</v>
      </c>
      <c r="F16" s="99">
        <v>0.0089</v>
      </c>
      <c r="G16" s="100">
        <f t="shared" si="1"/>
        <v>12529.83725</v>
      </c>
    </row>
    <row r="17">
      <c r="A17" s="96" t="s">
        <v>490</v>
      </c>
      <c r="B17" s="96" t="s">
        <v>491</v>
      </c>
      <c r="C17" s="96" t="s">
        <v>492</v>
      </c>
      <c r="D17" s="97">
        <v>18.58</v>
      </c>
      <c r="E17" s="98">
        <v>1.0</v>
      </c>
      <c r="F17" s="99">
        <v>0.0088</v>
      </c>
      <c r="G17" s="100">
        <f t="shared" si="1"/>
        <v>21129.997</v>
      </c>
    </row>
    <row r="18">
      <c r="A18" s="96" t="s">
        <v>493</v>
      </c>
      <c r="B18" s="96" t="s">
        <v>494</v>
      </c>
      <c r="C18" s="96" t="s">
        <v>495</v>
      </c>
      <c r="D18" s="97">
        <v>2.45</v>
      </c>
      <c r="E18" s="98">
        <v>1.0</v>
      </c>
      <c r="F18" s="99">
        <v>0.0051</v>
      </c>
      <c r="G18" s="100">
        <f t="shared" si="1"/>
        <v>3089.80525</v>
      </c>
    </row>
    <row r="19">
      <c r="A19" s="96" t="s">
        <v>496</v>
      </c>
      <c r="B19" s="96" t="s">
        <v>497</v>
      </c>
      <c r="C19" s="96" t="s">
        <v>498</v>
      </c>
      <c r="D19" s="97">
        <v>37.23</v>
      </c>
      <c r="E19" s="98">
        <v>1.0</v>
      </c>
      <c r="F19" s="99">
        <v>0.1066</v>
      </c>
      <c r="G19" s="100">
        <f t="shared" si="1"/>
        <v>49194.719</v>
      </c>
    </row>
    <row r="20">
      <c r="A20" s="96" t="s">
        <v>499</v>
      </c>
      <c r="B20" s="96" t="s">
        <v>500</v>
      </c>
      <c r="C20" s="96" t="s">
        <v>501</v>
      </c>
      <c r="D20" s="97">
        <v>10.05</v>
      </c>
      <c r="E20" s="98">
        <v>1.0</v>
      </c>
      <c r="F20" s="99">
        <v>0.0017</v>
      </c>
      <c r="G20" s="100">
        <f t="shared" si="1"/>
        <v>11193.52675</v>
      </c>
    </row>
    <row r="21">
      <c r="A21" s="96" t="s">
        <v>502</v>
      </c>
      <c r="B21" s="96" t="s">
        <v>503</v>
      </c>
      <c r="C21" s="96" t="s">
        <v>504</v>
      </c>
      <c r="D21" s="97">
        <v>18.46</v>
      </c>
      <c r="E21" s="98">
        <v>1.0</v>
      </c>
      <c r="F21" s="99">
        <v>0.0355</v>
      </c>
      <c r="G21" s="100">
        <f t="shared" si="1"/>
        <v>23055.20875</v>
      </c>
    </row>
    <row r="22">
      <c r="A22" s="96" t="s">
        <v>505</v>
      </c>
      <c r="B22" s="96" t="s">
        <v>506</v>
      </c>
      <c r="C22" s="96" t="s">
        <v>504</v>
      </c>
      <c r="D22" s="97">
        <v>18.46</v>
      </c>
      <c r="E22" s="98">
        <v>1.0</v>
      </c>
      <c r="F22" s="99">
        <v>0.0355</v>
      </c>
      <c r="G22" s="100">
        <f t="shared" si="1"/>
        <v>23055.20875</v>
      </c>
    </row>
    <row r="23">
      <c r="A23" s="96" t="s">
        <v>507</v>
      </c>
      <c r="B23" s="96" t="s">
        <v>508</v>
      </c>
      <c r="C23" s="96" t="s">
        <v>509</v>
      </c>
      <c r="D23" s="97">
        <v>27.33</v>
      </c>
      <c r="E23" s="98">
        <v>1.0</v>
      </c>
      <c r="F23" s="99">
        <v>0.0488</v>
      </c>
      <c r="G23" s="100">
        <f t="shared" si="1"/>
        <v>33843.6595</v>
      </c>
    </row>
    <row r="24">
      <c r="A24" s="96" t="s">
        <v>510</v>
      </c>
      <c r="B24" s="96" t="s">
        <v>511</v>
      </c>
      <c r="C24" s="96" t="s">
        <v>512</v>
      </c>
      <c r="D24" s="97">
        <v>52.75</v>
      </c>
      <c r="E24" s="98">
        <v>1.0</v>
      </c>
      <c r="F24" s="99">
        <v>0.0427</v>
      </c>
      <c r="G24" s="100">
        <f t="shared" si="1"/>
        <v>61354.70425</v>
      </c>
    </row>
    <row r="25">
      <c r="A25" s="96" t="s">
        <v>513</v>
      </c>
      <c r="B25" s="96" t="s">
        <v>514</v>
      </c>
      <c r="C25" s="96" t="s">
        <v>515</v>
      </c>
      <c r="D25" s="97">
        <v>7.07</v>
      </c>
      <c r="E25" s="98">
        <v>1.0</v>
      </c>
      <c r="F25" s="99">
        <v>0.0281</v>
      </c>
      <c r="G25" s="100">
        <f t="shared" si="1"/>
        <v>9947.47775</v>
      </c>
    </row>
    <row r="26">
      <c r="A26" s="96" t="s">
        <v>516</v>
      </c>
      <c r="B26" s="96" t="s">
        <v>517</v>
      </c>
      <c r="C26" s="96" t="s">
        <v>518</v>
      </c>
      <c r="D26" s="97">
        <v>41.52</v>
      </c>
      <c r="E26" s="98">
        <v>1.0</v>
      </c>
      <c r="F26" s="99">
        <v>0.1094</v>
      </c>
      <c r="G26" s="100">
        <f t="shared" si="1"/>
        <v>54132.6835</v>
      </c>
    </row>
    <row r="27">
      <c r="A27" s="96" t="s">
        <v>519</v>
      </c>
      <c r="B27" s="96" t="s">
        <v>520</v>
      </c>
      <c r="C27" s="96" t="s">
        <v>521</v>
      </c>
      <c r="D27" s="97">
        <v>31.74</v>
      </c>
      <c r="E27" s="98">
        <v>1.0</v>
      </c>
      <c r="F27" s="99">
        <v>0.0189</v>
      </c>
      <c r="G27" s="100">
        <f t="shared" si="1"/>
        <v>36394.09725</v>
      </c>
    </row>
    <row r="28">
      <c r="A28" s="96" t="s">
        <v>522</v>
      </c>
      <c r="B28" s="96" t="s">
        <v>523</v>
      </c>
      <c r="C28" s="96" t="s">
        <v>524</v>
      </c>
      <c r="D28" s="97">
        <v>2.95</v>
      </c>
      <c r="E28" s="98">
        <v>1.0</v>
      </c>
      <c r="F28" s="99">
        <v>0.0055</v>
      </c>
      <c r="G28" s="100">
        <f t="shared" si="1"/>
        <v>3671.00125</v>
      </c>
    </row>
    <row r="29">
      <c r="A29" s="96" t="s">
        <v>525</v>
      </c>
      <c r="B29" s="96" t="s">
        <v>526</v>
      </c>
      <c r="C29" s="96" t="s">
        <v>527</v>
      </c>
      <c r="D29" s="97">
        <v>23.64</v>
      </c>
      <c r="E29" s="98">
        <v>1.0</v>
      </c>
      <c r="F29" s="99">
        <v>0.049</v>
      </c>
      <c r="G29" s="100">
        <f t="shared" si="1"/>
        <v>29797.3025</v>
      </c>
    </row>
    <row r="30">
      <c r="A30" s="96" t="s">
        <v>528</v>
      </c>
      <c r="B30" s="96" t="s">
        <v>529</v>
      </c>
      <c r="C30" s="96" t="s">
        <v>527</v>
      </c>
      <c r="D30" s="97">
        <v>23.64</v>
      </c>
      <c r="E30" s="98">
        <v>1.0</v>
      </c>
      <c r="F30" s="99">
        <v>0.049</v>
      </c>
      <c r="G30" s="100">
        <f t="shared" si="1"/>
        <v>29797.3025</v>
      </c>
    </row>
    <row r="31">
      <c r="A31" s="96" t="s">
        <v>530</v>
      </c>
      <c r="B31" s="96" t="s">
        <v>531</v>
      </c>
      <c r="C31" s="96" t="s">
        <v>532</v>
      </c>
      <c r="D31" s="97">
        <v>5.3</v>
      </c>
      <c r="E31" s="98">
        <v>1.0</v>
      </c>
      <c r="F31" s="99">
        <v>0.0168</v>
      </c>
      <c r="G31" s="100">
        <f t="shared" si="1"/>
        <v>7128.457</v>
      </c>
    </row>
    <row r="32">
      <c r="A32" s="96" t="s">
        <v>533</v>
      </c>
      <c r="B32" s="96" t="s">
        <v>534</v>
      </c>
      <c r="C32" s="96" t="s">
        <v>535</v>
      </c>
      <c r="D32" s="97">
        <v>3.1</v>
      </c>
      <c r="E32" s="98">
        <v>1.0</v>
      </c>
      <c r="F32" s="99">
        <v>1.0E-4</v>
      </c>
      <c r="G32" s="100">
        <f t="shared" si="1"/>
        <v>3420.03025</v>
      </c>
    </row>
    <row r="33">
      <c r="A33" s="96" t="s">
        <v>536</v>
      </c>
      <c r="B33" s="96" t="s">
        <v>537</v>
      </c>
      <c r="C33" s="96" t="s">
        <v>538</v>
      </c>
      <c r="D33" s="97">
        <v>23.82</v>
      </c>
      <c r="E33" s="98">
        <v>1.0</v>
      </c>
      <c r="F33" s="99">
        <v>0.0312</v>
      </c>
      <c r="G33" s="100">
        <f t="shared" si="1"/>
        <v>28623.903</v>
      </c>
    </row>
    <row r="34">
      <c r="A34" s="96" t="s">
        <v>539</v>
      </c>
      <c r="B34" s="96" t="s">
        <v>540</v>
      </c>
      <c r="C34" s="96" t="s">
        <v>541</v>
      </c>
      <c r="D34" s="97">
        <v>37.72</v>
      </c>
      <c r="E34" s="98">
        <v>1.0</v>
      </c>
      <c r="F34" s="99">
        <v>0.1003</v>
      </c>
      <c r="G34" s="100">
        <f t="shared" si="1"/>
        <v>49248.65575</v>
      </c>
    </row>
    <row r="35">
      <c r="A35" s="96" t="s">
        <v>542</v>
      </c>
      <c r="B35" s="96" t="s">
        <v>543</v>
      </c>
      <c r="C35" s="96" t="s">
        <v>544</v>
      </c>
      <c r="D35" s="97">
        <v>41.09</v>
      </c>
      <c r="E35" s="98">
        <v>1.0</v>
      </c>
      <c r="F35" s="99">
        <v>0.0709</v>
      </c>
      <c r="G35" s="100">
        <f t="shared" si="1"/>
        <v>50692.83975</v>
      </c>
    </row>
    <row r="36">
      <c r="A36" s="96" t="s">
        <v>545</v>
      </c>
      <c r="B36" s="96" t="s">
        <v>546</v>
      </c>
      <c r="C36" s="96" t="s">
        <v>547</v>
      </c>
      <c r="D36" s="97">
        <v>5.11</v>
      </c>
      <c r="E36" s="98">
        <v>1.0</v>
      </c>
      <c r="F36" s="99">
        <v>0.0238</v>
      </c>
      <c r="G36" s="100">
        <f t="shared" si="1"/>
        <v>7458.682</v>
      </c>
    </row>
    <row r="37">
      <c r="A37" s="96" t="s">
        <v>548</v>
      </c>
      <c r="B37" s="96" t="s">
        <v>549</v>
      </c>
      <c r="C37" s="96" t="s">
        <v>550</v>
      </c>
      <c r="D37" s="97">
        <v>35.1</v>
      </c>
      <c r="E37" s="98">
        <v>1.0</v>
      </c>
      <c r="F37" s="99">
        <v>0.0637</v>
      </c>
      <c r="G37" s="100">
        <f t="shared" si="1"/>
        <v>43544.56925</v>
      </c>
    </row>
    <row r="38">
      <c r="A38" s="96" t="s">
        <v>551</v>
      </c>
      <c r="B38" s="96" t="s">
        <v>552</v>
      </c>
      <c r="C38" s="96" t="s">
        <v>553</v>
      </c>
      <c r="D38" s="97">
        <v>41.52</v>
      </c>
      <c r="E38" s="98">
        <v>1.0</v>
      </c>
      <c r="F38" s="99">
        <v>0.1094</v>
      </c>
      <c r="G38" s="100">
        <f t="shared" si="1"/>
        <v>54132.6835</v>
      </c>
    </row>
    <row r="39">
      <c r="A39" s="96" t="s">
        <v>554</v>
      </c>
      <c r="B39" s="96" t="s">
        <v>555</v>
      </c>
      <c r="C39" s="96" t="s">
        <v>556</v>
      </c>
      <c r="D39" s="97">
        <v>8.5</v>
      </c>
      <c r="E39" s="98">
        <v>1.0</v>
      </c>
      <c r="F39" s="99">
        <v>0.002</v>
      </c>
      <c r="G39" s="100">
        <f t="shared" si="1"/>
        <v>9510.48</v>
      </c>
    </row>
    <row r="40">
      <c r="A40" s="96" t="s">
        <v>557</v>
      </c>
      <c r="B40" s="96" t="s">
        <v>558</v>
      </c>
      <c r="C40" s="96" t="s">
        <v>556</v>
      </c>
      <c r="D40" s="97">
        <v>8.5</v>
      </c>
      <c r="E40" s="98">
        <v>1.0</v>
      </c>
      <c r="F40" s="99">
        <v>0.002</v>
      </c>
      <c r="G40" s="100">
        <f t="shared" si="1"/>
        <v>9510.48</v>
      </c>
    </row>
    <row r="41">
      <c r="A41" s="96" t="s">
        <v>559</v>
      </c>
      <c r="B41" s="96" t="s">
        <v>560</v>
      </c>
      <c r="C41" s="96" t="s">
        <v>561</v>
      </c>
      <c r="D41" s="97">
        <v>3.99</v>
      </c>
      <c r="E41" s="98">
        <v>1.0</v>
      </c>
      <c r="F41" s="99">
        <v>0.0116</v>
      </c>
      <c r="G41" s="100">
        <f t="shared" si="1"/>
        <v>5285.8015</v>
      </c>
    </row>
    <row r="42">
      <c r="A42" s="96" t="s">
        <v>562</v>
      </c>
      <c r="B42" s="96" t="s">
        <v>563</v>
      </c>
      <c r="C42" s="96" t="s">
        <v>564</v>
      </c>
      <c r="D42" s="97">
        <v>4.02</v>
      </c>
      <c r="E42" s="98">
        <v>1.0</v>
      </c>
      <c r="F42" s="99">
        <v>0.0073</v>
      </c>
      <c r="G42" s="100">
        <f t="shared" si="1"/>
        <v>4987.49825</v>
      </c>
    </row>
    <row r="43">
      <c r="A43" s="96" t="s">
        <v>565</v>
      </c>
      <c r="B43" s="96" t="s">
        <v>566</v>
      </c>
      <c r="C43" s="96" t="s">
        <v>567</v>
      </c>
      <c r="D43" s="97">
        <v>3.02</v>
      </c>
      <c r="E43" s="98">
        <v>1.0</v>
      </c>
      <c r="F43" s="99">
        <v>0.0113</v>
      </c>
      <c r="G43" s="100">
        <f t="shared" si="1"/>
        <v>4194.95825</v>
      </c>
    </row>
    <row r="44">
      <c r="A44" s="96" t="s">
        <v>568</v>
      </c>
      <c r="B44" s="96" t="s">
        <v>569</v>
      </c>
      <c r="C44" s="96" t="s">
        <v>570</v>
      </c>
      <c r="D44" s="97">
        <v>16.74</v>
      </c>
      <c r="E44" s="98">
        <v>1.0</v>
      </c>
      <c r="F44" s="99">
        <v>0.0365</v>
      </c>
      <c r="G44" s="100">
        <f t="shared" si="1"/>
        <v>21238.97125</v>
      </c>
    </row>
    <row r="45">
      <c r="A45" s="96" t="s">
        <v>571</v>
      </c>
      <c r="B45" s="96" t="s">
        <v>572</v>
      </c>
      <c r="C45" s="96" t="s">
        <v>573</v>
      </c>
      <c r="D45" s="97">
        <v>13.94</v>
      </c>
      <c r="E45" s="98">
        <v>1.0</v>
      </c>
      <c r="F45" s="99">
        <v>0.0076</v>
      </c>
      <c r="G45" s="100">
        <f t="shared" si="1"/>
        <v>15930.054</v>
      </c>
    </row>
    <row r="46">
      <c r="A46" s="96" t="s">
        <v>574</v>
      </c>
      <c r="B46" s="96" t="s">
        <v>575</v>
      </c>
      <c r="C46" s="96" t="s">
        <v>576</v>
      </c>
      <c r="D46" s="97">
        <v>9.58</v>
      </c>
      <c r="E46" s="98">
        <v>1.0</v>
      </c>
      <c r="F46" s="99">
        <v>0.01</v>
      </c>
      <c r="G46" s="100">
        <f t="shared" si="1"/>
        <v>11315.71</v>
      </c>
    </row>
    <row r="47">
      <c r="A47" s="96" t="s">
        <v>577</v>
      </c>
      <c r="B47" s="96" t="s">
        <v>578</v>
      </c>
      <c r="C47" s="96" t="s">
        <v>579</v>
      </c>
      <c r="D47" s="97">
        <v>9.0</v>
      </c>
      <c r="E47" s="98">
        <v>1.0</v>
      </c>
      <c r="F47" s="99">
        <v>0.0142</v>
      </c>
      <c r="G47" s="100">
        <f t="shared" si="1"/>
        <v>11000.8955</v>
      </c>
    </row>
    <row r="48">
      <c r="A48" s="96" t="s">
        <v>580</v>
      </c>
      <c r="B48" s="96" t="s">
        <v>581</v>
      </c>
      <c r="C48" s="96" t="s">
        <v>582</v>
      </c>
      <c r="D48" s="97">
        <v>7.85</v>
      </c>
      <c r="E48" s="98">
        <v>1.0</v>
      </c>
      <c r="F48" s="99">
        <v>0.0255</v>
      </c>
      <c r="G48" s="100">
        <f t="shared" si="1"/>
        <v>10605.72625</v>
      </c>
    </row>
    <row r="49">
      <c r="A49" s="96" t="s">
        <v>583</v>
      </c>
      <c r="B49" s="96" t="s">
        <v>584</v>
      </c>
      <c r="C49" s="96" t="s">
        <v>585</v>
      </c>
      <c r="D49" s="97">
        <v>15.7</v>
      </c>
      <c r="E49" s="98">
        <v>1.0</v>
      </c>
      <c r="F49" s="99">
        <v>0.0336</v>
      </c>
      <c r="G49" s="100">
        <f t="shared" si="1"/>
        <v>19870.739</v>
      </c>
    </row>
    <row r="50">
      <c r="A50" s="96" t="s">
        <v>586</v>
      </c>
      <c r="B50" s="96" t="s">
        <v>587</v>
      </c>
      <c r="C50" s="96" t="s">
        <v>588</v>
      </c>
      <c r="D50" s="97">
        <v>18.37</v>
      </c>
      <c r="E50" s="98">
        <v>1.0</v>
      </c>
      <c r="F50" s="99">
        <v>0.0336</v>
      </c>
      <c r="G50" s="100">
        <f t="shared" si="1"/>
        <v>22809.7415</v>
      </c>
    </row>
    <row r="51">
      <c r="A51" s="96" t="s">
        <v>589</v>
      </c>
      <c r="B51" s="96" t="s">
        <v>590</v>
      </c>
      <c r="C51" s="96" t="s">
        <v>591</v>
      </c>
      <c r="D51" s="97">
        <v>57.7</v>
      </c>
      <c r="E51" s="98">
        <v>1.0</v>
      </c>
      <c r="F51" s="99">
        <v>0.0373</v>
      </c>
      <c r="G51" s="100">
        <f t="shared" si="1"/>
        <v>66387.33325</v>
      </c>
    </row>
    <row r="52">
      <c r="A52" s="96" t="s">
        <v>592</v>
      </c>
      <c r="B52" s="96" t="s">
        <v>593</v>
      </c>
      <c r="C52" s="96" t="s">
        <v>594</v>
      </c>
      <c r="D52" s="97">
        <v>24.21</v>
      </c>
      <c r="E52" s="98">
        <v>1.0</v>
      </c>
      <c r="F52" s="99">
        <v>0.0403</v>
      </c>
      <c r="G52" s="100">
        <f t="shared" si="1"/>
        <v>29754.37325</v>
      </c>
    </row>
    <row r="53">
      <c r="A53" s="96" t="s">
        <v>595</v>
      </c>
      <c r="B53" s="96" t="s">
        <v>596</v>
      </c>
      <c r="C53" s="96" t="s">
        <v>594</v>
      </c>
      <c r="D53" s="97">
        <v>24.21</v>
      </c>
      <c r="E53" s="98">
        <v>1.0</v>
      </c>
      <c r="F53" s="99">
        <v>0.0403</v>
      </c>
      <c r="G53" s="100">
        <f t="shared" si="1"/>
        <v>29754.37325</v>
      </c>
    </row>
    <row r="54">
      <c r="A54" s="96" t="s">
        <v>597</v>
      </c>
      <c r="B54" s="96" t="s">
        <v>598</v>
      </c>
      <c r="C54" s="96" t="s">
        <v>599</v>
      </c>
      <c r="D54" s="97">
        <v>13.3</v>
      </c>
      <c r="E54" s="98">
        <v>1.0</v>
      </c>
      <c r="F54" s="99">
        <v>0.0081</v>
      </c>
      <c r="G54" s="100">
        <f t="shared" si="1"/>
        <v>15264.10025</v>
      </c>
    </row>
    <row r="55">
      <c r="A55" s="96" t="s">
        <v>600</v>
      </c>
      <c r="B55" s="96" t="s">
        <v>601</v>
      </c>
      <c r="C55" s="96" t="s">
        <v>602</v>
      </c>
      <c r="D55" s="97">
        <v>9.3</v>
      </c>
      <c r="E55" s="98">
        <v>1.0</v>
      </c>
      <c r="F55" s="99">
        <v>0.013</v>
      </c>
      <c r="G55" s="100">
        <f t="shared" si="1"/>
        <v>11238.6575</v>
      </c>
    </row>
    <row r="56">
      <c r="A56" s="96" t="s">
        <v>603</v>
      </c>
      <c r="B56" s="96" t="s">
        <v>604</v>
      </c>
      <c r="C56" s="96" t="s">
        <v>605</v>
      </c>
      <c r="D56" s="97">
        <v>9.86</v>
      </c>
      <c r="E56" s="98">
        <v>1.0</v>
      </c>
      <c r="F56" s="99">
        <v>0.0105</v>
      </c>
      <c r="G56" s="100">
        <f t="shared" si="1"/>
        <v>11662.44625</v>
      </c>
    </row>
    <row r="57">
      <c r="A57" s="96" t="s">
        <v>606</v>
      </c>
      <c r="B57" s="96" t="s">
        <v>607</v>
      </c>
      <c r="C57" s="96" t="s">
        <v>608</v>
      </c>
      <c r="D57" s="97">
        <v>6.05</v>
      </c>
      <c r="E57" s="98">
        <v>1.0</v>
      </c>
      <c r="F57" s="99">
        <v>0.0057</v>
      </c>
      <c r="G57" s="100">
        <f t="shared" si="1"/>
        <v>7098.73675</v>
      </c>
    </row>
    <row r="58">
      <c r="A58" s="96" t="s">
        <v>609</v>
      </c>
      <c r="B58" s="96" t="s">
        <v>610</v>
      </c>
      <c r="C58" s="96" t="s">
        <v>608</v>
      </c>
      <c r="D58" s="97">
        <v>6.05</v>
      </c>
      <c r="E58" s="98">
        <v>1.0</v>
      </c>
      <c r="F58" s="99">
        <v>0.0057</v>
      </c>
      <c r="G58" s="100">
        <f t="shared" si="1"/>
        <v>7098.73675</v>
      </c>
    </row>
    <row r="59">
      <c r="A59" s="96" t="s">
        <v>611</v>
      </c>
      <c r="B59" s="96" t="s">
        <v>612</v>
      </c>
      <c r="C59" s="96" t="s">
        <v>613</v>
      </c>
      <c r="D59" s="97">
        <v>7.96</v>
      </c>
      <c r="E59" s="98">
        <v>1.0</v>
      </c>
      <c r="F59" s="99">
        <v>0.0057</v>
      </c>
      <c r="G59" s="100">
        <f t="shared" si="1"/>
        <v>9201.16925</v>
      </c>
    </row>
    <row r="60">
      <c r="A60" s="96" t="s">
        <v>614</v>
      </c>
      <c r="B60" s="96" t="s">
        <v>615</v>
      </c>
      <c r="C60" s="96" t="s">
        <v>616</v>
      </c>
      <c r="D60" s="97">
        <v>8.27</v>
      </c>
      <c r="E60" s="98">
        <v>1.0</v>
      </c>
      <c r="F60" s="99">
        <v>0.0038</v>
      </c>
      <c r="G60" s="100">
        <f t="shared" si="1"/>
        <v>9396.002</v>
      </c>
    </row>
    <row r="61">
      <c r="A61" s="96" t="s">
        <v>617</v>
      </c>
      <c r="B61" s="96" t="s">
        <v>618</v>
      </c>
      <c r="C61" s="96" t="s">
        <v>619</v>
      </c>
      <c r="D61" s="97">
        <v>9.85</v>
      </c>
      <c r="E61" s="98">
        <v>1.0</v>
      </c>
      <c r="F61" s="99">
        <v>0.0026</v>
      </c>
      <c r="G61" s="100">
        <f t="shared" si="1"/>
        <v>11042.724</v>
      </c>
    </row>
    <row r="62">
      <c r="A62" s="96" t="s">
        <v>620</v>
      </c>
      <c r="B62" s="96" t="s">
        <v>621</v>
      </c>
      <c r="C62" s="96" t="s">
        <v>622</v>
      </c>
      <c r="D62" s="97">
        <v>2.18</v>
      </c>
      <c r="E62" s="98">
        <v>1.0</v>
      </c>
      <c r="F62" s="99">
        <v>0.0022</v>
      </c>
      <c r="G62" s="100">
        <f t="shared" si="1"/>
        <v>2569.1505</v>
      </c>
    </row>
    <row r="63">
      <c r="A63" s="96" t="s">
        <v>623</v>
      </c>
      <c r="B63" s="96" t="s">
        <v>624</v>
      </c>
      <c r="C63" s="96" t="s">
        <v>625</v>
      </c>
      <c r="D63" s="97">
        <v>18.74</v>
      </c>
      <c r="E63" s="98">
        <v>1.0</v>
      </c>
      <c r="F63" s="99">
        <v>0.0538</v>
      </c>
      <c r="G63" s="100">
        <f t="shared" si="1"/>
        <v>24773.4795</v>
      </c>
    </row>
    <row r="64">
      <c r="A64" s="96" t="s">
        <v>626</v>
      </c>
      <c r="B64" s="96" t="s">
        <v>627</v>
      </c>
      <c r="C64" s="96" t="s">
        <v>628</v>
      </c>
      <c r="D64" s="97">
        <v>9.12</v>
      </c>
      <c r="E64" s="98">
        <v>1.0</v>
      </c>
      <c r="F64" s="99">
        <v>0.0022</v>
      </c>
      <c r="G64" s="100">
        <f t="shared" si="1"/>
        <v>10208.3555</v>
      </c>
    </row>
    <row r="65">
      <c r="A65" s="96" t="s">
        <v>629</v>
      </c>
      <c r="B65" s="96" t="s">
        <v>630</v>
      </c>
      <c r="C65" s="96" t="s">
        <v>631</v>
      </c>
      <c r="D65" s="97">
        <v>10.6</v>
      </c>
      <c r="E65" s="98">
        <v>1.0</v>
      </c>
      <c r="F65" s="99">
        <v>0.0014</v>
      </c>
      <c r="G65" s="100">
        <f t="shared" si="1"/>
        <v>11775.8235</v>
      </c>
    </row>
    <row r="66">
      <c r="A66" s="96" t="s">
        <v>632</v>
      </c>
      <c r="B66" s="96" t="s">
        <v>633</v>
      </c>
      <c r="C66" s="96" t="s">
        <v>634</v>
      </c>
      <c r="D66" s="97">
        <v>10.33</v>
      </c>
      <c r="E66" s="98">
        <v>1.0</v>
      </c>
      <c r="F66" s="99">
        <v>0.0079</v>
      </c>
      <c r="G66" s="100">
        <f t="shared" si="1"/>
        <v>11979.46225</v>
      </c>
    </row>
    <row r="67">
      <c r="A67" s="96" t="s">
        <v>635</v>
      </c>
      <c r="B67" s="96" t="s">
        <v>636</v>
      </c>
      <c r="C67" s="96" t="s">
        <v>637</v>
      </c>
      <c r="D67" s="97">
        <v>5.59</v>
      </c>
      <c r="E67" s="98">
        <v>1.0</v>
      </c>
      <c r="F67" s="99">
        <v>0.004</v>
      </c>
      <c r="G67" s="100">
        <f t="shared" si="1"/>
        <v>6461.4025</v>
      </c>
    </row>
    <row r="68">
      <c r="A68" s="96" t="s">
        <v>638</v>
      </c>
      <c r="B68" s="96" t="s">
        <v>639</v>
      </c>
      <c r="C68" s="96" t="s">
        <v>640</v>
      </c>
      <c r="D68" s="97">
        <v>3.7</v>
      </c>
      <c r="E68" s="98">
        <v>1.0</v>
      </c>
      <c r="F68" s="99">
        <v>0.002</v>
      </c>
      <c r="G68" s="100">
        <f t="shared" si="1"/>
        <v>4226.88</v>
      </c>
    </row>
    <row r="69">
      <c r="A69" s="96" t="s">
        <v>641</v>
      </c>
      <c r="B69" s="96" t="s">
        <v>642</v>
      </c>
      <c r="C69" s="96" t="s">
        <v>643</v>
      </c>
      <c r="D69" s="97">
        <v>9.34</v>
      </c>
      <c r="E69" s="98">
        <v>1.0</v>
      </c>
      <c r="F69" s="99">
        <v>0.0522</v>
      </c>
      <c r="G69" s="100">
        <f t="shared" si="1"/>
        <v>14303.1455</v>
      </c>
    </row>
    <row r="70">
      <c r="A70" s="96" t="s">
        <v>644</v>
      </c>
      <c r="B70" s="96" t="s">
        <v>645</v>
      </c>
      <c r="C70" s="96" t="s">
        <v>646</v>
      </c>
      <c r="D70" s="97">
        <v>2.46</v>
      </c>
      <c r="E70" s="98">
        <v>1.0</v>
      </c>
      <c r="F70" s="99">
        <v>0.0039</v>
      </c>
      <c r="G70" s="100">
        <f t="shared" si="1"/>
        <v>3008.34975</v>
      </c>
    </row>
    <row r="71">
      <c r="A71" s="102" t="s">
        <v>647</v>
      </c>
      <c r="B71" s="96" t="s">
        <v>648</v>
      </c>
      <c r="C71" s="96" t="s">
        <v>649</v>
      </c>
      <c r="D71" s="97">
        <v>4.862</v>
      </c>
      <c r="E71" s="98">
        <v>1.0</v>
      </c>
      <c r="F71" s="99">
        <v>0.0228</v>
      </c>
      <c r="G71" s="100">
        <f t="shared" si="1"/>
        <v>7108.6435</v>
      </c>
    </row>
    <row r="72">
      <c r="A72" s="96" t="s">
        <v>650</v>
      </c>
      <c r="B72" s="98" t="s">
        <v>651</v>
      </c>
      <c r="C72" s="96" t="s">
        <v>652</v>
      </c>
      <c r="D72" s="97">
        <v>1.55</v>
      </c>
      <c r="E72" s="98">
        <v>1.0</v>
      </c>
      <c r="F72" s="99">
        <v>5.0E-4</v>
      </c>
      <c r="G72" s="100">
        <f t="shared" si="1"/>
        <v>1744.68875</v>
      </c>
    </row>
    <row r="73">
      <c r="A73" s="96" t="s">
        <v>653</v>
      </c>
      <c r="B73" s="96" t="s">
        <v>654</v>
      </c>
      <c r="C73" s="96" t="s">
        <v>655</v>
      </c>
      <c r="D73" s="97">
        <v>1.03</v>
      </c>
      <c r="E73" s="98">
        <v>1.0</v>
      </c>
      <c r="F73" s="99">
        <v>4.0E-4</v>
      </c>
      <c r="G73" s="100">
        <f t="shared" si="1"/>
        <v>1164.5935</v>
      </c>
    </row>
    <row r="74">
      <c r="A74" s="96" t="s">
        <v>656</v>
      </c>
      <c r="B74" s="96" t="s">
        <v>657</v>
      </c>
      <c r="C74" s="96" t="s">
        <v>658</v>
      </c>
      <c r="D74" s="97">
        <v>3.47</v>
      </c>
      <c r="E74" s="98">
        <v>1.0</v>
      </c>
      <c r="F74" s="99">
        <v>0.0035</v>
      </c>
      <c r="G74" s="100">
        <f t="shared" si="1"/>
        <v>4089.28625</v>
      </c>
    </row>
    <row r="75">
      <c r="A75" s="96" t="s">
        <v>659</v>
      </c>
      <c r="B75" s="96" t="s">
        <v>660</v>
      </c>
      <c r="C75" s="96" t="s">
        <v>661</v>
      </c>
      <c r="D75" s="97">
        <v>50.6</v>
      </c>
      <c r="E75" s="98">
        <v>1.0</v>
      </c>
      <c r="F75" s="99">
        <v>0.0794</v>
      </c>
      <c r="G75" s="100">
        <f t="shared" si="1"/>
        <v>61815.9185</v>
      </c>
    </row>
    <row r="76">
      <c r="A76" s="96" t="s">
        <v>662</v>
      </c>
      <c r="B76" s="96" t="s">
        <v>660</v>
      </c>
      <c r="C76" s="96" t="s">
        <v>661</v>
      </c>
      <c r="D76" s="97">
        <v>50.6</v>
      </c>
      <c r="E76" s="98">
        <v>1.0</v>
      </c>
      <c r="F76" s="99">
        <v>0.0794</v>
      </c>
      <c r="G76" s="100">
        <f t="shared" si="1"/>
        <v>61815.9185</v>
      </c>
    </row>
    <row r="77">
      <c r="A77" s="96" t="s">
        <v>663</v>
      </c>
      <c r="B77" s="96" t="s">
        <v>664</v>
      </c>
      <c r="C77" s="96" t="s">
        <v>665</v>
      </c>
      <c r="D77" s="97">
        <v>13.71</v>
      </c>
      <c r="E77" s="98">
        <v>1.0</v>
      </c>
      <c r="F77" s="99">
        <v>0.0092</v>
      </c>
      <c r="G77" s="100">
        <f t="shared" si="1"/>
        <v>15800.1655</v>
      </c>
    </row>
    <row r="78">
      <c r="A78" s="96" t="s">
        <v>666</v>
      </c>
      <c r="B78" s="96" t="s">
        <v>667</v>
      </c>
      <c r="C78" s="96" t="s">
        <v>665</v>
      </c>
      <c r="D78" s="97">
        <v>13.71</v>
      </c>
      <c r="E78" s="98">
        <v>1.0</v>
      </c>
      <c r="F78" s="99">
        <v>0.0092</v>
      </c>
      <c r="G78" s="100">
        <f t="shared" si="1"/>
        <v>15800.1655</v>
      </c>
    </row>
    <row r="79">
      <c r="A79" s="96" t="s">
        <v>668</v>
      </c>
      <c r="B79" s="96" t="s">
        <v>669</v>
      </c>
      <c r="C79" s="96" t="s">
        <v>670</v>
      </c>
      <c r="D79" s="97">
        <v>5.08</v>
      </c>
      <c r="E79" s="98">
        <v>1.0</v>
      </c>
      <c r="F79" s="99">
        <v>0.004</v>
      </c>
      <c r="G79" s="100">
        <f t="shared" si="1"/>
        <v>5900.02</v>
      </c>
    </row>
    <row r="80">
      <c r="A80" s="96" t="s">
        <v>671</v>
      </c>
      <c r="B80" s="96" t="s">
        <v>672</v>
      </c>
      <c r="C80" s="96" t="s">
        <v>673</v>
      </c>
      <c r="D80" s="97">
        <v>7.05</v>
      </c>
      <c r="E80" s="98">
        <v>1.0</v>
      </c>
      <c r="F80" s="99">
        <v>0.0064</v>
      </c>
      <c r="G80" s="100">
        <f t="shared" si="1"/>
        <v>8253.4235</v>
      </c>
    </row>
    <row r="81">
      <c r="A81" s="96" t="s">
        <v>674</v>
      </c>
      <c r="B81" s="96" t="s">
        <v>675</v>
      </c>
      <c r="C81" s="96" t="s">
        <v>676</v>
      </c>
      <c r="D81" s="97">
        <v>8.11</v>
      </c>
      <c r="E81" s="98">
        <v>1.0</v>
      </c>
      <c r="F81" s="99">
        <v>0.0096</v>
      </c>
      <c r="G81" s="100">
        <f t="shared" si="1"/>
        <v>9666.7865</v>
      </c>
    </row>
    <row r="82">
      <c r="A82" s="96" t="s">
        <v>677</v>
      </c>
      <c r="B82" s="96" t="s">
        <v>678</v>
      </c>
      <c r="C82" s="96" t="s">
        <v>679</v>
      </c>
      <c r="D82" s="97">
        <v>5.77</v>
      </c>
      <c r="E82" s="98">
        <v>1.0</v>
      </c>
      <c r="F82" s="99">
        <v>0.0037</v>
      </c>
      <c r="G82" s="100">
        <f t="shared" si="1"/>
        <v>6636.42175</v>
      </c>
    </row>
    <row r="83">
      <c r="A83" s="96" t="s">
        <v>680</v>
      </c>
      <c r="B83" s="96" t="s">
        <v>681</v>
      </c>
      <c r="C83" s="96" t="s">
        <v>682</v>
      </c>
      <c r="D83" s="97">
        <v>20.11</v>
      </c>
      <c r="E83" s="98">
        <v>1.0</v>
      </c>
      <c r="F83" s="99">
        <v>0.0058</v>
      </c>
      <c r="G83" s="100">
        <f t="shared" si="1"/>
        <v>22582.987</v>
      </c>
    </row>
    <row r="84">
      <c r="A84" s="96" t="s">
        <v>683</v>
      </c>
      <c r="B84" s="96" t="s">
        <v>684</v>
      </c>
      <c r="C84" s="96" t="s">
        <v>685</v>
      </c>
      <c r="D84" s="97">
        <v>22.79</v>
      </c>
      <c r="E84" s="98">
        <v>1.0</v>
      </c>
      <c r="F84" s="99">
        <v>0.0327</v>
      </c>
      <c r="G84" s="100">
        <f t="shared" si="1"/>
        <v>27605.70925</v>
      </c>
    </row>
    <row r="85">
      <c r="A85" s="96" t="s">
        <v>686</v>
      </c>
      <c r="B85" s="96" t="s">
        <v>687</v>
      </c>
      <c r="C85" s="96" t="s">
        <v>688</v>
      </c>
      <c r="D85" s="97">
        <v>6.43</v>
      </c>
      <c r="E85" s="98">
        <v>1.0</v>
      </c>
      <c r="F85" s="99">
        <v>0.042</v>
      </c>
      <c r="G85" s="100">
        <f t="shared" si="1"/>
        <v>10314.0275</v>
      </c>
    </row>
    <row r="86">
      <c r="A86" s="96" t="s">
        <v>689</v>
      </c>
      <c r="B86" s="96" t="s">
        <v>690</v>
      </c>
      <c r="C86" s="96" t="s">
        <v>691</v>
      </c>
      <c r="D86" s="97">
        <v>18.51</v>
      </c>
      <c r="E86" s="98">
        <v>1.0</v>
      </c>
      <c r="F86" s="99">
        <v>0.0691</v>
      </c>
      <c r="G86" s="100">
        <f t="shared" si="1"/>
        <v>25699.21025</v>
      </c>
    </row>
    <row r="87">
      <c r="A87" s="96" t="s">
        <v>692</v>
      </c>
      <c r="B87" s="96" t="s">
        <v>693</v>
      </c>
      <c r="C87" s="96" t="s">
        <v>694</v>
      </c>
      <c r="D87" s="97">
        <v>5.08</v>
      </c>
      <c r="E87" s="98">
        <v>1.0</v>
      </c>
      <c r="F87" s="99">
        <v>0.0064</v>
      </c>
      <c r="G87" s="100">
        <f t="shared" si="1"/>
        <v>6084.946</v>
      </c>
    </row>
    <row r="88">
      <c r="A88" s="96" t="s">
        <v>695</v>
      </c>
      <c r="B88" s="96" t="s">
        <v>696</v>
      </c>
      <c r="C88" s="96" t="s">
        <v>697</v>
      </c>
      <c r="D88" s="97">
        <v>12.23</v>
      </c>
      <c r="E88" s="98">
        <v>1.0</v>
      </c>
      <c r="F88" s="99">
        <v>0.006</v>
      </c>
      <c r="G88" s="100">
        <f t="shared" si="1"/>
        <v>13924.4875</v>
      </c>
    </row>
    <row r="89">
      <c r="A89" s="96" t="s">
        <v>698</v>
      </c>
      <c r="B89" s="96" t="s">
        <v>699</v>
      </c>
      <c r="C89" s="96" t="s">
        <v>700</v>
      </c>
      <c r="D89" s="97">
        <v>6.0</v>
      </c>
      <c r="E89" s="98">
        <v>1.0</v>
      </c>
      <c r="F89" s="99">
        <v>0.0015</v>
      </c>
      <c r="G89" s="100">
        <f t="shared" si="1"/>
        <v>6720.07875</v>
      </c>
    </row>
    <row r="90">
      <c r="A90" s="96" t="s">
        <v>701</v>
      </c>
      <c r="B90" s="96" t="s">
        <v>702</v>
      </c>
      <c r="C90" s="96" t="s">
        <v>703</v>
      </c>
      <c r="D90" s="97">
        <v>7.15</v>
      </c>
      <c r="E90" s="98">
        <v>1.0</v>
      </c>
      <c r="F90" s="99">
        <v>0.0095</v>
      </c>
      <c r="G90" s="100">
        <f t="shared" si="1"/>
        <v>8602.36125</v>
      </c>
    </row>
    <row r="91">
      <c r="A91" s="96" t="s">
        <v>704</v>
      </c>
      <c r="B91" s="96" t="s">
        <v>705</v>
      </c>
      <c r="C91" s="96" t="s">
        <v>706</v>
      </c>
      <c r="D91" s="97">
        <v>11.97</v>
      </c>
      <c r="E91" s="98">
        <v>1.0</v>
      </c>
      <c r="F91" s="99">
        <v>0.0065</v>
      </c>
      <c r="G91" s="100">
        <f t="shared" si="1"/>
        <v>13676.81875</v>
      </c>
    </row>
    <row r="92">
      <c r="A92" s="96" t="s">
        <v>707</v>
      </c>
      <c r="B92" s="96" t="s">
        <v>708</v>
      </c>
      <c r="C92" s="96" t="s">
        <v>706</v>
      </c>
      <c r="D92" s="97">
        <v>11.97</v>
      </c>
      <c r="E92" s="98">
        <v>1.0</v>
      </c>
      <c r="F92" s="99">
        <v>0.0023</v>
      </c>
      <c r="G92" s="100">
        <f t="shared" si="1"/>
        <v>13353.19825</v>
      </c>
    </row>
    <row r="93">
      <c r="A93" s="96" t="s">
        <v>709</v>
      </c>
      <c r="B93" s="96" t="s">
        <v>710</v>
      </c>
      <c r="C93" s="96" t="s">
        <v>711</v>
      </c>
      <c r="D93" s="97">
        <v>2.93</v>
      </c>
      <c r="E93" s="98">
        <v>1.0</v>
      </c>
      <c r="F93" s="99">
        <v>0.0013</v>
      </c>
      <c r="G93" s="100">
        <f t="shared" si="1"/>
        <v>3325.36575</v>
      </c>
    </row>
    <row r="94">
      <c r="A94" s="96" t="s">
        <v>712</v>
      </c>
      <c r="B94" s="96" t="s">
        <v>713</v>
      </c>
      <c r="C94" s="96" t="s">
        <v>714</v>
      </c>
      <c r="D94" s="97">
        <v>5.61</v>
      </c>
      <c r="E94" s="98">
        <v>1.0</v>
      </c>
      <c r="F94" s="99">
        <v>0.0112</v>
      </c>
      <c r="G94" s="100">
        <f t="shared" si="1"/>
        <v>7038.1955</v>
      </c>
    </row>
    <row r="95">
      <c r="A95" s="96" t="s">
        <v>715</v>
      </c>
      <c r="B95" s="96" t="s">
        <v>716</v>
      </c>
      <c r="C95" s="96" t="s">
        <v>717</v>
      </c>
      <c r="D95" s="97">
        <v>8.33</v>
      </c>
      <c r="E95" s="98">
        <v>1.0</v>
      </c>
      <c r="F95" s="99">
        <v>0.012</v>
      </c>
      <c r="G95" s="100">
        <f t="shared" si="1"/>
        <v>10093.8775</v>
      </c>
    </row>
    <row r="96">
      <c r="A96" s="96" t="s">
        <v>718</v>
      </c>
      <c r="B96" s="96" t="s">
        <v>719</v>
      </c>
      <c r="C96" s="96" t="s">
        <v>720</v>
      </c>
      <c r="D96" s="97">
        <v>18.05</v>
      </c>
      <c r="E96" s="98">
        <v>1.0</v>
      </c>
      <c r="F96" s="99">
        <v>0.0653</v>
      </c>
      <c r="G96" s="100">
        <f t="shared" si="1"/>
        <v>24900.06575</v>
      </c>
    </row>
    <row r="97">
      <c r="A97" s="96" t="s">
        <v>721</v>
      </c>
      <c r="B97" s="96" t="s">
        <v>722</v>
      </c>
      <c r="C97" s="96" t="s">
        <v>723</v>
      </c>
      <c r="D97" s="97">
        <v>18.05</v>
      </c>
      <c r="E97" s="98">
        <v>1.0</v>
      </c>
      <c r="F97" s="99">
        <v>0.0653</v>
      </c>
      <c r="G97" s="100">
        <f t="shared" si="1"/>
        <v>24900.06575</v>
      </c>
    </row>
    <row r="98">
      <c r="A98" s="96" t="s">
        <v>724</v>
      </c>
      <c r="B98" s="96" t="s">
        <v>725</v>
      </c>
      <c r="C98" s="96" t="s">
        <v>726</v>
      </c>
      <c r="D98" s="97">
        <v>18.05</v>
      </c>
      <c r="E98" s="98">
        <v>1.0</v>
      </c>
      <c r="F98" s="99">
        <v>0.0653</v>
      </c>
      <c r="G98" s="100">
        <f t="shared" si="1"/>
        <v>24900.06575</v>
      </c>
    </row>
    <row r="99">
      <c r="A99" s="96" t="s">
        <v>727</v>
      </c>
      <c r="B99" s="96" t="s">
        <v>728</v>
      </c>
      <c r="C99" s="96" t="s">
        <v>729</v>
      </c>
      <c r="D99" s="97">
        <v>3.84</v>
      </c>
      <c r="E99" s="98">
        <v>1.0</v>
      </c>
      <c r="F99" s="99">
        <v>0.0011</v>
      </c>
      <c r="G99" s="100">
        <f t="shared" si="1"/>
        <v>4311.63775</v>
      </c>
    </row>
    <row r="100">
      <c r="A100" s="96" t="s">
        <v>730</v>
      </c>
      <c r="B100" s="96" t="s">
        <v>731</v>
      </c>
      <c r="C100" s="96" t="s">
        <v>732</v>
      </c>
      <c r="D100" s="97">
        <v>16.23</v>
      </c>
      <c r="E100" s="98">
        <v>1.0</v>
      </c>
      <c r="F100" s="99">
        <v>0.0118</v>
      </c>
      <c r="G100" s="100">
        <f t="shared" si="1"/>
        <v>18774.392</v>
      </c>
    </row>
    <row r="101">
      <c r="A101" s="96" t="s">
        <v>733</v>
      </c>
      <c r="B101" s="96" t="s">
        <v>734</v>
      </c>
      <c r="C101" s="96" t="s">
        <v>735</v>
      </c>
      <c r="D101" s="97">
        <v>2.4</v>
      </c>
      <c r="E101" s="98">
        <v>1.0</v>
      </c>
      <c r="F101" s="99">
        <v>0.0013</v>
      </c>
      <c r="G101" s="100">
        <f t="shared" si="1"/>
        <v>2741.96825</v>
      </c>
    </row>
    <row r="102">
      <c r="A102" s="96" t="s">
        <v>736</v>
      </c>
      <c r="B102" s="96" t="s">
        <v>737</v>
      </c>
      <c r="C102" s="96" t="s">
        <v>738</v>
      </c>
      <c r="D102" s="97">
        <v>54.5</v>
      </c>
      <c r="E102" s="98">
        <v>1.0</v>
      </c>
      <c r="F102" s="99">
        <v>0.1005</v>
      </c>
      <c r="G102" s="100">
        <f t="shared" si="1"/>
        <v>67734.65125</v>
      </c>
    </row>
    <row r="103">
      <c r="A103" s="96" t="s">
        <v>739</v>
      </c>
      <c r="B103" s="96" t="s">
        <v>737</v>
      </c>
      <c r="C103" s="96" t="s">
        <v>738</v>
      </c>
      <c r="D103" s="97">
        <v>54.5</v>
      </c>
      <c r="E103" s="98">
        <v>1.0</v>
      </c>
      <c r="F103" s="99">
        <v>0.1005</v>
      </c>
      <c r="G103" s="100">
        <f t="shared" si="1"/>
        <v>67734.65125</v>
      </c>
    </row>
    <row r="104">
      <c r="A104" s="96" t="s">
        <v>740</v>
      </c>
      <c r="B104" s="96" t="s">
        <v>741</v>
      </c>
      <c r="C104" s="96" t="s">
        <v>742</v>
      </c>
      <c r="D104" s="97">
        <v>24.11</v>
      </c>
      <c r="E104" s="98">
        <v>1.0</v>
      </c>
      <c r="F104" s="99">
        <v>0.0327</v>
      </c>
      <c r="G104" s="100">
        <f t="shared" si="1"/>
        <v>29058.69925</v>
      </c>
    </row>
    <row r="105">
      <c r="A105" s="96" t="s">
        <v>743</v>
      </c>
      <c r="B105" s="96" t="s">
        <v>744</v>
      </c>
      <c r="C105" s="96" t="s">
        <v>745</v>
      </c>
      <c r="D105" s="97">
        <v>54.5</v>
      </c>
      <c r="E105" s="98">
        <v>1.0</v>
      </c>
      <c r="F105" s="99">
        <v>0.0778</v>
      </c>
      <c r="G105" s="100">
        <f t="shared" si="1"/>
        <v>65985.5595</v>
      </c>
    </row>
    <row r="106">
      <c r="A106" s="96" t="s">
        <v>746</v>
      </c>
      <c r="B106" s="96" t="s">
        <v>744</v>
      </c>
      <c r="C106" s="96" t="s">
        <v>745</v>
      </c>
      <c r="D106" s="97">
        <v>54.5</v>
      </c>
      <c r="E106" s="98">
        <v>1.0</v>
      </c>
      <c r="F106" s="99">
        <v>0.0778</v>
      </c>
      <c r="G106" s="100">
        <f t="shared" si="1"/>
        <v>65985.5595</v>
      </c>
    </row>
    <row r="107">
      <c r="A107" s="96" t="s">
        <v>747</v>
      </c>
      <c r="B107" s="96" t="s">
        <v>748</v>
      </c>
      <c r="C107" s="96" t="s">
        <v>749</v>
      </c>
      <c r="D107" s="97">
        <v>39.31</v>
      </c>
      <c r="E107" s="98">
        <v>1.0</v>
      </c>
      <c r="F107" s="99">
        <v>0.045</v>
      </c>
      <c r="G107" s="100">
        <f t="shared" si="1"/>
        <v>46737.845</v>
      </c>
    </row>
    <row r="108">
      <c r="A108" s="96" t="s">
        <v>750</v>
      </c>
      <c r="B108" s="96" t="s">
        <v>751</v>
      </c>
      <c r="C108" s="96" t="s">
        <v>752</v>
      </c>
      <c r="D108" s="97">
        <v>5.66</v>
      </c>
      <c r="E108" s="98">
        <v>1.0</v>
      </c>
      <c r="F108" s="99">
        <v>0.0075</v>
      </c>
      <c r="G108" s="100">
        <f t="shared" si="1"/>
        <v>6808.13875</v>
      </c>
    </row>
    <row r="109">
      <c r="A109" s="96" t="s">
        <v>753</v>
      </c>
      <c r="B109" s="96" t="s">
        <v>754</v>
      </c>
      <c r="C109" s="96" t="s">
        <v>755</v>
      </c>
      <c r="D109" s="97">
        <v>7.04</v>
      </c>
      <c r="E109" s="98">
        <v>1.0</v>
      </c>
      <c r="F109" s="99">
        <v>0.009</v>
      </c>
      <c r="G109" s="100">
        <f t="shared" si="1"/>
        <v>8442.7525</v>
      </c>
    </row>
    <row r="110">
      <c r="A110" s="96" t="s">
        <v>756</v>
      </c>
      <c r="B110" s="96" t="s">
        <v>757</v>
      </c>
      <c r="C110" s="96" t="s">
        <v>758</v>
      </c>
      <c r="D110" s="97">
        <v>7.73</v>
      </c>
      <c r="E110" s="98">
        <v>1.0</v>
      </c>
      <c r="F110" s="99">
        <v>0.009</v>
      </c>
      <c r="G110" s="100">
        <f t="shared" si="1"/>
        <v>9202.27</v>
      </c>
    </row>
    <row r="111">
      <c r="A111" s="96" t="s">
        <v>759</v>
      </c>
      <c r="B111" s="96" t="s">
        <v>760</v>
      </c>
      <c r="C111" s="96" t="s">
        <v>761</v>
      </c>
      <c r="D111" s="97">
        <v>27.13</v>
      </c>
      <c r="E111" s="98">
        <v>1.0</v>
      </c>
      <c r="F111" s="99">
        <v>0.0882</v>
      </c>
      <c r="G111" s="100">
        <f t="shared" si="1"/>
        <v>36659.378</v>
      </c>
    </row>
    <row r="112">
      <c r="A112" s="96" t="s">
        <v>762</v>
      </c>
      <c r="B112" s="96" t="s">
        <v>763</v>
      </c>
      <c r="C112" s="96" t="s">
        <v>764</v>
      </c>
      <c r="D112" s="97">
        <v>7.62</v>
      </c>
      <c r="E112" s="98">
        <v>1.0</v>
      </c>
      <c r="F112" s="99">
        <v>0.0056</v>
      </c>
      <c r="G112" s="100">
        <f t="shared" si="1"/>
        <v>8819.209</v>
      </c>
    </row>
    <row r="113">
      <c r="A113" s="96" t="s">
        <v>765</v>
      </c>
      <c r="B113" s="96" t="s">
        <v>766</v>
      </c>
      <c r="C113" s="96" t="s">
        <v>767</v>
      </c>
      <c r="D113" s="97">
        <v>7.62</v>
      </c>
      <c r="E113" s="98">
        <v>1.0</v>
      </c>
      <c r="F113" s="99">
        <v>0.0056</v>
      </c>
      <c r="G113" s="100">
        <f t="shared" si="1"/>
        <v>8819.209</v>
      </c>
    </row>
    <row r="114">
      <c r="A114" s="96" t="s">
        <v>768</v>
      </c>
      <c r="B114" s="96" t="s">
        <v>769</v>
      </c>
      <c r="C114" s="96" t="s">
        <v>770</v>
      </c>
      <c r="D114" s="97">
        <v>7.62</v>
      </c>
      <c r="E114" s="98">
        <v>1.0</v>
      </c>
      <c r="F114" s="99">
        <v>0.0056</v>
      </c>
      <c r="G114" s="100">
        <f t="shared" si="1"/>
        <v>8819.209</v>
      </c>
    </row>
    <row r="115">
      <c r="A115" s="96" t="s">
        <v>771</v>
      </c>
      <c r="B115" s="96" t="s">
        <v>772</v>
      </c>
      <c r="C115" s="96" t="s">
        <v>773</v>
      </c>
      <c r="D115" s="97">
        <v>8.24</v>
      </c>
      <c r="E115" s="98">
        <v>1.0</v>
      </c>
      <c r="F115" s="99">
        <v>0.0056</v>
      </c>
      <c r="G115" s="100">
        <f t="shared" si="1"/>
        <v>9501.674</v>
      </c>
    </row>
    <row r="116">
      <c r="A116" s="96" t="s">
        <v>774</v>
      </c>
      <c r="B116" s="96" t="s">
        <v>772</v>
      </c>
      <c r="C116" s="96" t="s">
        <v>775</v>
      </c>
      <c r="D116" s="97">
        <v>8.24</v>
      </c>
      <c r="E116" s="98">
        <v>1.0</v>
      </c>
      <c r="F116" s="99">
        <v>0.0056</v>
      </c>
      <c r="G116" s="100">
        <f t="shared" si="1"/>
        <v>9501.674</v>
      </c>
    </row>
    <row r="117">
      <c r="A117" s="96" t="s">
        <v>776</v>
      </c>
      <c r="B117" s="96">
        <v>2216.0</v>
      </c>
      <c r="C117" s="96" t="s">
        <v>777</v>
      </c>
      <c r="D117" s="97">
        <v>7.55</v>
      </c>
      <c r="E117" s="98">
        <v>1.0</v>
      </c>
      <c r="F117" s="99">
        <v>0.0069</v>
      </c>
      <c r="G117" s="100">
        <f t="shared" si="1"/>
        <v>8842.32475</v>
      </c>
    </row>
    <row r="118">
      <c r="A118" s="96" t="s">
        <v>778</v>
      </c>
      <c r="B118" s="96">
        <v>2216.0</v>
      </c>
      <c r="C118" s="96" t="s">
        <v>779</v>
      </c>
      <c r="D118" s="97">
        <v>7.55</v>
      </c>
      <c r="E118" s="98">
        <v>1.0</v>
      </c>
      <c r="F118" s="99">
        <v>0.0069</v>
      </c>
      <c r="G118" s="100">
        <f t="shared" si="1"/>
        <v>8842.32475</v>
      </c>
    </row>
    <row r="119">
      <c r="A119" s="96" t="s">
        <v>780</v>
      </c>
      <c r="B119" s="96">
        <v>2304.0</v>
      </c>
      <c r="C119" s="96" t="s">
        <v>781</v>
      </c>
      <c r="D119" s="97">
        <v>7.15</v>
      </c>
      <c r="E119" s="98">
        <v>1.0</v>
      </c>
      <c r="F119" s="99">
        <v>0.0069</v>
      </c>
      <c r="G119" s="100">
        <f t="shared" si="1"/>
        <v>8402.02475</v>
      </c>
    </row>
    <row r="120">
      <c r="A120" s="96" t="s">
        <v>782</v>
      </c>
      <c r="B120" s="96">
        <v>2304.0</v>
      </c>
      <c r="C120" s="96" t="s">
        <v>783</v>
      </c>
      <c r="D120" s="97">
        <v>7.15</v>
      </c>
      <c r="E120" s="98">
        <v>1.0</v>
      </c>
      <c r="F120" s="99">
        <v>0.0069</v>
      </c>
      <c r="G120" s="100">
        <f t="shared" si="1"/>
        <v>8402.02475</v>
      </c>
    </row>
    <row r="121">
      <c r="A121" s="96" t="s">
        <v>784</v>
      </c>
      <c r="B121" s="96">
        <v>2304.0</v>
      </c>
      <c r="C121" s="96" t="s">
        <v>785</v>
      </c>
      <c r="D121" s="97">
        <v>7.15</v>
      </c>
      <c r="E121" s="98">
        <v>1.0</v>
      </c>
      <c r="F121" s="99">
        <v>0.0069</v>
      </c>
      <c r="G121" s="100">
        <f t="shared" si="1"/>
        <v>8402.02475</v>
      </c>
    </row>
    <row r="122">
      <c r="A122" s="96" t="s">
        <v>786</v>
      </c>
      <c r="B122" s="96" t="s">
        <v>787</v>
      </c>
      <c r="C122" s="96" t="s">
        <v>788</v>
      </c>
      <c r="D122" s="97">
        <v>3.9</v>
      </c>
      <c r="E122" s="98">
        <v>1.0</v>
      </c>
      <c r="F122" s="99">
        <v>0.0315</v>
      </c>
      <c r="G122" s="100">
        <f t="shared" si="1"/>
        <v>6720.07875</v>
      </c>
    </row>
    <row r="123">
      <c r="A123" s="96" t="s">
        <v>789</v>
      </c>
      <c r="B123" s="96" t="s">
        <v>790</v>
      </c>
      <c r="C123" s="96" t="s">
        <v>791</v>
      </c>
      <c r="D123" s="97">
        <v>3.9</v>
      </c>
      <c r="E123" s="98">
        <v>1.0</v>
      </c>
      <c r="F123" s="99">
        <v>0.0315</v>
      </c>
      <c r="G123" s="100">
        <f t="shared" si="1"/>
        <v>6720.07875</v>
      </c>
    </row>
    <row r="124">
      <c r="A124" s="96" t="s">
        <v>792</v>
      </c>
      <c r="B124" s="96" t="s">
        <v>793</v>
      </c>
      <c r="C124" s="96" t="s">
        <v>794</v>
      </c>
      <c r="D124" s="97">
        <v>3.9</v>
      </c>
      <c r="E124" s="98">
        <v>1.0</v>
      </c>
      <c r="F124" s="99">
        <v>0.0315</v>
      </c>
      <c r="G124" s="100">
        <f t="shared" si="1"/>
        <v>6720.07875</v>
      </c>
    </row>
    <row r="125">
      <c r="A125" s="96" t="s">
        <v>795</v>
      </c>
      <c r="B125" s="96" t="s">
        <v>796</v>
      </c>
      <c r="C125" s="96" t="s">
        <v>797</v>
      </c>
      <c r="D125" s="97">
        <v>3.9</v>
      </c>
      <c r="E125" s="98">
        <v>1.0</v>
      </c>
      <c r="F125" s="99">
        <v>0.0315</v>
      </c>
      <c r="G125" s="100">
        <f t="shared" si="1"/>
        <v>6720.07875</v>
      </c>
    </row>
    <row r="126">
      <c r="A126" s="96" t="s">
        <v>798</v>
      </c>
      <c r="B126" s="96" t="s">
        <v>799</v>
      </c>
      <c r="C126" s="96" t="s">
        <v>800</v>
      </c>
      <c r="D126" s="97">
        <v>4.26</v>
      </c>
      <c r="E126" s="98">
        <v>1.0</v>
      </c>
      <c r="F126" s="99">
        <v>0.0381</v>
      </c>
      <c r="G126" s="100">
        <f t="shared" si="1"/>
        <v>7624.89525</v>
      </c>
    </row>
    <row r="127">
      <c r="A127" s="96" t="s">
        <v>801</v>
      </c>
      <c r="B127" s="96" t="s">
        <v>802</v>
      </c>
      <c r="C127" s="96" t="s">
        <v>803</v>
      </c>
      <c r="D127" s="97">
        <v>12.3</v>
      </c>
      <c r="E127" s="98">
        <v>1.0</v>
      </c>
      <c r="F127" s="99">
        <v>0.049</v>
      </c>
      <c r="G127" s="100">
        <f t="shared" si="1"/>
        <v>17314.7975</v>
      </c>
    </row>
    <row r="128">
      <c r="A128" s="96" t="s">
        <v>804</v>
      </c>
      <c r="B128" s="96" t="s">
        <v>805</v>
      </c>
      <c r="C128" s="96" t="s">
        <v>806</v>
      </c>
      <c r="D128" s="97">
        <v>4.59</v>
      </c>
      <c r="E128" s="98">
        <v>1.0</v>
      </c>
      <c r="F128" s="99">
        <v>0.0167</v>
      </c>
      <c r="G128" s="100">
        <f t="shared" si="1"/>
        <v>6339.21925</v>
      </c>
    </row>
    <row r="129">
      <c r="A129" s="96" t="s">
        <v>807</v>
      </c>
      <c r="B129" s="96" t="s">
        <v>808</v>
      </c>
      <c r="C129" s="96" t="s">
        <v>809</v>
      </c>
      <c r="D129" s="97">
        <v>4.59</v>
      </c>
      <c r="E129" s="98">
        <v>1.0</v>
      </c>
      <c r="F129" s="99">
        <v>0.0167</v>
      </c>
      <c r="G129" s="100">
        <f t="shared" si="1"/>
        <v>6339.21925</v>
      </c>
    </row>
    <row r="130">
      <c r="A130" s="96" t="s">
        <v>810</v>
      </c>
      <c r="B130" s="96" t="s">
        <v>811</v>
      </c>
      <c r="C130" s="96" t="s">
        <v>812</v>
      </c>
      <c r="D130" s="97">
        <v>3.85</v>
      </c>
      <c r="E130" s="98">
        <v>1.0</v>
      </c>
      <c r="F130" s="99">
        <v>0.0036</v>
      </c>
      <c r="G130" s="100">
        <f t="shared" si="1"/>
        <v>4515.2765</v>
      </c>
    </row>
    <row r="131">
      <c r="A131" s="96" t="s">
        <v>813</v>
      </c>
      <c r="B131" s="96" t="s">
        <v>814</v>
      </c>
      <c r="C131" s="96" t="s">
        <v>812</v>
      </c>
      <c r="D131" s="97">
        <v>3.85</v>
      </c>
      <c r="E131" s="98">
        <v>1.0</v>
      </c>
      <c r="F131" s="99">
        <v>0.0036</v>
      </c>
      <c r="G131" s="100">
        <f t="shared" si="1"/>
        <v>4515.2765</v>
      </c>
    </row>
    <row r="132">
      <c r="A132" s="96" t="s">
        <v>815</v>
      </c>
      <c r="B132" s="96" t="s">
        <v>816</v>
      </c>
      <c r="C132" s="96" t="s">
        <v>812</v>
      </c>
      <c r="D132" s="97">
        <v>3.85</v>
      </c>
      <c r="E132" s="98">
        <v>1.0</v>
      </c>
      <c r="F132" s="99">
        <v>0.0036</v>
      </c>
      <c r="G132" s="100">
        <f t="shared" si="1"/>
        <v>4515.2765</v>
      </c>
    </row>
    <row r="133">
      <c r="A133" s="96" t="s">
        <v>817</v>
      </c>
      <c r="B133" s="96" t="s">
        <v>818</v>
      </c>
      <c r="C133" s="96" t="s">
        <v>812</v>
      </c>
      <c r="D133" s="97">
        <v>3.85</v>
      </c>
      <c r="E133" s="98">
        <v>1.0</v>
      </c>
      <c r="F133" s="99">
        <v>0.0036</v>
      </c>
      <c r="G133" s="100">
        <f t="shared" si="1"/>
        <v>4515.2765</v>
      </c>
    </row>
    <row r="134">
      <c r="A134" s="96" t="s">
        <v>819</v>
      </c>
      <c r="B134" s="96" t="s">
        <v>820</v>
      </c>
      <c r="C134" s="96" t="s">
        <v>812</v>
      </c>
      <c r="D134" s="97">
        <v>3.85</v>
      </c>
      <c r="E134" s="98">
        <v>1.0</v>
      </c>
      <c r="F134" s="99">
        <v>0.0036</v>
      </c>
      <c r="G134" s="100">
        <f t="shared" si="1"/>
        <v>4515.2765</v>
      </c>
    </row>
    <row r="135">
      <c r="A135" s="96" t="s">
        <v>821</v>
      </c>
      <c r="B135" s="96" t="s">
        <v>822</v>
      </c>
      <c r="C135" s="96" t="s">
        <v>823</v>
      </c>
      <c r="D135" s="97">
        <v>17.0</v>
      </c>
      <c r="E135" s="98">
        <v>1.0</v>
      </c>
      <c r="F135" s="99">
        <v>0.089</v>
      </c>
      <c r="G135" s="100">
        <f t="shared" si="1"/>
        <v>25570.4225</v>
      </c>
    </row>
    <row r="136">
      <c r="A136" s="96" t="s">
        <v>824</v>
      </c>
      <c r="B136" s="96" t="s">
        <v>825</v>
      </c>
      <c r="C136" s="96" t="s">
        <v>826</v>
      </c>
      <c r="D136" s="97">
        <v>28.55</v>
      </c>
      <c r="E136" s="98">
        <v>1.0</v>
      </c>
      <c r="F136" s="99">
        <v>0.03</v>
      </c>
      <c r="G136" s="100">
        <f t="shared" si="1"/>
        <v>33737.9875</v>
      </c>
    </row>
    <row r="137">
      <c r="A137" s="96" t="s">
        <v>827</v>
      </c>
      <c r="B137" s="96" t="s">
        <v>828</v>
      </c>
      <c r="C137" s="96" t="s">
        <v>829</v>
      </c>
      <c r="D137" s="97">
        <v>31.5</v>
      </c>
      <c r="E137" s="98">
        <v>1.0</v>
      </c>
      <c r="F137" s="99">
        <v>0.113</v>
      </c>
      <c r="G137" s="100">
        <f t="shared" si="1"/>
        <v>43380.5575</v>
      </c>
    </row>
    <row r="138">
      <c r="A138" s="96" t="s">
        <v>830</v>
      </c>
      <c r="B138" s="96" t="s">
        <v>831</v>
      </c>
      <c r="C138" s="96" t="s">
        <v>832</v>
      </c>
      <c r="D138" s="97">
        <v>12.66</v>
      </c>
      <c r="E138" s="98">
        <v>1.0</v>
      </c>
      <c r="F138" s="99">
        <v>0.0069</v>
      </c>
      <c r="G138" s="100">
        <f t="shared" si="1"/>
        <v>14467.15725</v>
      </c>
    </row>
    <row r="139">
      <c r="A139" s="96" t="s">
        <v>833</v>
      </c>
      <c r="B139" s="96" t="s">
        <v>834</v>
      </c>
      <c r="C139" s="96" t="s">
        <v>835</v>
      </c>
      <c r="D139" s="97">
        <v>12.66</v>
      </c>
      <c r="E139" s="98">
        <v>1.0</v>
      </c>
      <c r="F139" s="99">
        <v>0.0069</v>
      </c>
      <c r="G139" s="100">
        <f t="shared" si="1"/>
        <v>14467.15725</v>
      </c>
    </row>
    <row r="140">
      <c r="A140" s="96" t="s">
        <v>836</v>
      </c>
      <c r="B140" s="96" t="s">
        <v>837</v>
      </c>
      <c r="C140" s="96" t="s">
        <v>838</v>
      </c>
      <c r="D140" s="97">
        <v>21.8</v>
      </c>
      <c r="E140" s="98">
        <v>1.0</v>
      </c>
      <c r="F140" s="99">
        <v>0.0178</v>
      </c>
      <c r="G140" s="100">
        <f t="shared" si="1"/>
        <v>25367.8845</v>
      </c>
    </row>
    <row r="141">
      <c r="A141" s="96" t="s">
        <v>839</v>
      </c>
      <c r="B141" s="96" t="s">
        <v>840</v>
      </c>
      <c r="C141" s="96" t="s">
        <v>841</v>
      </c>
      <c r="D141" s="97">
        <v>4.16</v>
      </c>
      <c r="E141" s="98">
        <v>1.0</v>
      </c>
      <c r="F141" s="99">
        <v>0.0049</v>
      </c>
      <c r="G141" s="100">
        <f t="shared" si="1"/>
        <v>4956.67725</v>
      </c>
    </row>
    <row r="142">
      <c r="A142" s="96" t="s">
        <v>842</v>
      </c>
      <c r="B142" s="96" t="s">
        <v>843</v>
      </c>
      <c r="C142" s="96" t="s">
        <v>844</v>
      </c>
      <c r="D142" s="97">
        <v>6.24</v>
      </c>
      <c r="E142" s="98">
        <v>1.0</v>
      </c>
      <c r="F142" s="99">
        <v>0.0056</v>
      </c>
      <c r="G142" s="100">
        <f t="shared" si="1"/>
        <v>7300.174</v>
      </c>
    </row>
    <row r="143">
      <c r="A143" s="96" t="s">
        <v>845</v>
      </c>
      <c r="B143" s="96" t="s">
        <v>846</v>
      </c>
      <c r="C143" s="96" t="s">
        <v>847</v>
      </c>
      <c r="D143" s="97">
        <v>39.69</v>
      </c>
      <c r="E143" s="98">
        <v>1.0</v>
      </c>
      <c r="F143" s="99">
        <v>0.0197</v>
      </c>
      <c r="G143" s="100">
        <f t="shared" si="1"/>
        <v>45206.70175</v>
      </c>
    </row>
    <row r="144">
      <c r="A144" s="96" t="s">
        <v>848</v>
      </c>
      <c r="B144" s="96" t="s">
        <v>849</v>
      </c>
      <c r="C144" s="96" t="s">
        <v>850</v>
      </c>
      <c r="D144" s="97">
        <v>28.53</v>
      </c>
      <c r="E144" s="98">
        <v>1.0</v>
      </c>
      <c r="F144" s="99">
        <v>0.0136</v>
      </c>
      <c r="G144" s="100">
        <f t="shared" si="1"/>
        <v>32452.3115</v>
      </c>
    </row>
    <row r="145">
      <c r="A145" s="96" t="s">
        <v>851</v>
      </c>
      <c r="B145" s="96" t="s">
        <v>852</v>
      </c>
      <c r="C145" s="96" t="s">
        <v>853</v>
      </c>
      <c r="D145" s="97">
        <v>13.2</v>
      </c>
      <c r="E145" s="98">
        <v>1.0</v>
      </c>
      <c r="F145" s="99">
        <v>0.0053</v>
      </c>
      <c r="G145" s="100">
        <f t="shared" si="1"/>
        <v>14938.27825</v>
      </c>
    </row>
    <row r="146">
      <c r="A146" s="96" t="s">
        <v>854</v>
      </c>
      <c r="B146" s="96" t="s">
        <v>855</v>
      </c>
      <c r="C146" s="96" t="s">
        <v>853</v>
      </c>
      <c r="D146" s="97">
        <v>10.92</v>
      </c>
      <c r="E146" s="98">
        <v>1.0</v>
      </c>
      <c r="F146" s="99">
        <v>0.0053</v>
      </c>
      <c r="G146" s="100">
        <f t="shared" si="1"/>
        <v>12428.56825</v>
      </c>
    </row>
    <row r="147">
      <c r="A147" s="96" t="s">
        <v>856</v>
      </c>
      <c r="B147" s="96" t="s">
        <v>857</v>
      </c>
      <c r="C147" s="96" t="s">
        <v>858</v>
      </c>
      <c r="D147" s="97">
        <v>7.65</v>
      </c>
      <c r="E147" s="98">
        <v>1.0</v>
      </c>
      <c r="F147" s="99">
        <v>0.0022</v>
      </c>
      <c r="G147" s="100">
        <f t="shared" si="1"/>
        <v>8590.253</v>
      </c>
    </row>
    <row r="148">
      <c r="A148" s="96" t="s">
        <v>859</v>
      </c>
      <c r="B148" s="96" t="s">
        <v>860</v>
      </c>
      <c r="C148" s="96" t="s">
        <v>858</v>
      </c>
      <c r="D148" s="97">
        <v>6.77</v>
      </c>
      <c r="E148" s="98">
        <v>1.0</v>
      </c>
      <c r="F148" s="99">
        <v>0.0022</v>
      </c>
      <c r="G148" s="100">
        <f t="shared" si="1"/>
        <v>7621.593</v>
      </c>
    </row>
    <row r="149">
      <c r="A149" s="96" t="s">
        <v>861</v>
      </c>
      <c r="B149" s="96" t="s">
        <v>862</v>
      </c>
      <c r="C149" s="96" t="s">
        <v>863</v>
      </c>
      <c r="D149" s="97">
        <v>41.19</v>
      </c>
      <c r="E149" s="98">
        <v>1.0</v>
      </c>
      <c r="F149" s="99">
        <v>0.0066</v>
      </c>
      <c r="G149" s="100">
        <f t="shared" si="1"/>
        <v>45848.439</v>
      </c>
    </row>
    <row r="150">
      <c r="A150" s="96" t="s">
        <v>864</v>
      </c>
      <c r="B150" s="96" t="s">
        <v>865</v>
      </c>
      <c r="C150" s="96" t="s">
        <v>866</v>
      </c>
      <c r="D150" s="97">
        <v>42.5</v>
      </c>
      <c r="E150" s="98">
        <v>1.0</v>
      </c>
      <c r="F150" s="99">
        <v>0.026</v>
      </c>
      <c r="G150" s="100">
        <f t="shared" si="1"/>
        <v>48785.24</v>
      </c>
    </row>
    <row r="151">
      <c r="A151" s="96" t="s">
        <v>867</v>
      </c>
      <c r="B151" s="96" t="s">
        <v>868</v>
      </c>
      <c r="C151" s="96" t="s">
        <v>869</v>
      </c>
      <c r="D151" s="97">
        <v>53.7</v>
      </c>
      <c r="E151" s="98">
        <v>1.0</v>
      </c>
      <c r="F151" s="99">
        <v>0.038</v>
      </c>
      <c r="G151" s="100">
        <f t="shared" si="1"/>
        <v>62038.27</v>
      </c>
    </row>
    <row r="152">
      <c r="A152" s="96" t="s">
        <v>870</v>
      </c>
      <c r="B152" s="96" t="s">
        <v>871</v>
      </c>
      <c r="C152" s="96" t="s">
        <v>872</v>
      </c>
      <c r="D152" s="97">
        <v>21.72</v>
      </c>
      <c r="E152" s="98">
        <v>1.0</v>
      </c>
      <c r="F152" s="99">
        <v>0.0081</v>
      </c>
      <c r="G152" s="100">
        <f t="shared" si="1"/>
        <v>24532.41525</v>
      </c>
    </row>
    <row r="153">
      <c r="A153" s="96" t="s">
        <v>873</v>
      </c>
      <c r="B153" s="96" t="s">
        <v>874</v>
      </c>
      <c r="C153" s="96" t="s">
        <v>875</v>
      </c>
      <c r="D153" s="97">
        <v>4.47</v>
      </c>
      <c r="E153" s="98">
        <v>1.0</v>
      </c>
      <c r="F153" s="99">
        <v>0.0094</v>
      </c>
      <c r="G153" s="100">
        <f t="shared" si="1"/>
        <v>5644.646</v>
      </c>
    </row>
    <row r="154">
      <c r="A154" s="96" t="s">
        <v>876</v>
      </c>
      <c r="B154" s="96" t="s">
        <v>877</v>
      </c>
      <c r="C154" s="96" t="s">
        <v>878</v>
      </c>
      <c r="D154" s="97">
        <v>4.73</v>
      </c>
      <c r="E154" s="98">
        <v>1.0</v>
      </c>
      <c r="F154" s="99">
        <v>0.0016</v>
      </c>
      <c r="G154" s="100">
        <f t="shared" si="1"/>
        <v>5329.8315</v>
      </c>
    </row>
    <row r="155">
      <c r="A155" s="96" t="s">
        <v>879</v>
      </c>
      <c r="B155" s="96" t="s">
        <v>880</v>
      </c>
      <c r="C155" s="96" t="s">
        <v>881</v>
      </c>
      <c r="D155" s="97">
        <v>24.02</v>
      </c>
      <c r="E155" s="98">
        <v>1.0</v>
      </c>
      <c r="F155" s="99">
        <v>0.2394</v>
      </c>
      <c r="G155" s="100">
        <f t="shared" si="1"/>
        <v>44886.3835</v>
      </c>
    </row>
    <row r="156">
      <c r="A156" s="96" t="s">
        <v>882</v>
      </c>
      <c r="B156" s="96" t="s">
        <v>883</v>
      </c>
      <c r="C156" s="96" t="s">
        <v>884</v>
      </c>
      <c r="D156" s="97">
        <v>5.25</v>
      </c>
      <c r="E156" s="98">
        <v>1.0</v>
      </c>
      <c r="F156" s="99">
        <v>0.0032</v>
      </c>
      <c r="G156" s="100">
        <f t="shared" si="1"/>
        <v>6025.5055</v>
      </c>
    </row>
    <row r="157">
      <c r="A157" s="96" t="s">
        <v>885</v>
      </c>
      <c r="B157" s="96" t="s">
        <v>886</v>
      </c>
      <c r="C157" s="96" t="s">
        <v>887</v>
      </c>
      <c r="D157" s="97">
        <v>5.25</v>
      </c>
      <c r="E157" s="98">
        <v>1.0</v>
      </c>
      <c r="F157" s="99">
        <v>0.0032</v>
      </c>
      <c r="G157" s="100">
        <f t="shared" si="1"/>
        <v>6025.5055</v>
      </c>
    </row>
    <row r="158">
      <c r="A158" s="96" t="s">
        <v>888</v>
      </c>
      <c r="B158" s="96" t="s">
        <v>889</v>
      </c>
      <c r="C158" s="96" t="s">
        <v>890</v>
      </c>
      <c r="D158" s="97">
        <v>5.25</v>
      </c>
      <c r="E158" s="98">
        <v>1.0</v>
      </c>
      <c r="F158" s="99">
        <v>0.0032</v>
      </c>
      <c r="G158" s="100">
        <f t="shared" si="1"/>
        <v>6025.5055</v>
      </c>
    </row>
    <row r="159">
      <c r="A159" s="96" t="s">
        <v>891</v>
      </c>
      <c r="B159" s="96" t="s">
        <v>892</v>
      </c>
      <c r="C159" s="96" t="s">
        <v>893</v>
      </c>
      <c r="D159" s="97">
        <v>5.74</v>
      </c>
      <c r="E159" s="98">
        <v>1.0</v>
      </c>
      <c r="F159" s="99">
        <v>0.003</v>
      </c>
      <c r="G159" s="100">
        <f t="shared" si="1"/>
        <v>6549.4625</v>
      </c>
    </row>
    <row r="160">
      <c r="A160" s="96" t="s">
        <v>894</v>
      </c>
      <c r="B160" s="96" t="s">
        <v>895</v>
      </c>
      <c r="C160" s="96" t="s">
        <v>896</v>
      </c>
      <c r="D160" s="97">
        <v>5.74</v>
      </c>
      <c r="E160" s="98">
        <v>1.0</v>
      </c>
      <c r="F160" s="99">
        <v>0.003</v>
      </c>
      <c r="G160" s="100">
        <f t="shared" si="1"/>
        <v>6549.4625</v>
      </c>
    </row>
    <row r="161">
      <c r="A161" s="96" t="s">
        <v>897</v>
      </c>
      <c r="B161" s="96" t="s">
        <v>898</v>
      </c>
      <c r="C161" s="96" t="s">
        <v>899</v>
      </c>
      <c r="D161" s="97">
        <v>6.96</v>
      </c>
      <c r="E161" s="98">
        <v>1.0</v>
      </c>
      <c r="F161" s="99">
        <v>0.0174</v>
      </c>
      <c r="G161" s="100">
        <f t="shared" si="1"/>
        <v>9001.9335</v>
      </c>
    </row>
    <row r="162">
      <c r="A162" s="96" t="s">
        <v>900</v>
      </c>
      <c r="B162" s="96" t="s">
        <v>901</v>
      </c>
      <c r="C162" s="96" t="s">
        <v>902</v>
      </c>
      <c r="D162" s="97">
        <v>44.67</v>
      </c>
      <c r="E162" s="98">
        <v>1.0</v>
      </c>
      <c r="F162" s="99">
        <v>0.0213</v>
      </c>
      <c r="G162" s="100">
        <f t="shared" si="1"/>
        <v>50811.72075</v>
      </c>
    </row>
    <row r="163">
      <c r="A163" s="96" t="s">
        <v>903</v>
      </c>
      <c r="B163" s="104">
        <v>7016.0</v>
      </c>
      <c r="C163" s="96" t="s">
        <v>904</v>
      </c>
      <c r="D163" s="97">
        <v>8.05</v>
      </c>
      <c r="E163" s="98">
        <v>1.0</v>
      </c>
      <c r="F163" s="99">
        <v>0.0105</v>
      </c>
      <c r="G163" s="100">
        <f t="shared" si="1"/>
        <v>9670.08875</v>
      </c>
    </row>
    <row r="164">
      <c r="A164" s="96" t="s">
        <v>905</v>
      </c>
      <c r="B164" s="96" t="s">
        <v>906</v>
      </c>
      <c r="C164" s="96" t="s">
        <v>907</v>
      </c>
      <c r="D164" s="97">
        <v>8.79</v>
      </c>
      <c r="E164" s="98">
        <v>1.0</v>
      </c>
      <c r="F164" s="99">
        <v>0.0075</v>
      </c>
      <c r="G164" s="100">
        <f t="shared" si="1"/>
        <v>10253.48625</v>
      </c>
    </row>
    <row r="165">
      <c r="A165" s="96" t="s">
        <v>908</v>
      </c>
      <c r="B165" s="104">
        <v>2026.0</v>
      </c>
      <c r="C165" s="96" t="s">
        <v>909</v>
      </c>
      <c r="D165" s="97">
        <v>8.43</v>
      </c>
      <c r="E165" s="98">
        <v>1.0</v>
      </c>
      <c r="F165" s="99">
        <v>0.0082</v>
      </c>
      <c r="G165" s="100">
        <f t="shared" si="1"/>
        <v>9911.153</v>
      </c>
    </row>
    <row r="166">
      <c r="A166" s="96" t="s">
        <v>910</v>
      </c>
      <c r="B166" s="96" t="s">
        <v>911</v>
      </c>
      <c r="C166" s="96" t="s">
        <v>912</v>
      </c>
      <c r="D166" s="97">
        <v>6.14</v>
      </c>
      <c r="E166" s="98">
        <v>1.0</v>
      </c>
      <c r="F166" s="99">
        <v>0.0084</v>
      </c>
      <c r="G166" s="100">
        <f t="shared" si="1"/>
        <v>7405.846</v>
      </c>
    </row>
    <row r="167">
      <c r="A167" s="96" t="s">
        <v>913</v>
      </c>
      <c r="B167" s="96" t="s">
        <v>914</v>
      </c>
      <c r="C167" s="96" t="s">
        <v>915</v>
      </c>
      <c r="D167" s="97">
        <v>11.14</v>
      </c>
      <c r="E167" s="98">
        <v>1.0</v>
      </c>
      <c r="F167" s="99">
        <v>0.0085</v>
      </c>
      <c r="G167" s="100">
        <f t="shared" si="1"/>
        <v>12917.30125</v>
      </c>
    </row>
    <row r="168">
      <c r="A168" s="96" t="s">
        <v>916</v>
      </c>
      <c r="B168" s="96" t="s">
        <v>917</v>
      </c>
      <c r="C168" s="96" t="s">
        <v>918</v>
      </c>
      <c r="D168" s="97">
        <v>2.942</v>
      </c>
      <c r="E168" s="98">
        <v>1.0</v>
      </c>
      <c r="F168" s="99">
        <v>0.0123</v>
      </c>
      <c r="G168" s="100">
        <f t="shared" si="1"/>
        <v>4186.15225</v>
      </c>
    </row>
    <row r="169">
      <c r="A169" s="96" t="s">
        <v>919</v>
      </c>
      <c r="B169" s="96" t="s">
        <v>920</v>
      </c>
      <c r="C169" s="96" t="s">
        <v>921</v>
      </c>
      <c r="D169" s="97">
        <v>15.48</v>
      </c>
      <c r="E169" s="98">
        <v>1.0</v>
      </c>
      <c r="F169" s="99">
        <v>0.0159</v>
      </c>
      <c r="G169" s="100">
        <f t="shared" si="1"/>
        <v>18264.74475</v>
      </c>
    </row>
    <row r="170">
      <c r="A170" s="96" t="s">
        <v>922</v>
      </c>
      <c r="B170" s="96" t="s">
        <v>923</v>
      </c>
      <c r="C170" s="96" t="s">
        <v>924</v>
      </c>
      <c r="D170" s="97">
        <v>15.96</v>
      </c>
      <c r="E170" s="98">
        <v>1.0</v>
      </c>
      <c r="F170" s="99">
        <v>0.0159</v>
      </c>
      <c r="G170" s="100">
        <f t="shared" si="1"/>
        <v>18793.10475</v>
      </c>
    </row>
    <row r="171">
      <c r="A171" s="96" t="s">
        <v>925</v>
      </c>
      <c r="B171" s="96" t="s">
        <v>926</v>
      </c>
      <c r="C171" s="96" t="s">
        <v>927</v>
      </c>
      <c r="D171" s="97">
        <v>16.82</v>
      </c>
      <c r="E171" s="98">
        <v>1.0</v>
      </c>
      <c r="F171" s="99">
        <v>0.0159</v>
      </c>
      <c r="G171" s="100">
        <f t="shared" si="1"/>
        <v>19739.74975</v>
      </c>
    </row>
    <row r="172">
      <c r="A172" s="96" t="s">
        <v>928</v>
      </c>
      <c r="B172" s="96" t="s">
        <v>929</v>
      </c>
      <c r="C172" s="96" t="s">
        <v>930</v>
      </c>
      <c r="D172" s="97">
        <v>5.53</v>
      </c>
      <c r="E172" s="98">
        <v>1.0</v>
      </c>
      <c r="F172" s="99">
        <v>0.026</v>
      </c>
      <c r="G172" s="100">
        <f t="shared" si="1"/>
        <v>8090.5125</v>
      </c>
    </row>
    <row r="173">
      <c r="A173" s="96" t="s">
        <v>931</v>
      </c>
      <c r="B173" s="96" t="s">
        <v>932</v>
      </c>
      <c r="C173" s="96" t="s">
        <v>933</v>
      </c>
      <c r="D173" s="97">
        <v>3.13</v>
      </c>
      <c r="E173" s="98">
        <v>1.0</v>
      </c>
      <c r="F173" s="99">
        <v>0.019</v>
      </c>
      <c r="G173" s="100">
        <f t="shared" si="1"/>
        <v>4909.345</v>
      </c>
    </row>
    <row r="174">
      <c r="A174" s="96" t="s">
        <v>934</v>
      </c>
      <c r="B174" s="96" t="s">
        <v>935</v>
      </c>
      <c r="C174" s="96" t="s">
        <v>936</v>
      </c>
      <c r="D174" s="97">
        <v>6.67</v>
      </c>
      <c r="E174" s="98">
        <v>1.0</v>
      </c>
      <c r="F174" s="99">
        <v>0.002</v>
      </c>
      <c r="G174" s="100">
        <f t="shared" si="1"/>
        <v>7496.1075</v>
      </c>
    </row>
    <row r="175">
      <c r="A175" s="96" t="s">
        <v>937</v>
      </c>
      <c r="B175" s="96" t="s">
        <v>938</v>
      </c>
      <c r="C175" s="96" t="s">
        <v>939</v>
      </c>
      <c r="D175" s="97">
        <v>50.6</v>
      </c>
      <c r="E175" s="98">
        <v>1.0</v>
      </c>
      <c r="F175" s="99">
        <v>0.07</v>
      </c>
      <c r="G175" s="100">
        <f t="shared" si="1"/>
        <v>61091.625</v>
      </c>
    </row>
    <row r="176">
      <c r="A176" s="96" t="s">
        <v>940</v>
      </c>
      <c r="B176" s="96" t="s">
        <v>941</v>
      </c>
      <c r="C176" s="96" t="s">
        <v>939</v>
      </c>
      <c r="D176" s="97">
        <v>50.6</v>
      </c>
      <c r="E176" s="98">
        <v>1.0</v>
      </c>
      <c r="F176" s="99">
        <v>0.07</v>
      </c>
      <c r="G176" s="100">
        <f t="shared" si="1"/>
        <v>61091.625</v>
      </c>
    </row>
    <row r="177">
      <c r="A177" s="96" t="s">
        <v>942</v>
      </c>
      <c r="B177" s="96" t="s">
        <v>943</v>
      </c>
      <c r="C177" s="96" t="s">
        <v>944</v>
      </c>
      <c r="D177" s="97">
        <v>48.5</v>
      </c>
      <c r="E177" s="98">
        <v>1.0</v>
      </c>
      <c r="F177" s="99">
        <v>0.045</v>
      </c>
      <c r="G177" s="100">
        <f t="shared" si="1"/>
        <v>56853.7375</v>
      </c>
    </row>
    <row r="178">
      <c r="A178" s="96" t="s">
        <v>945</v>
      </c>
      <c r="B178" s="96" t="s">
        <v>946</v>
      </c>
      <c r="C178" s="96" t="s">
        <v>947</v>
      </c>
      <c r="D178" s="97">
        <v>6.79</v>
      </c>
      <c r="E178" s="98">
        <v>1.0</v>
      </c>
      <c r="F178" s="99">
        <v>0.02</v>
      </c>
      <c r="G178" s="100">
        <f t="shared" si="1"/>
        <v>9015.1425</v>
      </c>
    </row>
    <row r="179">
      <c r="A179" s="96" t="s">
        <v>948</v>
      </c>
      <c r="B179" s="96" t="s">
        <v>949</v>
      </c>
      <c r="C179" s="96" t="s">
        <v>950</v>
      </c>
      <c r="D179" s="97">
        <v>3.88</v>
      </c>
      <c r="E179" s="98">
        <v>1.0</v>
      </c>
      <c r="F179" s="99">
        <v>0.002</v>
      </c>
      <c r="G179" s="100">
        <f t="shared" si="1"/>
        <v>4425.015</v>
      </c>
    </row>
    <row r="180">
      <c r="A180" s="96" t="s">
        <v>951</v>
      </c>
      <c r="B180" s="96" t="s">
        <v>952</v>
      </c>
      <c r="C180" s="96" t="s">
        <v>953</v>
      </c>
      <c r="D180" s="97">
        <v>3.88</v>
      </c>
      <c r="E180" s="98">
        <v>1.0</v>
      </c>
      <c r="F180" s="99">
        <v>0.002</v>
      </c>
      <c r="G180" s="100">
        <f t="shared" si="1"/>
        <v>4425.015</v>
      </c>
    </row>
    <row r="181">
      <c r="A181" s="96" t="s">
        <v>954</v>
      </c>
      <c r="B181" s="96" t="s">
        <v>955</v>
      </c>
      <c r="C181" s="96" t="s">
        <v>956</v>
      </c>
      <c r="D181" s="97">
        <v>3.45</v>
      </c>
      <c r="E181" s="98">
        <v>1.0</v>
      </c>
      <c r="F181" s="99">
        <v>0.002</v>
      </c>
      <c r="G181" s="100">
        <f t="shared" si="1"/>
        <v>3951.6925</v>
      </c>
    </row>
    <row r="182">
      <c r="A182" s="96" t="s">
        <v>957</v>
      </c>
      <c r="B182" s="96" t="s">
        <v>958</v>
      </c>
      <c r="C182" s="96" t="s">
        <v>956</v>
      </c>
      <c r="D182" s="97">
        <v>3.45</v>
      </c>
      <c r="E182" s="98">
        <v>1.0</v>
      </c>
      <c r="F182" s="99">
        <v>0.002</v>
      </c>
      <c r="G182" s="100">
        <f t="shared" si="1"/>
        <v>3951.6925</v>
      </c>
    </row>
    <row r="183">
      <c r="A183" s="96" t="s">
        <v>959</v>
      </c>
      <c r="B183" s="96" t="s">
        <v>960</v>
      </c>
      <c r="C183" s="96" t="s">
        <v>956</v>
      </c>
      <c r="D183" s="97">
        <v>3.45</v>
      </c>
      <c r="E183" s="98">
        <v>1.0</v>
      </c>
      <c r="F183" s="99">
        <v>0.002</v>
      </c>
      <c r="G183" s="100">
        <f t="shared" si="1"/>
        <v>3951.6925</v>
      </c>
    </row>
    <row r="184">
      <c r="A184" s="96" t="s">
        <v>961</v>
      </c>
      <c r="B184" s="96" t="s">
        <v>962</v>
      </c>
      <c r="C184" s="96" t="s">
        <v>963</v>
      </c>
      <c r="D184" s="105">
        <v>5.7</v>
      </c>
      <c r="E184" s="98">
        <v>1.0</v>
      </c>
      <c r="F184" s="99">
        <v>0.0181</v>
      </c>
      <c r="G184" s="100">
        <f t="shared" si="1"/>
        <v>7668.92525</v>
      </c>
    </row>
    <row r="185">
      <c r="A185" s="96" t="s">
        <v>964</v>
      </c>
      <c r="B185" s="96" t="s">
        <v>965</v>
      </c>
      <c r="C185" s="96" t="s">
        <v>966</v>
      </c>
      <c r="D185" s="105">
        <v>6.65</v>
      </c>
      <c r="E185" s="98">
        <v>1.0</v>
      </c>
      <c r="F185" s="99">
        <v>0.0225</v>
      </c>
      <c r="G185" s="100">
        <f t="shared" si="1"/>
        <v>9053.66875</v>
      </c>
    </row>
    <row r="186">
      <c r="A186" s="96" t="s">
        <v>967</v>
      </c>
      <c r="B186" s="96" t="s">
        <v>968</v>
      </c>
      <c r="C186" s="96" t="s">
        <v>969</v>
      </c>
      <c r="D186" s="97">
        <v>7.634</v>
      </c>
      <c r="E186" s="98">
        <v>1.0</v>
      </c>
      <c r="F186" s="99">
        <v>0.0276</v>
      </c>
      <c r="G186" s="100">
        <f t="shared" si="1"/>
        <v>10529.7745</v>
      </c>
    </row>
    <row r="187">
      <c r="A187" s="96" t="s">
        <v>970</v>
      </c>
      <c r="B187" s="96" t="s">
        <v>971</v>
      </c>
      <c r="C187" s="96" t="s">
        <v>972</v>
      </c>
      <c r="D187" s="97">
        <v>8.56</v>
      </c>
      <c r="E187" s="98">
        <v>1.0</v>
      </c>
      <c r="F187" s="99">
        <v>0.0342</v>
      </c>
      <c r="G187" s="100">
        <f t="shared" si="1"/>
        <v>12057.6155</v>
      </c>
    </row>
    <row r="188">
      <c r="A188" s="96" t="s">
        <v>973</v>
      </c>
      <c r="B188" s="96" t="s">
        <v>974</v>
      </c>
      <c r="C188" s="96" t="s">
        <v>975</v>
      </c>
      <c r="D188" s="97">
        <v>11.17</v>
      </c>
      <c r="E188" s="98">
        <v>1.0</v>
      </c>
      <c r="F188" s="99">
        <v>0.0342</v>
      </c>
      <c r="G188" s="100">
        <f t="shared" si="1"/>
        <v>14930.573</v>
      </c>
    </row>
    <row r="189">
      <c r="A189" s="96" t="s">
        <v>976</v>
      </c>
      <c r="B189" s="96" t="s">
        <v>977</v>
      </c>
      <c r="C189" s="96" t="s">
        <v>978</v>
      </c>
      <c r="D189" s="97">
        <v>11.27</v>
      </c>
      <c r="E189" s="98">
        <v>1.0</v>
      </c>
      <c r="F189" s="99">
        <v>0.0335</v>
      </c>
      <c r="G189" s="100">
        <f t="shared" si="1"/>
        <v>14986.71125</v>
      </c>
    </row>
    <row r="190">
      <c r="A190" s="96" t="s">
        <v>979</v>
      </c>
      <c r="B190" s="96" t="s">
        <v>980</v>
      </c>
      <c r="C190" s="96" t="s">
        <v>981</v>
      </c>
      <c r="D190" s="97">
        <v>6.24</v>
      </c>
      <c r="E190" s="98">
        <v>1.0</v>
      </c>
      <c r="F190" s="99">
        <v>0.0233</v>
      </c>
      <c r="G190" s="100">
        <f t="shared" si="1"/>
        <v>8664.00325</v>
      </c>
    </row>
    <row r="191">
      <c r="A191" s="96" t="s">
        <v>982</v>
      </c>
      <c r="B191" s="96" t="s">
        <v>983</v>
      </c>
      <c r="C191" s="96" t="s">
        <v>984</v>
      </c>
      <c r="D191" s="97">
        <v>8.32</v>
      </c>
      <c r="E191" s="98">
        <v>1.0</v>
      </c>
      <c r="F191" s="99">
        <v>0.008</v>
      </c>
      <c r="G191" s="100">
        <f t="shared" si="1"/>
        <v>9774.66</v>
      </c>
    </row>
    <row r="192">
      <c r="A192" s="96" t="s">
        <v>985</v>
      </c>
      <c r="B192" s="96" t="s">
        <v>986</v>
      </c>
      <c r="C192" s="96" t="s">
        <v>987</v>
      </c>
      <c r="D192" s="97">
        <v>8.32</v>
      </c>
      <c r="E192" s="98">
        <v>1.0</v>
      </c>
      <c r="F192" s="99">
        <v>0.008</v>
      </c>
      <c r="G192" s="100">
        <f t="shared" si="1"/>
        <v>9774.66</v>
      </c>
    </row>
    <row r="193">
      <c r="A193" s="96" t="s">
        <v>988</v>
      </c>
      <c r="B193" s="96" t="s">
        <v>989</v>
      </c>
      <c r="C193" s="96" t="s">
        <v>990</v>
      </c>
      <c r="D193" s="97">
        <v>8.99</v>
      </c>
      <c r="E193" s="98">
        <v>1.0</v>
      </c>
      <c r="F193" s="99">
        <v>0.008</v>
      </c>
      <c r="G193" s="100">
        <f t="shared" si="1"/>
        <v>10512.1625</v>
      </c>
    </row>
    <row r="194">
      <c r="A194" s="96" t="s">
        <v>991</v>
      </c>
      <c r="B194" s="96"/>
      <c r="C194" s="96" t="s">
        <v>992</v>
      </c>
      <c r="D194" s="97">
        <v>1.2</v>
      </c>
      <c r="E194" s="98">
        <v>1.0</v>
      </c>
      <c r="F194" s="106"/>
      <c r="G194" s="100">
        <f t="shared" si="1"/>
        <v>1320.9</v>
      </c>
    </row>
    <row r="195">
      <c r="A195" s="96" t="s">
        <v>993</v>
      </c>
      <c r="B195" s="96" t="s">
        <v>994</v>
      </c>
      <c r="C195" s="96" t="s">
        <v>995</v>
      </c>
      <c r="D195" s="97">
        <v>1.2</v>
      </c>
      <c r="E195" s="98">
        <v>1.0</v>
      </c>
      <c r="F195" s="99">
        <v>8.0E-4</v>
      </c>
      <c r="G195" s="100">
        <f t="shared" si="1"/>
        <v>1382.542</v>
      </c>
    </row>
    <row r="196">
      <c r="A196" s="96" t="s">
        <v>993</v>
      </c>
      <c r="B196" s="96"/>
      <c r="C196" s="96" t="s">
        <v>996</v>
      </c>
      <c r="D196" s="97">
        <v>2.09</v>
      </c>
      <c r="E196" s="98">
        <v>1.0</v>
      </c>
      <c r="F196" s="99">
        <v>0.0017</v>
      </c>
      <c r="G196" s="100">
        <f t="shared" si="1"/>
        <v>2431.55675</v>
      </c>
    </row>
    <row r="197">
      <c r="A197" s="96" t="s">
        <v>997</v>
      </c>
      <c r="B197" s="96" t="s">
        <v>998</v>
      </c>
      <c r="C197" s="96" t="s">
        <v>999</v>
      </c>
      <c r="D197" s="97">
        <v>2.09</v>
      </c>
      <c r="E197" s="98">
        <v>1.0</v>
      </c>
      <c r="F197" s="99">
        <v>0.0016</v>
      </c>
      <c r="G197" s="100">
        <f t="shared" si="1"/>
        <v>2423.8515</v>
      </c>
    </row>
    <row r="198">
      <c r="A198" s="96" t="s">
        <v>1000</v>
      </c>
      <c r="B198" s="96" t="s">
        <v>1001</v>
      </c>
      <c r="C198" s="96" t="s">
        <v>1002</v>
      </c>
      <c r="D198" s="97">
        <v>40.93</v>
      </c>
      <c r="E198" s="98">
        <v>1.0</v>
      </c>
      <c r="F198" s="99">
        <v>0.0538</v>
      </c>
      <c r="G198" s="100">
        <f t="shared" si="1"/>
        <v>49199.122</v>
      </c>
    </row>
    <row r="199">
      <c r="A199" s="96" t="s">
        <v>1003</v>
      </c>
      <c r="B199" s="96" t="s">
        <v>1004</v>
      </c>
      <c r="C199" s="96" t="s">
        <v>1005</v>
      </c>
      <c r="D199" s="97">
        <v>55.97</v>
      </c>
      <c r="E199" s="98">
        <v>1.0</v>
      </c>
      <c r="F199" s="99">
        <v>0.1638</v>
      </c>
      <c r="G199" s="100">
        <f t="shared" si="1"/>
        <v>74230.177</v>
      </c>
    </row>
    <row r="200">
      <c r="A200" s="96" t="s">
        <v>1006</v>
      </c>
      <c r="B200" s="96" t="s">
        <v>1007</v>
      </c>
      <c r="C200" s="96" t="s">
        <v>1008</v>
      </c>
      <c r="D200" s="97">
        <v>85.63</v>
      </c>
      <c r="E200" s="98">
        <v>1.0</v>
      </c>
      <c r="F200" s="99">
        <v>0.1024</v>
      </c>
      <c r="G200" s="100">
        <f t="shared" si="1"/>
        <v>102147.3985</v>
      </c>
    </row>
    <row r="201">
      <c r="A201" s="96" t="s">
        <v>1009</v>
      </c>
      <c r="B201" s="96" t="s">
        <v>1010</v>
      </c>
      <c r="C201" s="96" t="s">
        <v>1011</v>
      </c>
      <c r="D201" s="97">
        <v>31.45</v>
      </c>
      <c r="E201" s="98">
        <v>1.0</v>
      </c>
      <c r="F201" s="99">
        <v>0.0747</v>
      </c>
      <c r="G201" s="100">
        <f t="shared" si="1"/>
        <v>40374.40925</v>
      </c>
    </row>
    <row r="202">
      <c r="A202" s="96" t="s">
        <v>1012</v>
      </c>
      <c r="B202" s="96" t="s">
        <v>1013</v>
      </c>
      <c r="C202" s="96" t="s">
        <v>1011</v>
      </c>
      <c r="D202" s="97">
        <v>31.45</v>
      </c>
      <c r="E202" s="98">
        <v>1.0</v>
      </c>
      <c r="F202" s="99">
        <v>0.0747</v>
      </c>
      <c r="G202" s="100">
        <f t="shared" si="1"/>
        <v>40374.40925</v>
      </c>
    </row>
    <row r="203">
      <c r="A203" s="96" t="s">
        <v>1014</v>
      </c>
      <c r="B203" s="96" t="s">
        <v>1015</v>
      </c>
      <c r="C203" s="96" t="s">
        <v>1016</v>
      </c>
      <c r="D203" s="97">
        <v>5.9</v>
      </c>
      <c r="E203" s="98">
        <v>1.0</v>
      </c>
      <c r="F203" s="99">
        <v>0.02</v>
      </c>
      <c r="G203" s="100">
        <f t="shared" si="1"/>
        <v>8035.475</v>
      </c>
    </row>
    <row r="204">
      <c r="A204" s="96" t="s">
        <v>1017</v>
      </c>
      <c r="B204" s="96" t="s">
        <v>1018</v>
      </c>
      <c r="C204" s="96" t="s">
        <v>1019</v>
      </c>
      <c r="D204" s="97">
        <v>5.9</v>
      </c>
      <c r="E204" s="98">
        <v>1.0</v>
      </c>
      <c r="F204" s="99">
        <v>0.0045</v>
      </c>
      <c r="G204" s="100">
        <f t="shared" si="1"/>
        <v>6841.16125</v>
      </c>
    </row>
    <row r="205">
      <c r="A205" s="96" t="s">
        <v>1020</v>
      </c>
      <c r="B205" s="96" t="s">
        <v>1021</v>
      </c>
      <c r="C205" s="96" t="s">
        <v>1022</v>
      </c>
      <c r="D205" s="97">
        <v>5.9</v>
      </c>
      <c r="E205" s="98">
        <v>1.0</v>
      </c>
      <c r="F205" s="99">
        <v>0.0045</v>
      </c>
      <c r="G205" s="100">
        <f t="shared" si="1"/>
        <v>6841.16125</v>
      </c>
    </row>
    <row r="206">
      <c r="A206" s="96" t="s">
        <v>1023</v>
      </c>
      <c r="B206" s="96" t="s">
        <v>1024</v>
      </c>
      <c r="C206" s="96" t="s">
        <v>1025</v>
      </c>
      <c r="D206" s="97">
        <v>21.9</v>
      </c>
      <c r="E206" s="98">
        <v>1.0</v>
      </c>
      <c r="F206" s="99">
        <v>0.0071</v>
      </c>
      <c r="G206" s="100">
        <f t="shared" si="1"/>
        <v>24653.49775</v>
      </c>
    </row>
    <row r="207">
      <c r="A207" s="96" t="s">
        <v>1026</v>
      </c>
      <c r="B207" s="96" t="s">
        <v>1027</v>
      </c>
      <c r="C207" s="96" t="s">
        <v>1028</v>
      </c>
      <c r="D207" s="97">
        <v>5.72</v>
      </c>
      <c r="E207" s="98">
        <v>1.0</v>
      </c>
      <c r="F207" s="99">
        <v>0.0013</v>
      </c>
      <c r="G207" s="100">
        <f t="shared" si="1"/>
        <v>6396.45825</v>
      </c>
    </row>
    <row r="208">
      <c r="A208" s="96" t="s">
        <v>1029</v>
      </c>
      <c r="B208" s="96" t="s">
        <v>1030</v>
      </c>
      <c r="C208" s="96" t="s">
        <v>1031</v>
      </c>
      <c r="D208" s="97">
        <v>20.75</v>
      </c>
      <c r="E208" s="98">
        <v>1.0</v>
      </c>
      <c r="F208" s="99">
        <v>0.1009</v>
      </c>
      <c r="G208" s="100">
        <f t="shared" si="1"/>
        <v>30615.15975</v>
      </c>
    </row>
    <row r="209">
      <c r="A209" s="96" t="s">
        <v>1032</v>
      </c>
      <c r="B209" s="96" t="s">
        <v>1033</v>
      </c>
      <c r="C209" s="96" t="s">
        <v>1034</v>
      </c>
      <c r="D209" s="97">
        <v>20.75</v>
      </c>
      <c r="E209" s="98">
        <v>1.0</v>
      </c>
      <c r="F209" s="99">
        <v>0.1009</v>
      </c>
      <c r="G209" s="100">
        <f t="shared" si="1"/>
        <v>30615.15975</v>
      </c>
    </row>
    <row r="210">
      <c r="A210" s="96" t="s">
        <v>1035</v>
      </c>
      <c r="B210" s="96" t="s">
        <v>1036</v>
      </c>
      <c r="C210" s="96" t="s">
        <v>1037</v>
      </c>
      <c r="D210" s="97">
        <v>3.07</v>
      </c>
      <c r="E210" s="98">
        <v>1.0</v>
      </c>
      <c r="F210" s="99">
        <v>0.0078</v>
      </c>
      <c r="G210" s="100">
        <f t="shared" si="1"/>
        <v>3980.312</v>
      </c>
    </row>
    <row r="211">
      <c r="A211" s="96" t="s">
        <v>1038</v>
      </c>
      <c r="B211" s="96" t="s">
        <v>1039</v>
      </c>
      <c r="C211" s="96" t="s">
        <v>1040</v>
      </c>
      <c r="D211" s="97">
        <v>3.11</v>
      </c>
      <c r="E211" s="98">
        <v>1.0</v>
      </c>
      <c r="F211" s="99">
        <v>0.0078</v>
      </c>
      <c r="G211" s="100">
        <f t="shared" si="1"/>
        <v>4024.342</v>
      </c>
    </row>
    <row r="212">
      <c r="A212" s="96" t="s">
        <v>1041</v>
      </c>
      <c r="B212" s="96" t="s">
        <v>1042</v>
      </c>
      <c r="C212" s="96" t="s">
        <v>1043</v>
      </c>
      <c r="D212" s="97">
        <v>1.29</v>
      </c>
      <c r="E212" s="98">
        <v>1.0</v>
      </c>
      <c r="F212" s="99">
        <v>0.0014</v>
      </c>
      <c r="G212" s="100">
        <f t="shared" si="1"/>
        <v>1527.841</v>
      </c>
    </row>
    <row r="213">
      <c r="A213" s="96" t="s">
        <v>1044</v>
      </c>
      <c r="B213" s="96" t="s">
        <v>1045</v>
      </c>
      <c r="C213" s="96" t="s">
        <v>1046</v>
      </c>
      <c r="D213" s="97">
        <v>20.82</v>
      </c>
      <c r="E213" s="98">
        <v>1.0</v>
      </c>
      <c r="F213" s="99">
        <v>0.0292</v>
      </c>
      <c r="G213" s="100">
        <f t="shared" si="1"/>
        <v>25167.548</v>
      </c>
    </row>
    <row r="214">
      <c r="A214" s="96" t="s">
        <v>1047</v>
      </c>
      <c r="B214" s="96" t="s">
        <v>1048</v>
      </c>
      <c r="C214" s="96" t="s">
        <v>1049</v>
      </c>
      <c r="D214" s="97">
        <v>71.5</v>
      </c>
      <c r="E214" s="98">
        <v>1.0</v>
      </c>
      <c r="F214" s="99">
        <v>0.006</v>
      </c>
      <c r="G214" s="100">
        <f t="shared" si="1"/>
        <v>79165.94</v>
      </c>
    </row>
    <row r="215">
      <c r="A215" s="96" t="s">
        <v>1050</v>
      </c>
      <c r="B215" s="96" t="s">
        <v>1051</v>
      </c>
      <c r="C215" s="96" t="s">
        <v>1052</v>
      </c>
      <c r="D215" s="97">
        <v>8.4</v>
      </c>
      <c r="E215" s="98">
        <v>1.0</v>
      </c>
      <c r="F215" s="99">
        <v>5.0E-4</v>
      </c>
      <c r="G215" s="100">
        <f t="shared" si="1"/>
        <v>9284.82625</v>
      </c>
    </row>
    <row r="216">
      <c r="A216" s="96" t="s">
        <v>1053</v>
      </c>
      <c r="B216" s="96" t="s">
        <v>1054</v>
      </c>
      <c r="C216" s="96" t="s">
        <v>1055</v>
      </c>
      <c r="D216" s="97">
        <v>4.81</v>
      </c>
      <c r="E216" s="98">
        <v>1.0</v>
      </c>
      <c r="F216" s="99">
        <v>0.0085</v>
      </c>
      <c r="G216" s="100">
        <f t="shared" si="1"/>
        <v>5949.55375</v>
      </c>
    </row>
    <row r="217">
      <c r="A217" s="96" t="s">
        <v>1056</v>
      </c>
      <c r="B217" s="96" t="s">
        <v>1057</v>
      </c>
      <c r="C217" s="96" t="s">
        <v>1058</v>
      </c>
      <c r="D217" s="97">
        <v>4.81</v>
      </c>
      <c r="E217" s="98">
        <v>1.0</v>
      </c>
      <c r="F217" s="99">
        <v>0.0071</v>
      </c>
      <c r="G217" s="100">
        <f t="shared" si="1"/>
        <v>5841.68025</v>
      </c>
    </row>
    <row r="218">
      <c r="A218" s="96" t="s">
        <v>1059</v>
      </c>
      <c r="B218" s="96" t="s">
        <v>1060</v>
      </c>
      <c r="C218" s="96" t="s">
        <v>1061</v>
      </c>
      <c r="D218" s="97">
        <v>5.4</v>
      </c>
      <c r="E218" s="98">
        <v>1.0</v>
      </c>
      <c r="F218" s="99">
        <v>0.0076</v>
      </c>
      <c r="G218" s="100">
        <f t="shared" si="1"/>
        <v>6529.649</v>
      </c>
    </row>
    <row r="219">
      <c r="A219" s="96" t="s">
        <v>1062</v>
      </c>
      <c r="B219" s="96" t="s">
        <v>1063</v>
      </c>
      <c r="C219" s="96" t="s">
        <v>1064</v>
      </c>
      <c r="D219" s="97">
        <v>6.1</v>
      </c>
      <c r="E219" s="98">
        <v>1.0</v>
      </c>
      <c r="F219" s="99">
        <v>0.0076</v>
      </c>
      <c r="G219" s="100">
        <f t="shared" si="1"/>
        <v>7300.174</v>
      </c>
    </row>
    <row r="220">
      <c r="A220" s="96" t="s">
        <v>1065</v>
      </c>
      <c r="B220" s="96" t="s">
        <v>1066</v>
      </c>
      <c r="C220" s="96" t="s">
        <v>1067</v>
      </c>
      <c r="D220" s="97">
        <v>6.9</v>
      </c>
      <c r="E220" s="98">
        <v>1.0</v>
      </c>
      <c r="F220" s="99">
        <v>0.0076</v>
      </c>
      <c r="G220" s="100">
        <f t="shared" si="1"/>
        <v>8180.774</v>
      </c>
    </row>
    <row r="221">
      <c r="A221" s="96" t="s">
        <v>1068</v>
      </c>
      <c r="B221" s="96" t="s">
        <v>1069</v>
      </c>
      <c r="C221" s="96" t="s">
        <v>1070</v>
      </c>
      <c r="D221" s="97">
        <v>3.5</v>
      </c>
      <c r="E221" s="98">
        <v>1.0</v>
      </c>
      <c r="F221" s="99">
        <v>0.0033</v>
      </c>
      <c r="G221" s="100">
        <f t="shared" si="1"/>
        <v>4106.89825</v>
      </c>
    </row>
    <row r="222">
      <c r="A222" s="96" t="s">
        <v>1071</v>
      </c>
      <c r="B222" s="96" t="s">
        <v>1072</v>
      </c>
      <c r="C222" s="96" t="s">
        <v>1073</v>
      </c>
      <c r="D222" s="97">
        <v>5.7</v>
      </c>
      <c r="E222" s="98">
        <v>1.0</v>
      </c>
      <c r="F222" s="99">
        <v>0.002</v>
      </c>
      <c r="G222" s="100">
        <f t="shared" si="1"/>
        <v>6428.38</v>
      </c>
    </row>
    <row r="223">
      <c r="A223" s="96" t="s">
        <v>1074</v>
      </c>
      <c r="B223" s="96" t="s">
        <v>1075</v>
      </c>
      <c r="C223" s="96" t="s">
        <v>1076</v>
      </c>
      <c r="D223" s="97">
        <v>5.5</v>
      </c>
      <c r="E223" s="98">
        <v>1.0</v>
      </c>
      <c r="F223" s="99">
        <v>0.002</v>
      </c>
      <c r="G223" s="100">
        <f t="shared" si="1"/>
        <v>6208.23</v>
      </c>
    </row>
    <row r="224">
      <c r="A224" s="96" t="s">
        <v>1077</v>
      </c>
      <c r="B224" s="96" t="s">
        <v>1078</v>
      </c>
      <c r="C224" s="96" t="s">
        <v>1079</v>
      </c>
      <c r="D224" s="97">
        <v>21.33</v>
      </c>
      <c r="E224" s="98">
        <v>1.0</v>
      </c>
      <c r="F224" s="99">
        <v>0.01</v>
      </c>
      <c r="G224" s="100">
        <f t="shared" si="1"/>
        <v>24249.5225</v>
      </c>
    </row>
    <row r="225">
      <c r="A225" s="96" t="s">
        <v>1080</v>
      </c>
      <c r="B225" s="96" t="s">
        <v>1081</v>
      </c>
      <c r="C225" s="96" t="s">
        <v>1082</v>
      </c>
      <c r="D225" s="97">
        <v>4.7</v>
      </c>
      <c r="E225" s="98">
        <v>1.0</v>
      </c>
      <c r="F225" s="99">
        <v>0.003</v>
      </c>
      <c r="G225" s="100">
        <f t="shared" si="1"/>
        <v>5404.6825</v>
      </c>
    </row>
    <row r="226">
      <c r="A226" s="96" t="s">
        <v>1083</v>
      </c>
      <c r="B226" s="96" t="s">
        <v>1084</v>
      </c>
      <c r="C226" s="96" t="s">
        <v>1085</v>
      </c>
      <c r="D226" s="97">
        <v>4.7</v>
      </c>
      <c r="E226" s="98">
        <v>1.0</v>
      </c>
      <c r="F226" s="99">
        <v>0.003</v>
      </c>
      <c r="G226" s="100">
        <f t="shared" si="1"/>
        <v>5404.6825</v>
      </c>
    </row>
    <row r="227">
      <c r="A227" s="96" t="s">
        <v>1086</v>
      </c>
      <c r="B227" s="96" t="s">
        <v>1087</v>
      </c>
      <c r="C227" s="96" t="s">
        <v>1088</v>
      </c>
      <c r="D227" s="97">
        <v>4.27</v>
      </c>
      <c r="E227" s="98">
        <v>1.0</v>
      </c>
      <c r="F227" s="99">
        <v>0.0108</v>
      </c>
      <c r="G227" s="100">
        <f t="shared" si="1"/>
        <v>5532.3695</v>
      </c>
    </row>
    <row r="228">
      <c r="A228" s="96" t="s">
        <v>1089</v>
      </c>
      <c r="B228" s="96" t="s">
        <v>1090</v>
      </c>
      <c r="C228" s="96" t="s">
        <v>1091</v>
      </c>
      <c r="D228" s="97">
        <v>4.27</v>
      </c>
      <c r="E228" s="98">
        <v>1.0</v>
      </c>
      <c r="F228" s="99">
        <v>0.0108</v>
      </c>
      <c r="G228" s="100">
        <f t="shared" si="1"/>
        <v>5532.3695</v>
      </c>
    </row>
    <row r="229">
      <c r="A229" s="96" t="s">
        <v>1092</v>
      </c>
      <c r="B229" s="96" t="s">
        <v>1093</v>
      </c>
      <c r="C229" s="96" t="s">
        <v>1094</v>
      </c>
      <c r="D229" s="97">
        <v>24.4</v>
      </c>
      <c r="E229" s="98">
        <v>1.0</v>
      </c>
      <c r="F229" s="99">
        <v>0.0295</v>
      </c>
      <c r="G229" s="100">
        <f t="shared" si="1"/>
        <v>29131.34875</v>
      </c>
    </row>
    <row r="230">
      <c r="A230" s="96" t="s">
        <v>1095</v>
      </c>
      <c r="B230" s="96" t="s">
        <v>1096</v>
      </c>
      <c r="C230" s="96" t="s">
        <v>1097</v>
      </c>
      <c r="D230" s="97">
        <v>5.2</v>
      </c>
      <c r="E230" s="98">
        <v>1.0</v>
      </c>
      <c r="F230" s="99">
        <v>2.0E-4</v>
      </c>
      <c r="G230" s="100">
        <f t="shared" si="1"/>
        <v>5739.3105</v>
      </c>
    </row>
    <row r="231">
      <c r="A231" s="96" t="s">
        <v>1098</v>
      </c>
      <c r="B231" s="96" t="s">
        <v>1099</v>
      </c>
      <c r="C231" s="96" t="s">
        <v>1100</v>
      </c>
      <c r="D231" s="97">
        <v>7.04</v>
      </c>
      <c r="E231" s="98">
        <v>1.0</v>
      </c>
      <c r="F231" s="99">
        <v>0.0105</v>
      </c>
      <c r="G231" s="100">
        <f t="shared" si="1"/>
        <v>8558.33125</v>
      </c>
    </row>
    <row r="232">
      <c r="A232" s="96" t="s">
        <v>1101</v>
      </c>
      <c r="B232" s="96" t="s">
        <v>1102</v>
      </c>
      <c r="C232" s="96" t="s">
        <v>1103</v>
      </c>
      <c r="D232" s="97">
        <v>12.7</v>
      </c>
      <c r="E232" s="98">
        <v>1.0</v>
      </c>
      <c r="F232" s="99">
        <v>0.0063</v>
      </c>
      <c r="G232" s="100">
        <f t="shared" si="1"/>
        <v>14464.95575</v>
      </c>
    </row>
    <row r="233">
      <c r="A233" s="96" t="s">
        <v>1104</v>
      </c>
      <c r="B233" s="96" t="s">
        <v>1105</v>
      </c>
      <c r="C233" s="96" t="s">
        <v>1103</v>
      </c>
      <c r="D233" s="97">
        <v>12.7</v>
      </c>
      <c r="E233" s="98">
        <v>1.0</v>
      </c>
      <c r="F233" s="99">
        <v>0.0063</v>
      </c>
      <c r="G233" s="100">
        <f t="shared" si="1"/>
        <v>14464.95575</v>
      </c>
    </row>
    <row r="234">
      <c r="A234" s="96" t="s">
        <v>1106</v>
      </c>
      <c r="B234" s="96" t="s">
        <v>1107</v>
      </c>
      <c r="C234" s="96" t="s">
        <v>1108</v>
      </c>
      <c r="D234" s="97">
        <v>3.9</v>
      </c>
      <c r="E234" s="98">
        <v>1.0</v>
      </c>
      <c r="F234" s="99">
        <v>0.008</v>
      </c>
      <c r="G234" s="100">
        <f t="shared" si="1"/>
        <v>4909.345</v>
      </c>
    </row>
    <row r="235">
      <c r="A235" s="96" t="s">
        <v>1109</v>
      </c>
      <c r="B235" s="96" t="s">
        <v>1110</v>
      </c>
      <c r="C235" s="96" t="s">
        <v>1111</v>
      </c>
      <c r="D235" s="97">
        <v>3.9</v>
      </c>
      <c r="E235" s="98">
        <v>1.0</v>
      </c>
      <c r="F235" s="99">
        <v>0.008</v>
      </c>
      <c r="G235" s="100">
        <f t="shared" si="1"/>
        <v>4909.345</v>
      </c>
    </row>
    <row r="236">
      <c r="A236" s="96" t="s">
        <v>1112</v>
      </c>
      <c r="B236" s="96" t="s">
        <v>1113</v>
      </c>
      <c r="C236" s="96" t="s">
        <v>1114</v>
      </c>
      <c r="D236" s="97">
        <v>3.9</v>
      </c>
      <c r="E236" s="98">
        <v>1.0</v>
      </c>
      <c r="F236" s="99">
        <v>0.008</v>
      </c>
      <c r="G236" s="100">
        <f t="shared" si="1"/>
        <v>4909.345</v>
      </c>
    </row>
    <row r="237">
      <c r="A237" s="96" t="s">
        <v>1115</v>
      </c>
      <c r="B237" s="96" t="s">
        <v>1116</v>
      </c>
      <c r="C237" s="96" t="s">
        <v>1117</v>
      </c>
      <c r="D237" s="97">
        <v>4.8</v>
      </c>
      <c r="E237" s="98">
        <v>1.0</v>
      </c>
      <c r="F237" s="99">
        <v>0.01</v>
      </c>
      <c r="G237" s="100">
        <f t="shared" si="1"/>
        <v>6054.125</v>
      </c>
    </row>
    <row r="238">
      <c r="A238" s="96" t="s">
        <v>1118</v>
      </c>
      <c r="B238" s="96" t="s">
        <v>1119</v>
      </c>
      <c r="C238" s="96" t="s">
        <v>1120</v>
      </c>
      <c r="D238" s="97">
        <v>4.8</v>
      </c>
      <c r="E238" s="98">
        <v>1.0</v>
      </c>
      <c r="F238" s="99">
        <v>0.01</v>
      </c>
      <c r="G238" s="100">
        <f t="shared" si="1"/>
        <v>6054.125</v>
      </c>
    </row>
    <row r="239">
      <c r="A239" s="96" t="s">
        <v>1121</v>
      </c>
      <c r="B239" s="96" t="s">
        <v>1122</v>
      </c>
      <c r="C239" s="96" t="s">
        <v>1123</v>
      </c>
      <c r="D239" s="97">
        <v>4.8</v>
      </c>
      <c r="E239" s="98">
        <v>1.0</v>
      </c>
      <c r="F239" s="99">
        <v>0.01</v>
      </c>
      <c r="G239" s="100">
        <f t="shared" si="1"/>
        <v>6054.125</v>
      </c>
    </row>
    <row r="240">
      <c r="A240" s="96" t="s">
        <v>1124</v>
      </c>
      <c r="B240" s="96" t="s">
        <v>1125</v>
      </c>
      <c r="C240" s="96" t="s">
        <v>1126</v>
      </c>
      <c r="D240" s="97">
        <v>8.38</v>
      </c>
      <c r="E240" s="98">
        <v>1.0</v>
      </c>
      <c r="F240" s="99">
        <v>0.006</v>
      </c>
      <c r="G240" s="100">
        <f t="shared" si="1"/>
        <v>9686.6</v>
      </c>
    </row>
    <row r="241">
      <c r="A241" s="96" t="s">
        <v>1127</v>
      </c>
      <c r="B241" s="96" t="s">
        <v>1128</v>
      </c>
      <c r="C241" s="96" t="s">
        <v>1129</v>
      </c>
      <c r="D241" s="97">
        <v>9.75</v>
      </c>
      <c r="E241" s="98">
        <v>1.0</v>
      </c>
      <c r="F241" s="99">
        <v>0.0019</v>
      </c>
      <c r="G241" s="100">
        <f t="shared" si="1"/>
        <v>10878.71225</v>
      </c>
    </row>
    <row r="242">
      <c r="A242" s="96" t="s">
        <v>1130</v>
      </c>
      <c r="B242" s="96" t="s">
        <v>1131</v>
      </c>
      <c r="C242" s="96" t="s">
        <v>1132</v>
      </c>
      <c r="D242" s="97">
        <v>7.33</v>
      </c>
      <c r="E242" s="98">
        <v>1.0</v>
      </c>
      <c r="F242" s="99">
        <v>0.0088</v>
      </c>
      <c r="G242" s="100">
        <f t="shared" si="1"/>
        <v>8746.5595</v>
      </c>
    </row>
    <row r="243">
      <c r="A243" s="96" t="s">
        <v>1133</v>
      </c>
      <c r="B243" s="96" t="s">
        <v>1134</v>
      </c>
      <c r="C243" s="96" t="s">
        <v>1135</v>
      </c>
      <c r="D243" s="97">
        <v>7.19</v>
      </c>
      <c r="E243" s="98">
        <v>1.0</v>
      </c>
      <c r="F243" s="99">
        <v>0.0102</v>
      </c>
      <c r="G243" s="100">
        <f t="shared" si="1"/>
        <v>8700.328</v>
      </c>
    </row>
    <row r="244">
      <c r="A244" s="96" t="s">
        <v>1136</v>
      </c>
      <c r="B244" s="96" t="s">
        <v>1137</v>
      </c>
      <c r="C244" s="96" t="s">
        <v>1138</v>
      </c>
      <c r="D244" s="97">
        <v>9.68</v>
      </c>
      <c r="E244" s="98">
        <v>1.0</v>
      </c>
      <c r="F244" s="99">
        <v>0.0125</v>
      </c>
      <c r="G244" s="100">
        <f t="shared" si="1"/>
        <v>11618.41625</v>
      </c>
    </row>
    <row r="245">
      <c r="A245" s="96" t="s">
        <v>1139</v>
      </c>
      <c r="B245" s="96" t="s">
        <v>1140</v>
      </c>
      <c r="C245" s="96" t="s">
        <v>1141</v>
      </c>
      <c r="D245" s="97">
        <v>6.64</v>
      </c>
      <c r="E245" s="98">
        <v>1.0</v>
      </c>
      <c r="F245" s="99">
        <v>0.006</v>
      </c>
      <c r="G245" s="100">
        <f t="shared" si="1"/>
        <v>7771.295</v>
      </c>
    </row>
    <row r="246">
      <c r="A246" s="96" t="s">
        <v>1142</v>
      </c>
      <c r="B246" s="96" t="s">
        <v>1143</v>
      </c>
      <c r="C246" s="96" t="s">
        <v>1144</v>
      </c>
      <c r="D246" s="97">
        <v>7.53</v>
      </c>
      <c r="E246" s="98">
        <v>1.0</v>
      </c>
      <c r="F246" s="99">
        <v>0.006</v>
      </c>
      <c r="G246" s="100">
        <f t="shared" si="1"/>
        <v>8750.9625</v>
      </c>
    </row>
    <row r="247">
      <c r="A247" s="96" t="s">
        <v>1145</v>
      </c>
      <c r="B247" s="96" t="s">
        <v>1146</v>
      </c>
      <c r="C247" s="96" t="s">
        <v>1147</v>
      </c>
      <c r="D247" s="97">
        <v>9.68</v>
      </c>
      <c r="E247" s="98">
        <v>1.0</v>
      </c>
      <c r="F247" s="99">
        <v>0.0319</v>
      </c>
      <c r="G247" s="100">
        <f t="shared" si="1"/>
        <v>13113.23475</v>
      </c>
    </row>
    <row r="248">
      <c r="A248" s="96" t="s">
        <v>1148</v>
      </c>
      <c r="B248" s="96" t="s">
        <v>1149</v>
      </c>
      <c r="C248" s="96" t="s">
        <v>1150</v>
      </c>
      <c r="D248" s="97">
        <v>3.74</v>
      </c>
      <c r="E248" s="98">
        <v>1.0</v>
      </c>
      <c r="F248" s="99">
        <v>0.02</v>
      </c>
      <c r="G248" s="100">
        <f t="shared" si="1"/>
        <v>5657.855</v>
      </c>
    </row>
    <row r="249">
      <c r="A249" s="96" t="s">
        <v>1151</v>
      </c>
      <c r="B249" s="96" t="s">
        <v>1152</v>
      </c>
      <c r="C249" s="96" t="s">
        <v>1153</v>
      </c>
      <c r="D249" s="97">
        <v>3.79</v>
      </c>
      <c r="E249" s="98">
        <v>1.0</v>
      </c>
      <c r="F249" s="99">
        <v>0.0151</v>
      </c>
      <c r="G249" s="100">
        <f t="shared" si="1"/>
        <v>5335.33525</v>
      </c>
    </row>
    <row r="250">
      <c r="A250" s="96" t="s">
        <v>1154</v>
      </c>
      <c r="B250" s="96" t="s">
        <v>523</v>
      </c>
      <c r="C250" s="96" t="s">
        <v>1155</v>
      </c>
      <c r="D250" s="97">
        <v>53.5</v>
      </c>
      <c r="E250" s="98">
        <v>1.0</v>
      </c>
      <c r="F250" s="99">
        <v>0.1257</v>
      </c>
      <c r="G250" s="100">
        <f t="shared" si="1"/>
        <v>68575.62425</v>
      </c>
    </row>
    <row r="251">
      <c r="A251" s="96" t="s">
        <v>1156</v>
      </c>
      <c r="B251" s="96" t="s">
        <v>1157</v>
      </c>
      <c r="C251" s="96" t="s">
        <v>1158</v>
      </c>
      <c r="D251" s="97">
        <v>14.4</v>
      </c>
      <c r="E251" s="98">
        <v>1.0</v>
      </c>
      <c r="F251" s="99">
        <v>0.02</v>
      </c>
      <c r="G251" s="100">
        <f t="shared" si="1"/>
        <v>17391.85</v>
      </c>
    </row>
    <row r="252">
      <c r="A252" s="96" t="s">
        <v>1159</v>
      </c>
      <c r="B252" s="96" t="s">
        <v>1160</v>
      </c>
      <c r="C252" s="96" t="s">
        <v>1161</v>
      </c>
      <c r="D252" s="97">
        <v>6.53</v>
      </c>
      <c r="E252" s="98">
        <v>1.0</v>
      </c>
      <c r="F252" s="99">
        <v>0.01</v>
      </c>
      <c r="G252" s="100">
        <f t="shared" si="1"/>
        <v>7958.4225</v>
      </c>
    </row>
    <row r="253">
      <c r="A253" s="96" t="s">
        <v>1162</v>
      </c>
      <c r="B253" s="96" t="s">
        <v>1163</v>
      </c>
      <c r="C253" s="96" t="s">
        <v>1164</v>
      </c>
      <c r="D253" s="97">
        <v>27.43</v>
      </c>
      <c r="E253" s="98">
        <v>1.0</v>
      </c>
      <c r="F253" s="99">
        <v>0.087</v>
      </c>
      <c r="G253" s="100">
        <f t="shared" si="1"/>
        <v>36897.14</v>
      </c>
    </row>
    <row r="254">
      <c r="A254" s="96" t="s">
        <v>1165</v>
      </c>
      <c r="B254" s="96" t="s">
        <v>1166</v>
      </c>
      <c r="C254" s="96" t="s">
        <v>1167</v>
      </c>
      <c r="D254" s="97">
        <v>23.89</v>
      </c>
      <c r="E254" s="98">
        <v>1.0</v>
      </c>
      <c r="F254" s="99">
        <v>0.087</v>
      </c>
      <c r="G254" s="100">
        <f t="shared" si="1"/>
        <v>33000.485</v>
      </c>
    </row>
    <row r="255">
      <c r="A255" s="96" t="s">
        <v>1168</v>
      </c>
      <c r="B255" s="96" t="s">
        <v>1169</v>
      </c>
      <c r="C255" s="96" t="s">
        <v>1170</v>
      </c>
      <c r="D255" s="97">
        <v>7.61</v>
      </c>
      <c r="E255" s="98">
        <v>1.0</v>
      </c>
      <c r="F255" s="99">
        <v>0.001</v>
      </c>
      <c r="G255" s="100">
        <f t="shared" si="1"/>
        <v>8453.76</v>
      </c>
    </row>
    <row r="256">
      <c r="A256" s="96" t="s">
        <v>1171</v>
      </c>
      <c r="B256" s="96" t="s">
        <v>1172</v>
      </c>
      <c r="C256" s="96" t="s">
        <v>1173</v>
      </c>
      <c r="D256" s="97">
        <v>28.68</v>
      </c>
      <c r="E256" s="98">
        <v>1.0</v>
      </c>
      <c r="F256" s="99">
        <v>0.029</v>
      </c>
      <c r="G256" s="100">
        <f t="shared" si="1"/>
        <v>33804.0325</v>
      </c>
    </row>
    <row r="257">
      <c r="A257" s="96" t="s">
        <v>1174</v>
      </c>
      <c r="B257" s="96" t="s">
        <v>1175</v>
      </c>
      <c r="C257" s="96" t="s">
        <v>1176</v>
      </c>
      <c r="D257" s="97">
        <v>24.25</v>
      </c>
      <c r="E257" s="98">
        <v>1.0</v>
      </c>
      <c r="F257" s="99">
        <v>0.022</v>
      </c>
      <c r="G257" s="100">
        <f t="shared" si="1"/>
        <v>28388.3425</v>
      </c>
    </row>
    <row r="258">
      <c r="A258" s="96" t="s">
        <v>1177</v>
      </c>
      <c r="B258" s="96" t="s">
        <v>1178</v>
      </c>
      <c r="C258" s="96" t="s">
        <v>1179</v>
      </c>
      <c r="D258" s="97">
        <v>2.26</v>
      </c>
      <c r="E258" s="98">
        <v>1.0</v>
      </c>
      <c r="F258" s="99">
        <v>0.001</v>
      </c>
      <c r="G258" s="100">
        <f t="shared" si="1"/>
        <v>2564.7475</v>
      </c>
    </row>
    <row r="259">
      <c r="A259" s="96" t="s">
        <v>1180</v>
      </c>
      <c r="B259" s="96" t="s">
        <v>1181</v>
      </c>
      <c r="C259" s="96" t="s">
        <v>1182</v>
      </c>
      <c r="D259" s="97">
        <v>3.05</v>
      </c>
      <c r="E259" s="98">
        <v>1.0</v>
      </c>
      <c r="F259" s="99">
        <v>0.005</v>
      </c>
      <c r="G259" s="100">
        <f t="shared" si="1"/>
        <v>3742.55</v>
      </c>
    </row>
    <row r="260">
      <c r="A260" s="96" t="s">
        <v>1183</v>
      </c>
      <c r="B260" s="96" t="s">
        <v>1184</v>
      </c>
      <c r="C260" s="96" t="s">
        <v>1185</v>
      </c>
      <c r="D260" s="97">
        <v>12.0</v>
      </c>
      <c r="E260" s="98">
        <v>1.0</v>
      </c>
      <c r="F260" s="99">
        <v>0.012</v>
      </c>
      <c r="G260" s="100">
        <f t="shared" si="1"/>
        <v>14133.63</v>
      </c>
    </row>
    <row r="261">
      <c r="A261" s="96" t="s">
        <v>1186</v>
      </c>
      <c r="B261" s="96" t="s">
        <v>1187</v>
      </c>
      <c r="C261" s="96" t="s">
        <v>1188</v>
      </c>
      <c r="D261" s="97">
        <v>3.0</v>
      </c>
      <c r="E261" s="98">
        <v>1.0</v>
      </c>
      <c r="F261" s="99">
        <v>0.003</v>
      </c>
      <c r="G261" s="100">
        <f t="shared" si="1"/>
        <v>3533.4075</v>
      </c>
    </row>
    <row r="262">
      <c r="A262" s="96" t="s">
        <v>1189</v>
      </c>
      <c r="B262" s="96" t="s">
        <v>1190</v>
      </c>
      <c r="C262" s="96" t="s">
        <v>1191</v>
      </c>
      <c r="D262" s="97">
        <v>3.82</v>
      </c>
      <c r="E262" s="98">
        <v>1.0</v>
      </c>
      <c r="F262" s="99">
        <v>0.004</v>
      </c>
      <c r="G262" s="100">
        <f t="shared" si="1"/>
        <v>4513.075</v>
      </c>
    </row>
    <row r="263">
      <c r="A263" s="96" t="s">
        <v>1192</v>
      </c>
      <c r="B263" s="96" t="s">
        <v>1193</v>
      </c>
      <c r="C263" s="96" t="s">
        <v>1194</v>
      </c>
      <c r="D263" s="97">
        <v>5.28</v>
      </c>
      <c r="E263" s="98">
        <v>1.0</v>
      </c>
      <c r="F263" s="99">
        <v>0.004</v>
      </c>
      <c r="G263" s="100">
        <f t="shared" si="1"/>
        <v>6120.17</v>
      </c>
    </row>
    <row r="264">
      <c r="A264" s="96" t="s">
        <v>1195</v>
      </c>
      <c r="B264" s="96" t="s">
        <v>1196</v>
      </c>
      <c r="C264" s="96" t="s">
        <v>1197</v>
      </c>
      <c r="D264" s="97">
        <v>11.04</v>
      </c>
      <c r="E264" s="98">
        <v>1.0</v>
      </c>
      <c r="F264" s="99">
        <v>0.002</v>
      </c>
      <c r="G264" s="100">
        <f t="shared" si="1"/>
        <v>12306.385</v>
      </c>
    </row>
    <row r="265">
      <c r="A265" s="96" t="s">
        <v>1198</v>
      </c>
      <c r="B265" s="96" t="s">
        <v>1199</v>
      </c>
      <c r="C265" s="96" t="s">
        <v>1200</v>
      </c>
      <c r="D265" s="97">
        <v>13.03</v>
      </c>
      <c r="E265" s="98">
        <v>1.0</v>
      </c>
      <c r="F265" s="99">
        <v>0.005</v>
      </c>
      <c r="G265" s="100">
        <f t="shared" si="1"/>
        <v>14728.035</v>
      </c>
    </row>
    <row r="266">
      <c r="A266" s="96" t="s">
        <v>1201</v>
      </c>
      <c r="B266" s="96" t="s">
        <v>1202</v>
      </c>
      <c r="C266" s="96" t="s">
        <v>1203</v>
      </c>
      <c r="D266" s="97">
        <v>10.86</v>
      </c>
      <c r="E266" s="98">
        <v>1.0</v>
      </c>
      <c r="F266" s="99">
        <v>0.002</v>
      </c>
      <c r="G266" s="100">
        <f t="shared" si="1"/>
        <v>12108.25</v>
      </c>
    </row>
    <row r="267">
      <c r="A267" s="96" t="s">
        <v>1204</v>
      </c>
      <c r="B267" s="96" t="s">
        <v>1205</v>
      </c>
      <c r="C267" s="96" t="s">
        <v>1206</v>
      </c>
      <c r="D267" s="97">
        <v>2.06</v>
      </c>
      <c r="E267" s="98">
        <v>1.0</v>
      </c>
      <c r="F267" s="99">
        <v>0.007</v>
      </c>
      <c r="G267" s="100">
        <f t="shared" si="1"/>
        <v>2806.9125</v>
      </c>
    </row>
    <row r="268">
      <c r="A268" s="96" t="s">
        <v>1207</v>
      </c>
      <c r="B268" s="96" t="s">
        <v>1208</v>
      </c>
      <c r="C268" s="96" t="s">
        <v>1209</v>
      </c>
      <c r="D268" s="97">
        <v>2.84</v>
      </c>
      <c r="E268" s="98">
        <v>1.0</v>
      </c>
      <c r="F268" s="99">
        <v>0.01</v>
      </c>
      <c r="G268" s="100">
        <f t="shared" si="1"/>
        <v>3896.655</v>
      </c>
    </row>
    <row r="269">
      <c r="A269" s="96" t="s">
        <v>1210</v>
      </c>
      <c r="B269" s="96" t="s">
        <v>1211</v>
      </c>
      <c r="C269" s="96" t="s">
        <v>1212</v>
      </c>
      <c r="D269" s="97">
        <v>1.45</v>
      </c>
      <c r="E269" s="98">
        <v>1.0</v>
      </c>
      <c r="F269" s="99">
        <v>0.004</v>
      </c>
      <c r="G269" s="100">
        <f t="shared" si="1"/>
        <v>1904.2975</v>
      </c>
    </row>
    <row r="270">
      <c r="A270" s="96" t="s">
        <v>1213</v>
      </c>
      <c r="B270" s="96" t="s">
        <v>1214</v>
      </c>
      <c r="C270" s="96" t="s">
        <v>1215</v>
      </c>
      <c r="D270" s="97">
        <v>2.12</v>
      </c>
      <c r="E270" s="98">
        <v>1.0</v>
      </c>
      <c r="F270" s="99">
        <v>0.005</v>
      </c>
      <c r="G270" s="100">
        <f t="shared" si="1"/>
        <v>2718.8525</v>
      </c>
    </row>
    <row r="271">
      <c r="A271" s="96" t="s">
        <v>1216</v>
      </c>
      <c r="B271" s="96" t="s">
        <v>1217</v>
      </c>
      <c r="C271" s="96" t="s">
        <v>1218</v>
      </c>
      <c r="D271" s="97">
        <v>1.53</v>
      </c>
      <c r="E271" s="98">
        <v>1.0</v>
      </c>
      <c r="F271" s="99">
        <v>0.004</v>
      </c>
      <c r="G271" s="100">
        <f t="shared" si="1"/>
        <v>1992.3575</v>
      </c>
    </row>
    <row r="272">
      <c r="A272" s="96" t="s">
        <v>1219</v>
      </c>
      <c r="B272" s="96" t="s">
        <v>1220</v>
      </c>
      <c r="C272" s="96" t="s">
        <v>1221</v>
      </c>
      <c r="D272" s="97">
        <v>8.32</v>
      </c>
      <c r="E272" s="98">
        <v>1.0</v>
      </c>
      <c r="F272" s="99">
        <v>0.006</v>
      </c>
      <c r="G272" s="100">
        <f t="shared" si="1"/>
        <v>9620.555</v>
      </c>
    </row>
    <row r="273">
      <c r="A273" s="96" t="s">
        <v>1222</v>
      </c>
      <c r="B273" s="96" t="s">
        <v>1223</v>
      </c>
      <c r="C273" s="96" t="s">
        <v>1224</v>
      </c>
      <c r="D273" s="97">
        <v>8.88</v>
      </c>
      <c r="E273" s="98">
        <v>1.0</v>
      </c>
      <c r="F273" s="99">
        <v>0.021</v>
      </c>
      <c r="G273" s="100">
        <f t="shared" si="1"/>
        <v>11392.7625</v>
      </c>
    </row>
    <row r="274">
      <c r="A274" s="96" t="s">
        <v>1225</v>
      </c>
      <c r="B274" s="96" t="s">
        <v>1226</v>
      </c>
      <c r="C274" s="96" t="s">
        <v>1227</v>
      </c>
      <c r="D274" s="97">
        <v>10.65</v>
      </c>
      <c r="E274" s="98">
        <v>1.0</v>
      </c>
      <c r="F274" s="99">
        <v>0.027</v>
      </c>
      <c r="G274" s="100">
        <f t="shared" si="1"/>
        <v>13803.405</v>
      </c>
    </row>
    <row r="275">
      <c r="A275" s="96" t="s">
        <v>1228</v>
      </c>
      <c r="B275" s="96" t="s">
        <v>1229</v>
      </c>
      <c r="C275" s="96" t="s">
        <v>1230</v>
      </c>
      <c r="D275" s="97">
        <v>14.2</v>
      </c>
      <c r="E275" s="98">
        <v>1.0</v>
      </c>
      <c r="F275" s="99">
        <v>0.03</v>
      </c>
      <c r="G275" s="100">
        <f t="shared" si="1"/>
        <v>17942.225</v>
      </c>
    </row>
    <row r="276">
      <c r="A276" s="96" t="s">
        <v>1231</v>
      </c>
      <c r="B276" s="96" t="s">
        <v>1232</v>
      </c>
      <c r="C276" s="96" t="s">
        <v>1233</v>
      </c>
      <c r="D276" s="97">
        <v>2.26</v>
      </c>
      <c r="E276" s="98">
        <v>1.0</v>
      </c>
      <c r="F276" s="99">
        <v>0.006</v>
      </c>
      <c r="G276" s="100">
        <f t="shared" si="1"/>
        <v>2950.01</v>
      </c>
    </row>
    <row r="277">
      <c r="A277" s="96" t="s">
        <v>1234</v>
      </c>
      <c r="B277" s="96" t="s">
        <v>1235</v>
      </c>
      <c r="C277" s="96" t="s">
        <v>1236</v>
      </c>
      <c r="D277" s="97">
        <v>28.63</v>
      </c>
      <c r="E277" s="98">
        <v>1.0</v>
      </c>
      <c r="F277" s="99">
        <v>0.08</v>
      </c>
      <c r="G277" s="100">
        <f t="shared" si="1"/>
        <v>37678.6725</v>
      </c>
    </row>
    <row r="278">
      <c r="A278" s="96" t="s">
        <v>1237</v>
      </c>
      <c r="B278" s="96" t="s">
        <v>1238</v>
      </c>
      <c r="C278" s="96" t="s">
        <v>1239</v>
      </c>
      <c r="D278" s="97">
        <v>6.45</v>
      </c>
      <c r="E278" s="98">
        <v>1.0</v>
      </c>
      <c r="F278" s="99">
        <v>0.025</v>
      </c>
      <c r="G278" s="100">
        <f t="shared" si="1"/>
        <v>9026.15</v>
      </c>
    </row>
    <row r="279">
      <c r="A279" s="96" t="s">
        <v>1240</v>
      </c>
      <c r="B279" s="96" t="s">
        <v>1241</v>
      </c>
      <c r="C279" s="96" t="s">
        <v>1242</v>
      </c>
      <c r="D279" s="97">
        <v>4.5</v>
      </c>
      <c r="E279" s="98">
        <v>1.0</v>
      </c>
      <c r="F279" s="99">
        <v>0.0036</v>
      </c>
      <c r="G279" s="100">
        <f t="shared" si="1"/>
        <v>5230.764</v>
      </c>
    </row>
    <row r="280">
      <c r="A280" s="96" t="s">
        <v>1243</v>
      </c>
      <c r="B280" s="96" t="s">
        <v>1244</v>
      </c>
      <c r="C280" s="96" t="s">
        <v>1245</v>
      </c>
      <c r="D280" s="97">
        <v>8.5</v>
      </c>
      <c r="E280" s="98">
        <v>1.0</v>
      </c>
      <c r="F280" s="99">
        <v>0.02</v>
      </c>
      <c r="G280" s="100">
        <f t="shared" si="1"/>
        <v>10897.425</v>
      </c>
    </row>
    <row r="281">
      <c r="A281" s="96" t="s">
        <v>1246</v>
      </c>
      <c r="B281" s="96" t="s">
        <v>1247</v>
      </c>
      <c r="C281" s="96" t="s">
        <v>1248</v>
      </c>
      <c r="D281" s="97">
        <v>5.1</v>
      </c>
      <c r="E281" s="98">
        <v>1.0</v>
      </c>
      <c r="F281" s="99">
        <v>0.013</v>
      </c>
      <c r="G281" s="100">
        <f t="shared" si="1"/>
        <v>6615.5075</v>
      </c>
    </row>
    <row r="282">
      <c r="A282" s="96" t="s">
        <v>1249</v>
      </c>
      <c r="B282" s="96" t="s">
        <v>1250</v>
      </c>
      <c r="C282" s="96" t="s">
        <v>1251</v>
      </c>
      <c r="D282" s="97">
        <v>5.4</v>
      </c>
      <c r="E282" s="98">
        <v>1.0</v>
      </c>
      <c r="F282" s="99">
        <v>0.0102</v>
      </c>
      <c r="G282" s="100">
        <f t="shared" si="1"/>
        <v>6729.9855</v>
      </c>
    </row>
    <row r="283">
      <c r="A283" s="96" t="s">
        <v>1252</v>
      </c>
      <c r="B283" s="96" t="s">
        <v>1253</v>
      </c>
      <c r="C283" s="96" t="s">
        <v>1254</v>
      </c>
      <c r="D283" s="97">
        <v>1.73</v>
      </c>
      <c r="E283" s="98">
        <v>1.0</v>
      </c>
      <c r="F283" s="99">
        <v>0.002</v>
      </c>
      <c r="G283" s="100">
        <f t="shared" si="1"/>
        <v>2058.4025</v>
      </c>
    </row>
    <row r="284">
      <c r="A284" s="96" t="s">
        <v>1255</v>
      </c>
      <c r="B284" s="96" t="s">
        <v>1256</v>
      </c>
      <c r="C284" s="96" t="s">
        <v>1257</v>
      </c>
      <c r="D284" s="97">
        <v>5.14</v>
      </c>
      <c r="E284" s="98">
        <v>1.0</v>
      </c>
      <c r="F284" s="99">
        <v>0.0069</v>
      </c>
      <c r="G284" s="100">
        <f t="shared" si="1"/>
        <v>6189.51725</v>
      </c>
    </row>
    <row r="285">
      <c r="A285" s="96" t="s">
        <v>1258</v>
      </c>
      <c r="B285" s="96" t="s">
        <v>1259</v>
      </c>
      <c r="C285" s="96" t="s">
        <v>1260</v>
      </c>
      <c r="D285" s="97">
        <v>4.48</v>
      </c>
      <c r="E285" s="98">
        <v>1.0</v>
      </c>
      <c r="F285" s="99">
        <v>0.0026</v>
      </c>
      <c r="G285" s="100">
        <f t="shared" si="1"/>
        <v>5131.6965</v>
      </c>
    </row>
    <row r="286">
      <c r="A286" s="96" t="s">
        <v>1261</v>
      </c>
      <c r="B286" s="96" t="s">
        <v>1262</v>
      </c>
      <c r="C286" s="96" t="s">
        <v>1263</v>
      </c>
      <c r="D286" s="97">
        <v>64.7</v>
      </c>
      <c r="E286" s="98">
        <v>1.0</v>
      </c>
      <c r="F286" s="99">
        <v>0.017</v>
      </c>
      <c r="G286" s="100">
        <f t="shared" si="1"/>
        <v>72528.4175</v>
      </c>
    </row>
    <row r="287">
      <c r="A287" s="96" t="s">
        <v>1264</v>
      </c>
      <c r="B287" s="96" t="s">
        <v>1265</v>
      </c>
      <c r="C287" s="96" t="s">
        <v>1266</v>
      </c>
      <c r="D287" s="97">
        <v>11.5</v>
      </c>
      <c r="E287" s="98">
        <v>1.0</v>
      </c>
      <c r="F287" s="99">
        <v>0.0075</v>
      </c>
      <c r="G287" s="100">
        <f t="shared" si="1"/>
        <v>13236.51875</v>
      </c>
    </row>
    <row r="288">
      <c r="A288" s="96" t="s">
        <v>1267</v>
      </c>
      <c r="B288" s="96" t="s">
        <v>1268</v>
      </c>
      <c r="C288" s="96" t="s">
        <v>1269</v>
      </c>
      <c r="D288" s="97">
        <v>24.11</v>
      </c>
      <c r="E288" s="98">
        <v>1.0</v>
      </c>
      <c r="F288" s="99">
        <v>0.0326</v>
      </c>
      <c r="G288" s="100">
        <f t="shared" si="1"/>
        <v>29050.994</v>
      </c>
    </row>
    <row r="289">
      <c r="A289" s="96" t="s">
        <v>1270</v>
      </c>
      <c r="B289" s="96" t="s">
        <v>1271</v>
      </c>
      <c r="C289" s="96" t="s">
        <v>1272</v>
      </c>
      <c r="D289" s="97">
        <v>8.77</v>
      </c>
      <c r="E289" s="98">
        <v>1.0</v>
      </c>
      <c r="F289" s="99">
        <v>0.0071</v>
      </c>
      <c r="G289" s="100">
        <f t="shared" si="1"/>
        <v>10200.65025</v>
      </c>
    </row>
    <row r="290">
      <c r="A290" s="96" t="s">
        <v>1273</v>
      </c>
      <c r="B290" s="96" t="s">
        <v>1274</v>
      </c>
      <c r="C290" s="96" t="s">
        <v>1275</v>
      </c>
      <c r="D290" s="97">
        <v>11.89</v>
      </c>
      <c r="E290" s="98">
        <v>1.0</v>
      </c>
      <c r="F290" s="99">
        <v>0.0108</v>
      </c>
      <c r="G290" s="100">
        <f t="shared" si="1"/>
        <v>13920.0845</v>
      </c>
    </row>
    <row r="291">
      <c r="A291" s="96" t="s">
        <v>1276</v>
      </c>
      <c r="B291" s="96" t="s">
        <v>1277</v>
      </c>
      <c r="C291" s="96" t="s">
        <v>1278</v>
      </c>
      <c r="D291" s="97">
        <v>6.06</v>
      </c>
      <c r="E291" s="98">
        <v>1.0</v>
      </c>
      <c r="F291" s="99">
        <v>0.0047</v>
      </c>
      <c r="G291" s="100">
        <f t="shared" si="1"/>
        <v>7032.69175</v>
      </c>
    </row>
    <row r="292">
      <c r="A292" s="96" t="s">
        <v>1279</v>
      </c>
      <c r="B292" s="96" t="s">
        <v>1280</v>
      </c>
      <c r="C292" s="96" t="s">
        <v>1281</v>
      </c>
      <c r="D292" s="97">
        <v>6.04</v>
      </c>
      <c r="E292" s="98">
        <v>1.0</v>
      </c>
      <c r="F292" s="99">
        <v>0.0047</v>
      </c>
      <c r="G292" s="100">
        <f t="shared" si="1"/>
        <v>7010.67675</v>
      </c>
    </row>
    <row r="293">
      <c r="A293" s="96" t="s">
        <v>1282</v>
      </c>
      <c r="B293" s="96" t="s">
        <v>1283</v>
      </c>
      <c r="C293" s="96" t="s">
        <v>1284</v>
      </c>
      <c r="D293" s="97">
        <v>28.18</v>
      </c>
      <c r="E293" s="98">
        <v>1.0</v>
      </c>
      <c r="F293" s="99">
        <v>0.0218</v>
      </c>
      <c r="G293" s="100">
        <f t="shared" si="1"/>
        <v>32698.8795</v>
      </c>
    </row>
    <row r="294">
      <c r="A294" s="96" t="s">
        <v>1285</v>
      </c>
      <c r="B294" s="96" t="s">
        <v>1286</v>
      </c>
      <c r="C294" s="96" t="s">
        <v>1287</v>
      </c>
      <c r="D294" s="97">
        <v>38.12</v>
      </c>
      <c r="E294" s="98">
        <v>1.0</v>
      </c>
      <c r="F294" s="99">
        <v>0.0375</v>
      </c>
      <c r="G294" s="100">
        <f t="shared" si="1"/>
        <v>44850.05875</v>
      </c>
    </row>
    <row r="295">
      <c r="A295" s="96" t="s">
        <v>1288</v>
      </c>
      <c r="B295" s="96" t="s">
        <v>1289</v>
      </c>
      <c r="C295" s="96" t="s">
        <v>1290</v>
      </c>
      <c r="D295" s="97">
        <v>7.86</v>
      </c>
      <c r="E295" s="98">
        <v>1.0</v>
      </c>
      <c r="F295" s="99">
        <v>0.003</v>
      </c>
      <c r="G295" s="100">
        <f t="shared" si="1"/>
        <v>8883.0525</v>
      </c>
    </row>
    <row r="296">
      <c r="A296" s="96" t="s">
        <v>1291</v>
      </c>
      <c r="B296" s="96" t="s">
        <v>1292</v>
      </c>
      <c r="C296" s="96" t="s">
        <v>1293</v>
      </c>
      <c r="D296" s="97">
        <v>3.86</v>
      </c>
      <c r="E296" s="98">
        <v>1.0</v>
      </c>
      <c r="F296" s="99">
        <v>0.011</v>
      </c>
      <c r="G296" s="100">
        <f t="shared" si="1"/>
        <v>5096.4725</v>
      </c>
    </row>
    <row r="297">
      <c r="A297" s="96" t="s">
        <v>1294</v>
      </c>
      <c r="B297" s="96" t="s">
        <v>1295</v>
      </c>
      <c r="C297" s="96" t="s">
        <v>1296</v>
      </c>
      <c r="D297" s="97">
        <v>5.29</v>
      </c>
      <c r="E297" s="98">
        <v>1.0</v>
      </c>
      <c r="F297" s="99">
        <v>0.0084</v>
      </c>
      <c r="G297" s="100">
        <f t="shared" si="1"/>
        <v>6470.2085</v>
      </c>
    </row>
    <row r="298">
      <c r="A298" s="96" t="s">
        <v>1297</v>
      </c>
      <c r="B298" s="96" t="s">
        <v>1298</v>
      </c>
      <c r="C298" s="96" t="s">
        <v>1299</v>
      </c>
      <c r="D298" s="97">
        <v>6.98</v>
      </c>
      <c r="E298" s="98">
        <v>1.0</v>
      </c>
      <c r="F298" s="99">
        <v>0.0075</v>
      </c>
      <c r="G298" s="100">
        <f t="shared" si="1"/>
        <v>8261.12875</v>
      </c>
    </row>
    <row r="299">
      <c r="A299" s="96" t="s">
        <v>1300</v>
      </c>
      <c r="B299" s="96" t="s">
        <v>1301</v>
      </c>
      <c r="C299" s="96" t="s">
        <v>1302</v>
      </c>
      <c r="D299" s="97">
        <v>6.66</v>
      </c>
      <c r="E299" s="98">
        <v>1.0</v>
      </c>
      <c r="F299" s="99">
        <v>0.011</v>
      </c>
      <c r="G299" s="100">
        <f t="shared" si="1"/>
        <v>8178.5725</v>
      </c>
    </row>
    <row r="300">
      <c r="A300" s="96" t="s">
        <v>1303</v>
      </c>
      <c r="B300" s="96" t="s">
        <v>1304</v>
      </c>
      <c r="C300" s="96" t="s">
        <v>1305</v>
      </c>
      <c r="D300" s="97">
        <v>3.0</v>
      </c>
      <c r="E300" s="98">
        <v>1.0</v>
      </c>
      <c r="F300" s="99">
        <v>0.01</v>
      </c>
      <c r="G300" s="100">
        <f t="shared" si="1"/>
        <v>4072.775</v>
      </c>
    </row>
    <row r="301">
      <c r="A301" s="96" t="s">
        <v>1306</v>
      </c>
      <c r="B301" s="96" t="s">
        <v>1307</v>
      </c>
      <c r="C301" s="96" t="s">
        <v>1308</v>
      </c>
      <c r="D301" s="97">
        <v>78.1</v>
      </c>
      <c r="E301" s="98">
        <v>1.0</v>
      </c>
      <c r="F301" s="99">
        <v>0.0856</v>
      </c>
      <c r="G301" s="100">
        <f t="shared" si="1"/>
        <v>92564.269</v>
      </c>
    </row>
    <row r="302">
      <c r="A302" s="96" t="s">
        <v>1309</v>
      </c>
      <c r="B302" s="96" t="s">
        <v>1310</v>
      </c>
      <c r="C302" s="96" t="s">
        <v>1311</v>
      </c>
      <c r="D302" s="97">
        <v>3.78</v>
      </c>
      <c r="E302" s="98">
        <v>1.0</v>
      </c>
      <c r="F302" s="99">
        <v>0.002</v>
      </c>
      <c r="G302" s="100">
        <f t="shared" si="1"/>
        <v>4314.94</v>
      </c>
    </row>
    <row r="303">
      <c r="A303" s="96" t="s">
        <v>1312</v>
      </c>
      <c r="B303" s="96" t="s">
        <v>1313</v>
      </c>
      <c r="C303" s="96" t="s">
        <v>1314</v>
      </c>
      <c r="D303" s="97">
        <v>3.02</v>
      </c>
      <c r="E303" s="98">
        <v>1.0</v>
      </c>
      <c r="F303" s="99">
        <v>0.0035</v>
      </c>
      <c r="G303" s="100">
        <f t="shared" si="1"/>
        <v>3593.94875</v>
      </c>
    </row>
    <row r="304">
      <c r="A304" s="96" t="s">
        <v>1315</v>
      </c>
      <c r="B304" s="96" t="s">
        <v>1316</v>
      </c>
      <c r="C304" s="96" t="s">
        <v>1317</v>
      </c>
      <c r="D304" s="97">
        <v>5.08</v>
      </c>
      <c r="E304" s="98">
        <v>1.0</v>
      </c>
      <c r="F304" s="99">
        <v>0.015</v>
      </c>
      <c r="G304" s="100">
        <f t="shared" si="1"/>
        <v>6747.5975</v>
      </c>
    </row>
    <row r="305">
      <c r="A305" s="96" t="s">
        <v>1318</v>
      </c>
      <c r="B305" s="96" t="s">
        <v>1319</v>
      </c>
      <c r="C305" s="96" t="s">
        <v>1320</v>
      </c>
      <c r="D305" s="97">
        <v>5.9</v>
      </c>
      <c r="E305" s="98">
        <v>1.0</v>
      </c>
      <c r="F305" s="99">
        <v>0.0133</v>
      </c>
      <c r="G305" s="100">
        <f t="shared" si="1"/>
        <v>7519.22325</v>
      </c>
    </row>
    <row r="306">
      <c r="A306" s="96" t="s">
        <v>1321</v>
      </c>
      <c r="B306" s="96" t="s">
        <v>1322</v>
      </c>
      <c r="C306" s="96" t="s">
        <v>1323</v>
      </c>
      <c r="D306" s="97">
        <v>6.797</v>
      </c>
      <c r="E306" s="98">
        <v>1.0</v>
      </c>
      <c r="F306" s="99">
        <v>0.0058</v>
      </c>
      <c r="G306" s="100">
        <f t="shared" si="1"/>
        <v>7928.70225</v>
      </c>
    </row>
    <row r="307">
      <c r="A307" s="96" t="s">
        <v>1324</v>
      </c>
      <c r="B307" s="96" t="s">
        <v>1325</v>
      </c>
      <c r="C307" s="96" t="s">
        <v>1326</v>
      </c>
      <c r="D307" s="97">
        <v>19.76</v>
      </c>
      <c r="E307" s="98">
        <v>1.0</v>
      </c>
      <c r="F307" s="99">
        <v>0.0121</v>
      </c>
      <c r="G307" s="100">
        <f t="shared" si="1"/>
        <v>22683.15525</v>
      </c>
    </row>
    <row r="308">
      <c r="A308" s="96" t="s">
        <v>1327</v>
      </c>
      <c r="B308" s="96" t="s">
        <v>1328</v>
      </c>
      <c r="C308" s="96" t="s">
        <v>1329</v>
      </c>
      <c r="D308" s="97">
        <v>10.73</v>
      </c>
      <c r="E308" s="98">
        <v>1.0</v>
      </c>
      <c r="F308" s="99">
        <v>0.01</v>
      </c>
      <c r="G308" s="100">
        <f t="shared" si="1"/>
        <v>12581.5725</v>
      </c>
    </row>
    <row r="309">
      <c r="A309" s="96" t="s">
        <v>1330</v>
      </c>
      <c r="B309" s="96" t="s">
        <v>1331</v>
      </c>
      <c r="C309" s="96" t="s">
        <v>1332</v>
      </c>
      <c r="D309" s="97">
        <v>2.268</v>
      </c>
      <c r="E309" s="98">
        <v>1.0</v>
      </c>
      <c r="F309" s="99">
        <v>0.009</v>
      </c>
      <c r="G309" s="100">
        <f t="shared" si="1"/>
        <v>3189.9735</v>
      </c>
    </row>
    <row r="310">
      <c r="A310" s="96" t="s">
        <v>1333</v>
      </c>
      <c r="B310" s="96" t="s">
        <v>1334</v>
      </c>
      <c r="C310" s="96" t="s">
        <v>1335</v>
      </c>
      <c r="D310" s="97">
        <v>3.152</v>
      </c>
      <c r="E310" s="98">
        <v>1.0</v>
      </c>
      <c r="F310" s="99">
        <v>0.0125</v>
      </c>
      <c r="G310" s="100">
        <f t="shared" si="1"/>
        <v>4432.72025</v>
      </c>
    </row>
    <row r="311">
      <c r="A311" s="96" t="s">
        <v>1336</v>
      </c>
      <c r="B311" s="96" t="s">
        <v>1337</v>
      </c>
      <c r="C311" s="96" t="s">
        <v>1338</v>
      </c>
      <c r="D311" s="97">
        <v>19.45</v>
      </c>
      <c r="E311" s="98">
        <v>1.0</v>
      </c>
      <c r="F311" s="99">
        <v>0.008</v>
      </c>
      <c r="G311" s="100">
        <f t="shared" si="1"/>
        <v>22026.0075</v>
      </c>
    </row>
    <row r="312">
      <c r="A312" s="96" t="s">
        <v>1339</v>
      </c>
      <c r="B312" s="96" t="s">
        <v>1340</v>
      </c>
      <c r="C312" s="96" t="s">
        <v>1341</v>
      </c>
      <c r="D312" s="97">
        <v>58.13</v>
      </c>
      <c r="E312" s="98">
        <v>1.0</v>
      </c>
      <c r="F312" s="99">
        <v>0.042</v>
      </c>
      <c r="G312" s="100">
        <f t="shared" si="1"/>
        <v>67222.8025</v>
      </c>
    </row>
    <row r="313">
      <c r="A313" s="96" t="s">
        <v>1342</v>
      </c>
      <c r="B313" s="96" t="s">
        <v>1343</v>
      </c>
      <c r="C313" s="96" t="s">
        <v>1344</v>
      </c>
      <c r="D313" s="97">
        <v>11.46</v>
      </c>
      <c r="E313" s="98">
        <v>1.0</v>
      </c>
      <c r="F313" s="99">
        <v>0.002</v>
      </c>
      <c r="G313" s="100">
        <f t="shared" si="1"/>
        <v>12768.7</v>
      </c>
    </row>
    <row r="314">
      <c r="A314" s="96" t="s">
        <v>1345</v>
      </c>
      <c r="B314" s="96" t="s">
        <v>1346</v>
      </c>
      <c r="C314" s="96" t="s">
        <v>1347</v>
      </c>
      <c r="D314" s="97">
        <v>14.93</v>
      </c>
      <c r="E314" s="98">
        <v>1.0</v>
      </c>
      <c r="F314" s="99">
        <v>0.005</v>
      </c>
      <c r="G314" s="100">
        <f t="shared" si="1"/>
        <v>16819.46</v>
      </c>
    </row>
    <row r="315">
      <c r="A315" s="96" t="s">
        <v>1348</v>
      </c>
      <c r="B315" s="96" t="s">
        <v>1349</v>
      </c>
      <c r="C315" s="96" t="s">
        <v>1350</v>
      </c>
      <c r="D315" s="97">
        <v>19.0</v>
      </c>
      <c r="E315" s="98">
        <v>1.0</v>
      </c>
      <c r="F315" s="99">
        <v>0.008</v>
      </c>
      <c r="G315" s="100">
        <f t="shared" si="1"/>
        <v>21530.67</v>
      </c>
    </row>
    <row r="316">
      <c r="A316" s="96" t="s">
        <v>1351</v>
      </c>
      <c r="B316" s="96" t="s">
        <v>1352</v>
      </c>
      <c r="C316" s="96" t="s">
        <v>1353</v>
      </c>
      <c r="D316" s="97">
        <v>9.43</v>
      </c>
      <c r="E316" s="98">
        <v>1.0</v>
      </c>
      <c r="F316" s="99">
        <v>0.05</v>
      </c>
      <c r="G316" s="100">
        <f t="shared" si="1"/>
        <v>14232.6975</v>
      </c>
    </row>
    <row r="317">
      <c r="A317" s="96" t="s">
        <v>1354</v>
      </c>
      <c r="B317" s="96" t="s">
        <v>1355</v>
      </c>
      <c r="C317" s="96" t="s">
        <v>1356</v>
      </c>
      <c r="D317" s="97">
        <v>3.08</v>
      </c>
      <c r="E317" s="98">
        <v>1.0</v>
      </c>
      <c r="F317" s="99">
        <v>0.001</v>
      </c>
      <c r="G317" s="100">
        <f t="shared" si="1"/>
        <v>3467.3625</v>
      </c>
    </row>
    <row r="318">
      <c r="A318" s="96" t="s">
        <v>1357</v>
      </c>
      <c r="B318" s="96" t="s">
        <v>1358</v>
      </c>
      <c r="C318" s="96" t="s">
        <v>1359</v>
      </c>
      <c r="D318" s="97">
        <v>6.8</v>
      </c>
      <c r="E318" s="98">
        <v>1.0</v>
      </c>
      <c r="F318" s="99">
        <v>0.003</v>
      </c>
      <c r="G318" s="100">
        <f t="shared" si="1"/>
        <v>7716.2575</v>
      </c>
    </row>
    <row r="319">
      <c r="A319" s="96" t="s">
        <v>1360</v>
      </c>
      <c r="B319" s="96" t="s">
        <v>1361</v>
      </c>
      <c r="C319" s="96" t="s">
        <v>1362</v>
      </c>
      <c r="D319" s="97">
        <v>2.57</v>
      </c>
      <c r="E319" s="98">
        <v>1.0</v>
      </c>
      <c r="F319" s="99">
        <v>3.0E-4</v>
      </c>
      <c r="G319" s="100">
        <f t="shared" si="1"/>
        <v>2852.04325</v>
      </c>
    </row>
    <row r="320">
      <c r="A320" s="96" t="s">
        <v>1363</v>
      </c>
      <c r="B320" s="96" t="s">
        <v>1364</v>
      </c>
      <c r="C320" s="96" t="s">
        <v>1365</v>
      </c>
      <c r="D320" s="97">
        <v>3.67</v>
      </c>
      <c r="E320" s="98">
        <v>1.0</v>
      </c>
      <c r="F320" s="99">
        <v>0.002</v>
      </c>
      <c r="G320" s="100">
        <f t="shared" si="1"/>
        <v>4193.8575</v>
      </c>
    </row>
    <row r="321">
      <c r="A321" s="96" t="s">
        <v>1366</v>
      </c>
      <c r="B321" s="96" t="s">
        <v>1367</v>
      </c>
      <c r="C321" s="96" t="s">
        <v>1368</v>
      </c>
      <c r="D321" s="97">
        <v>6.47</v>
      </c>
      <c r="E321" s="98">
        <v>1.0</v>
      </c>
      <c r="F321" s="99">
        <v>0.0029</v>
      </c>
      <c r="G321" s="100">
        <f t="shared" si="1"/>
        <v>7345.30475</v>
      </c>
    </row>
    <row r="322">
      <c r="A322" s="96" t="s">
        <v>1369</v>
      </c>
      <c r="B322" s="96" t="s">
        <v>1370</v>
      </c>
      <c r="C322" s="96" t="s">
        <v>1371</v>
      </c>
      <c r="D322" s="97">
        <v>3.247</v>
      </c>
      <c r="E322" s="98">
        <v>1.0</v>
      </c>
      <c r="F322" s="99">
        <v>0.0146</v>
      </c>
      <c r="G322" s="100">
        <f t="shared" si="1"/>
        <v>4699.10175</v>
      </c>
    </row>
    <row r="323">
      <c r="A323" s="96" t="s">
        <v>1372</v>
      </c>
      <c r="B323" s="96" t="s">
        <v>1373</v>
      </c>
      <c r="C323" s="96" t="s">
        <v>1374</v>
      </c>
      <c r="D323" s="97">
        <v>0.68</v>
      </c>
      <c r="E323" s="98">
        <v>1.0</v>
      </c>
      <c r="F323" s="99">
        <v>1.0E-4</v>
      </c>
      <c r="G323" s="100">
        <f t="shared" si="1"/>
        <v>756.21525</v>
      </c>
    </row>
    <row r="324">
      <c r="A324" s="96" t="s">
        <v>1375</v>
      </c>
      <c r="B324" s="96" t="s">
        <v>1376</v>
      </c>
      <c r="C324" s="96" t="s">
        <v>1374</v>
      </c>
      <c r="D324" s="97">
        <v>0.78</v>
      </c>
      <c r="E324" s="98">
        <v>1.0</v>
      </c>
      <c r="F324" s="99">
        <v>1.0E-4</v>
      </c>
      <c r="G324" s="100">
        <f t="shared" si="1"/>
        <v>866.29025</v>
      </c>
    </row>
    <row r="325">
      <c r="A325" s="96" t="s">
        <v>1377</v>
      </c>
      <c r="B325" s="96" t="s">
        <v>1378</v>
      </c>
      <c r="C325" s="96" t="s">
        <v>1379</v>
      </c>
      <c r="D325" s="97">
        <v>22.0</v>
      </c>
      <c r="E325" s="98">
        <v>1.0</v>
      </c>
      <c r="F325" s="99">
        <v>0.0018</v>
      </c>
      <c r="G325" s="100">
        <f t="shared" si="1"/>
        <v>24355.1945</v>
      </c>
    </row>
    <row r="326">
      <c r="A326" s="96" t="s">
        <v>1380</v>
      </c>
      <c r="B326" s="96" t="s">
        <v>1381</v>
      </c>
      <c r="C326" s="96" t="s">
        <v>1382</v>
      </c>
      <c r="D326" s="97">
        <v>0.39</v>
      </c>
      <c r="E326" s="98">
        <v>1.0</v>
      </c>
      <c r="F326" s="99">
        <v>3.0E-4</v>
      </c>
      <c r="G326" s="100">
        <f t="shared" si="1"/>
        <v>452.40825</v>
      </c>
    </row>
    <row r="327">
      <c r="A327" s="96" t="s">
        <v>1383</v>
      </c>
      <c r="B327" s="96" t="s">
        <v>1384</v>
      </c>
      <c r="C327" s="96" t="s">
        <v>1385</v>
      </c>
      <c r="D327" s="97">
        <v>0.97</v>
      </c>
      <c r="E327" s="98">
        <v>1.0</v>
      </c>
      <c r="F327" s="99">
        <v>2.0E-4</v>
      </c>
      <c r="G327" s="100">
        <f t="shared" si="1"/>
        <v>1083.138</v>
      </c>
    </row>
    <row r="328">
      <c r="A328" s="96" t="s">
        <v>1386</v>
      </c>
      <c r="B328" s="96" t="s">
        <v>1387</v>
      </c>
      <c r="C328" s="96" t="s">
        <v>1388</v>
      </c>
      <c r="D328" s="97">
        <v>0.62</v>
      </c>
      <c r="E328" s="98">
        <v>1.0</v>
      </c>
      <c r="F328" s="99">
        <v>5.0E-4</v>
      </c>
      <c r="G328" s="100">
        <f t="shared" si="1"/>
        <v>720.99125</v>
      </c>
    </row>
    <row r="329">
      <c r="A329" s="96" t="s">
        <v>1389</v>
      </c>
      <c r="B329" s="96" t="s">
        <v>1390</v>
      </c>
      <c r="C329" s="96" t="s">
        <v>1391</v>
      </c>
      <c r="D329" s="97">
        <v>8.52</v>
      </c>
      <c r="E329" s="98">
        <v>1.0</v>
      </c>
      <c r="F329" s="99">
        <v>0.0061</v>
      </c>
      <c r="G329" s="100">
        <f t="shared" si="1"/>
        <v>9848.41025</v>
      </c>
    </row>
    <row r="330">
      <c r="A330" s="96" t="s">
        <v>1392</v>
      </c>
      <c r="B330" s="96" t="s">
        <v>1393</v>
      </c>
      <c r="C330" s="96" t="s">
        <v>1394</v>
      </c>
      <c r="D330" s="97">
        <v>0.46</v>
      </c>
      <c r="E330" s="98">
        <v>1.0</v>
      </c>
      <c r="F330" s="99">
        <v>4.0E-4</v>
      </c>
      <c r="G330" s="100">
        <f t="shared" si="1"/>
        <v>537.166</v>
      </c>
    </row>
    <row r="331">
      <c r="A331" s="96" t="s">
        <v>1395</v>
      </c>
      <c r="B331" s="96" t="s">
        <v>1396</v>
      </c>
      <c r="C331" s="96" t="s">
        <v>1397</v>
      </c>
      <c r="D331" s="97">
        <v>2.12</v>
      </c>
      <c r="E331" s="98">
        <v>1.0</v>
      </c>
      <c r="F331" s="99">
        <v>5.0E-4</v>
      </c>
      <c r="G331" s="100">
        <f t="shared" si="1"/>
        <v>2372.11625</v>
      </c>
    </row>
    <row r="332">
      <c r="A332" s="96" t="s">
        <v>1398</v>
      </c>
      <c r="B332" s="96" t="s">
        <v>1399</v>
      </c>
      <c r="C332" s="96" t="s">
        <v>1400</v>
      </c>
      <c r="D332" s="97">
        <v>22.0</v>
      </c>
      <c r="E332" s="98">
        <v>1.0</v>
      </c>
      <c r="F332" s="99">
        <v>0.012</v>
      </c>
      <c r="G332" s="100">
        <f t="shared" si="1"/>
        <v>25141.13</v>
      </c>
    </row>
    <row r="333">
      <c r="A333" s="96" t="s">
        <v>1401</v>
      </c>
      <c r="B333" s="96" t="s">
        <v>1402</v>
      </c>
      <c r="C333" s="96" t="s">
        <v>1403</v>
      </c>
      <c r="D333" s="97">
        <v>19.0</v>
      </c>
      <c r="E333" s="98">
        <v>1.0</v>
      </c>
      <c r="F333" s="99">
        <v>0.0052</v>
      </c>
      <c r="G333" s="100">
        <f t="shared" si="1"/>
        <v>21314.923</v>
      </c>
    </row>
    <row r="334">
      <c r="A334" s="96" t="s">
        <v>1404</v>
      </c>
      <c r="B334" s="96" t="s">
        <v>1405</v>
      </c>
      <c r="C334" s="96" t="s">
        <v>1406</v>
      </c>
      <c r="D334" s="97">
        <v>7.82</v>
      </c>
      <c r="E334" s="98">
        <v>1.0</v>
      </c>
      <c r="F334" s="99">
        <v>0.005</v>
      </c>
      <c r="G334" s="100">
        <f t="shared" si="1"/>
        <v>8993.1275</v>
      </c>
    </row>
    <row r="335">
      <c r="A335" s="96" t="s">
        <v>1407</v>
      </c>
      <c r="B335" s="96" t="s">
        <v>1408</v>
      </c>
      <c r="C335" s="96" t="s">
        <v>1409</v>
      </c>
      <c r="D335" s="97">
        <v>73.0</v>
      </c>
      <c r="E335" s="98">
        <v>1.0</v>
      </c>
      <c r="F335" s="99">
        <v>0.0478</v>
      </c>
      <c r="G335" s="100">
        <f t="shared" si="1"/>
        <v>84037.8595</v>
      </c>
    </row>
    <row r="336">
      <c r="A336" s="96" t="s">
        <v>1410</v>
      </c>
      <c r="B336" s="96" t="s">
        <v>1411</v>
      </c>
      <c r="C336" s="96" t="s">
        <v>1412</v>
      </c>
      <c r="D336" s="97">
        <v>5.47</v>
      </c>
      <c r="E336" s="98">
        <v>1.0</v>
      </c>
      <c r="F336" s="99">
        <v>0.003</v>
      </c>
      <c r="G336" s="100">
        <f t="shared" si="1"/>
        <v>6252.26</v>
      </c>
    </row>
    <row r="337">
      <c r="A337" s="96" t="s">
        <v>1413</v>
      </c>
      <c r="B337" s="96" t="s">
        <v>1414</v>
      </c>
      <c r="C337" s="96" t="s">
        <v>1415</v>
      </c>
      <c r="D337" s="97">
        <v>1.24</v>
      </c>
      <c r="E337" s="98">
        <v>1.0</v>
      </c>
      <c r="F337" s="99">
        <v>0.012</v>
      </c>
      <c r="G337" s="100">
        <f t="shared" si="1"/>
        <v>2289.56</v>
      </c>
    </row>
    <row r="338">
      <c r="A338" s="96" t="s">
        <v>1416</v>
      </c>
      <c r="B338" s="96" t="s">
        <v>1417</v>
      </c>
      <c r="C338" s="96" t="s">
        <v>1418</v>
      </c>
      <c r="D338" s="97">
        <v>2.27</v>
      </c>
      <c r="E338" s="98">
        <v>1.0</v>
      </c>
      <c r="F338" s="99">
        <v>0.006</v>
      </c>
      <c r="G338" s="100">
        <f t="shared" si="1"/>
        <v>2961.0175</v>
      </c>
    </row>
    <row r="339">
      <c r="A339" s="96" t="s">
        <v>1419</v>
      </c>
      <c r="B339" s="96" t="s">
        <v>1420</v>
      </c>
      <c r="C339" s="96" t="s">
        <v>1421</v>
      </c>
      <c r="D339" s="97">
        <v>3.46</v>
      </c>
      <c r="E339" s="98">
        <v>1.0</v>
      </c>
      <c r="F339" s="99">
        <v>3.0E-4</v>
      </c>
      <c r="G339" s="100">
        <f t="shared" si="1"/>
        <v>3831.71075</v>
      </c>
    </row>
    <row r="340">
      <c r="A340" s="96" t="s">
        <v>1422</v>
      </c>
      <c r="B340" s="96" t="s">
        <v>1423</v>
      </c>
      <c r="C340" s="96" t="s">
        <v>1424</v>
      </c>
      <c r="D340" s="97">
        <v>33.61</v>
      </c>
      <c r="E340" s="98">
        <v>1.0</v>
      </c>
      <c r="F340" s="99">
        <v>0.14</v>
      </c>
      <c r="G340" s="100">
        <f t="shared" si="1"/>
        <v>47783.5575</v>
      </c>
    </row>
    <row r="341">
      <c r="A341" s="96" t="s">
        <v>1425</v>
      </c>
      <c r="B341" s="96" t="s">
        <v>1426</v>
      </c>
      <c r="C341" s="96" t="s">
        <v>1427</v>
      </c>
      <c r="D341" s="97">
        <v>3.56</v>
      </c>
      <c r="E341" s="98">
        <v>1.0</v>
      </c>
      <c r="F341" s="99">
        <v>0.0091</v>
      </c>
      <c r="G341" s="100">
        <f t="shared" si="1"/>
        <v>4619.84775</v>
      </c>
    </row>
    <row r="342">
      <c r="A342" s="96" t="s">
        <v>1428</v>
      </c>
      <c r="B342" s="96" t="s">
        <v>1429</v>
      </c>
      <c r="C342" s="96" t="s">
        <v>1430</v>
      </c>
      <c r="D342" s="97">
        <v>5.7</v>
      </c>
      <c r="E342" s="98">
        <v>1.0</v>
      </c>
      <c r="F342" s="99">
        <v>0.0141</v>
      </c>
      <c r="G342" s="100">
        <f t="shared" si="1"/>
        <v>7360.71525</v>
      </c>
    </row>
    <row r="343">
      <c r="A343" s="96" t="s">
        <v>1431</v>
      </c>
      <c r="B343" s="96" t="s">
        <v>1432</v>
      </c>
      <c r="C343" s="96" t="s">
        <v>1433</v>
      </c>
      <c r="D343" s="97">
        <v>15.17</v>
      </c>
      <c r="E343" s="98">
        <v>1.0</v>
      </c>
      <c r="F343" s="99">
        <v>0.06</v>
      </c>
      <c r="G343" s="100">
        <f t="shared" si="1"/>
        <v>21321.5275</v>
      </c>
    </row>
    <row r="344">
      <c r="A344" s="96" t="s">
        <v>1434</v>
      </c>
      <c r="B344" s="96" t="s">
        <v>1435</v>
      </c>
      <c r="C344" s="96" t="s">
        <v>1436</v>
      </c>
      <c r="D344" s="97">
        <v>20.8</v>
      </c>
      <c r="E344" s="98">
        <v>1.0</v>
      </c>
      <c r="F344" s="99">
        <v>0.116</v>
      </c>
      <c r="G344" s="100">
        <f t="shared" si="1"/>
        <v>31833.69</v>
      </c>
    </row>
    <row r="345">
      <c r="A345" s="96" t="s">
        <v>1437</v>
      </c>
      <c r="B345" s="96" t="s">
        <v>1438</v>
      </c>
      <c r="C345" s="96" t="s">
        <v>1439</v>
      </c>
      <c r="D345" s="97">
        <v>57.24</v>
      </c>
      <c r="E345" s="98">
        <v>1.0</v>
      </c>
      <c r="F345" s="99">
        <v>0.095</v>
      </c>
      <c r="G345" s="100">
        <f t="shared" si="1"/>
        <v>70326.9175</v>
      </c>
    </row>
    <row r="346">
      <c r="A346" s="96" t="s">
        <v>1440</v>
      </c>
      <c r="B346" s="96" t="s">
        <v>1441</v>
      </c>
      <c r="C346" s="96" t="s">
        <v>1442</v>
      </c>
      <c r="D346" s="97">
        <v>5.47</v>
      </c>
      <c r="E346" s="98">
        <v>1.0</v>
      </c>
      <c r="F346" s="99">
        <v>0.0056</v>
      </c>
      <c r="G346" s="100">
        <f t="shared" si="1"/>
        <v>6452.5965</v>
      </c>
    </row>
    <row r="347">
      <c r="A347" s="96" t="s">
        <v>1443</v>
      </c>
      <c r="B347" s="96" t="s">
        <v>1444</v>
      </c>
      <c r="C347" s="96" t="s">
        <v>1445</v>
      </c>
      <c r="D347" s="97">
        <v>6.15</v>
      </c>
      <c r="E347" s="98">
        <v>1.0</v>
      </c>
      <c r="F347" s="99">
        <v>0.0064</v>
      </c>
      <c r="G347" s="100">
        <f t="shared" si="1"/>
        <v>7262.7485</v>
      </c>
    </row>
    <row r="348">
      <c r="A348" s="96" t="s">
        <v>1446</v>
      </c>
      <c r="B348" s="96" t="s">
        <v>1447</v>
      </c>
      <c r="C348" s="96" t="s">
        <v>1448</v>
      </c>
      <c r="D348" s="97">
        <v>14.67</v>
      </c>
      <c r="E348" s="98">
        <v>1.0</v>
      </c>
      <c r="F348" s="99">
        <v>0.05</v>
      </c>
      <c r="G348" s="100">
        <f t="shared" si="1"/>
        <v>20000.6275</v>
      </c>
    </row>
    <row r="349">
      <c r="A349" s="96" t="s">
        <v>1449</v>
      </c>
      <c r="B349" s="96" t="s">
        <v>1450</v>
      </c>
      <c r="C349" s="96" t="s">
        <v>1451</v>
      </c>
      <c r="D349" s="97">
        <v>12.51</v>
      </c>
      <c r="E349" s="98">
        <v>1.0</v>
      </c>
      <c r="F349" s="99">
        <v>0.04</v>
      </c>
      <c r="G349" s="100">
        <f t="shared" si="1"/>
        <v>16852.4825</v>
      </c>
    </row>
    <row r="350">
      <c r="A350" s="96" t="s">
        <v>1452</v>
      </c>
      <c r="B350" s="96" t="s">
        <v>1453</v>
      </c>
      <c r="C350" s="96" t="s">
        <v>1454</v>
      </c>
      <c r="D350" s="97">
        <v>34.79</v>
      </c>
      <c r="E350" s="98">
        <v>1.0</v>
      </c>
      <c r="F350" s="99">
        <v>0.005</v>
      </c>
      <c r="G350" s="100">
        <f t="shared" si="1"/>
        <v>38680.355</v>
      </c>
    </row>
    <row r="351">
      <c r="A351" s="96" t="s">
        <v>1455</v>
      </c>
      <c r="B351" s="96" t="s">
        <v>1456</v>
      </c>
      <c r="C351" s="96" t="s">
        <v>1457</v>
      </c>
      <c r="D351" s="97">
        <v>7.08</v>
      </c>
      <c r="E351" s="98">
        <v>1.0</v>
      </c>
      <c r="F351" s="99">
        <v>0.0025</v>
      </c>
      <c r="G351" s="100">
        <f t="shared" si="1"/>
        <v>7985.94125</v>
      </c>
    </row>
    <row r="352">
      <c r="A352" s="96" t="s">
        <v>1458</v>
      </c>
      <c r="B352" s="96" t="s">
        <v>1459</v>
      </c>
      <c r="C352" s="96" t="s">
        <v>1460</v>
      </c>
      <c r="D352" s="97">
        <v>1.29</v>
      </c>
      <c r="E352" s="98">
        <v>1.0</v>
      </c>
      <c r="F352" s="99">
        <v>0.0</v>
      </c>
      <c r="G352" s="100">
        <f t="shared" si="1"/>
        <v>1419.9675</v>
      </c>
    </row>
    <row r="353">
      <c r="A353" s="96" t="s">
        <v>1461</v>
      </c>
      <c r="B353" s="96" t="s">
        <v>1462</v>
      </c>
      <c r="C353" s="96" t="s">
        <v>1463</v>
      </c>
      <c r="D353" s="97">
        <v>3.13</v>
      </c>
      <c r="E353" s="98">
        <v>1.0</v>
      </c>
      <c r="F353" s="99">
        <v>0.0</v>
      </c>
      <c r="G353" s="100">
        <f t="shared" si="1"/>
        <v>3445.3475</v>
      </c>
    </row>
    <row r="354">
      <c r="A354" s="96" t="s">
        <v>1464</v>
      </c>
      <c r="B354" s="96" t="s">
        <v>1465</v>
      </c>
      <c r="C354" s="96" t="s">
        <v>1466</v>
      </c>
      <c r="D354" s="97">
        <v>0.33</v>
      </c>
      <c r="E354" s="98">
        <v>1.0</v>
      </c>
      <c r="F354" s="99">
        <v>1.0E-4</v>
      </c>
      <c r="G354" s="100">
        <f t="shared" si="1"/>
        <v>370.95275</v>
      </c>
    </row>
    <row r="355">
      <c r="A355" s="96" t="s">
        <v>1467</v>
      </c>
      <c r="B355" s="96" t="s">
        <v>1468</v>
      </c>
      <c r="C355" s="96" t="s">
        <v>1469</v>
      </c>
      <c r="D355" s="97">
        <v>0.28</v>
      </c>
      <c r="E355" s="98">
        <v>1.0</v>
      </c>
      <c r="F355" s="99">
        <v>1.0E-4</v>
      </c>
      <c r="G355" s="100">
        <f t="shared" si="1"/>
        <v>315.91525</v>
      </c>
    </row>
    <row r="356">
      <c r="A356" s="96" t="s">
        <v>1470</v>
      </c>
      <c r="B356" s="96" t="s">
        <v>1471</v>
      </c>
      <c r="C356" s="96" t="s">
        <v>1472</v>
      </c>
      <c r="D356" s="97">
        <v>2.71</v>
      </c>
      <c r="E356" s="98">
        <v>1.0</v>
      </c>
      <c r="F356" s="99">
        <v>2.0E-4</v>
      </c>
      <c r="G356" s="100">
        <f t="shared" si="1"/>
        <v>2998.443</v>
      </c>
    </row>
    <row r="357">
      <c r="A357" s="96" t="s">
        <v>1473</v>
      </c>
      <c r="B357" s="96" t="s">
        <v>1474</v>
      </c>
      <c r="C357" s="96" t="s">
        <v>1475</v>
      </c>
      <c r="D357" s="97">
        <v>1.95</v>
      </c>
      <c r="E357" s="98">
        <v>1.0</v>
      </c>
      <c r="F357" s="99">
        <v>2.0E-4</v>
      </c>
      <c r="G357" s="100">
        <f t="shared" si="1"/>
        <v>2161.873</v>
      </c>
    </row>
    <row r="358">
      <c r="A358" s="96" t="s">
        <v>1476</v>
      </c>
      <c r="B358" s="96" t="s">
        <v>1477</v>
      </c>
      <c r="C358" s="96" t="s">
        <v>1478</v>
      </c>
      <c r="D358" s="97">
        <v>4.43</v>
      </c>
      <c r="E358" s="98">
        <v>1.0</v>
      </c>
      <c r="F358" s="99">
        <v>3.0E-4</v>
      </c>
      <c r="G358" s="100">
        <f t="shared" si="1"/>
        <v>4899.43825</v>
      </c>
    </row>
    <row r="359">
      <c r="A359" s="96" t="s">
        <v>1479</v>
      </c>
      <c r="B359" s="96" t="s">
        <v>1480</v>
      </c>
      <c r="C359" s="96" t="s">
        <v>1481</v>
      </c>
      <c r="D359" s="97">
        <v>0.73</v>
      </c>
      <c r="E359" s="98">
        <v>1.0</v>
      </c>
      <c r="F359" s="99">
        <v>1.0E-4</v>
      </c>
      <c r="G359" s="100">
        <f t="shared" si="1"/>
        <v>811.25275</v>
      </c>
    </row>
    <row r="360">
      <c r="A360" s="96" t="s">
        <v>1482</v>
      </c>
      <c r="B360" s="96" t="s">
        <v>1483</v>
      </c>
      <c r="C360" s="96" t="s">
        <v>1484</v>
      </c>
      <c r="D360" s="97">
        <v>3.93</v>
      </c>
      <c r="E360" s="98">
        <v>1.0</v>
      </c>
      <c r="F360" s="99">
        <v>0.0012</v>
      </c>
      <c r="G360" s="100">
        <f t="shared" si="1"/>
        <v>4418.4105</v>
      </c>
    </row>
    <row r="361">
      <c r="A361" s="96" t="s">
        <v>1485</v>
      </c>
      <c r="B361" s="96" t="s">
        <v>1486</v>
      </c>
      <c r="C361" s="96" t="s">
        <v>1487</v>
      </c>
      <c r="D361" s="97">
        <v>5.7</v>
      </c>
      <c r="E361" s="98">
        <v>1.0</v>
      </c>
      <c r="F361" s="99">
        <v>0.0133</v>
      </c>
      <c r="G361" s="100">
        <f t="shared" si="1"/>
        <v>7299.07325</v>
      </c>
    </row>
    <row r="362">
      <c r="A362" s="96" t="s">
        <v>1488</v>
      </c>
      <c r="B362" s="96" t="s">
        <v>1489</v>
      </c>
      <c r="C362" s="96" t="s">
        <v>1490</v>
      </c>
      <c r="D362" s="97">
        <v>4.28</v>
      </c>
      <c r="E362" s="98">
        <v>1.0</v>
      </c>
      <c r="F362" s="99">
        <v>0.0025</v>
      </c>
      <c r="G362" s="100">
        <f t="shared" si="1"/>
        <v>4903.84125</v>
      </c>
    </row>
    <row r="363">
      <c r="A363" s="96" t="s">
        <v>1491</v>
      </c>
      <c r="B363" s="96" t="s">
        <v>1492</v>
      </c>
      <c r="C363" s="96" t="s">
        <v>1493</v>
      </c>
      <c r="D363" s="97">
        <v>4.27</v>
      </c>
      <c r="E363" s="98">
        <v>1.0</v>
      </c>
      <c r="F363" s="99">
        <v>0.0045</v>
      </c>
      <c r="G363" s="100">
        <f t="shared" si="1"/>
        <v>5046.93875</v>
      </c>
    </row>
    <row r="364">
      <c r="A364" s="96" t="s">
        <v>1494</v>
      </c>
      <c r="B364" s="96" t="s">
        <v>1495</v>
      </c>
      <c r="C364" s="96" t="s">
        <v>1496</v>
      </c>
      <c r="D364" s="97">
        <v>6.61</v>
      </c>
      <c r="E364" s="98">
        <v>1.0</v>
      </c>
      <c r="F364" s="99">
        <v>0.0033</v>
      </c>
      <c r="G364" s="100">
        <f t="shared" si="1"/>
        <v>7530.23075</v>
      </c>
    </row>
    <row r="365">
      <c r="A365" s="96" t="s">
        <v>1497</v>
      </c>
      <c r="B365" s="96" t="s">
        <v>1498</v>
      </c>
      <c r="C365" s="96" t="s">
        <v>1499</v>
      </c>
      <c r="D365" s="97">
        <v>0.46</v>
      </c>
      <c r="E365" s="98">
        <v>1.0</v>
      </c>
      <c r="F365" s="99">
        <v>7.0E-4</v>
      </c>
      <c r="G365" s="100">
        <f t="shared" si="1"/>
        <v>560.28175</v>
      </c>
    </row>
    <row r="366">
      <c r="A366" s="96" t="s">
        <v>1500</v>
      </c>
      <c r="B366" s="96" t="s">
        <v>1501</v>
      </c>
      <c r="C366" s="96" t="s">
        <v>1502</v>
      </c>
      <c r="D366" s="97">
        <v>19.1</v>
      </c>
      <c r="E366" s="98">
        <v>1.0</v>
      </c>
      <c r="F366" s="99">
        <v>0.035</v>
      </c>
      <c r="G366" s="100">
        <f t="shared" si="1"/>
        <v>23721.1625</v>
      </c>
    </row>
    <row r="367">
      <c r="A367" s="96" t="s">
        <v>1503</v>
      </c>
      <c r="B367" s="96" t="s">
        <v>1504</v>
      </c>
      <c r="C367" s="96" t="s">
        <v>1505</v>
      </c>
      <c r="D367" s="97">
        <v>32.9</v>
      </c>
      <c r="E367" s="98">
        <v>1.0</v>
      </c>
      <c r="F367" s="99">
        <v>0.05</v>
      </c>
      <c r="G367" s="100">
        <f t="shared" si="1"/>
        <v>40067.3</v>
      </c>
    </row>
    <row r="368">
      <c r="A368" s="96" t="s">
        <v>1506</v>
      </c>
      <c r="B368" s="96" t="s">
        <v>1507</v>
      </c>
      <c r="C368" s="96" t="s">
        <v>1505</v>
      </c>
      <c r="D368" s="97">
        <v>32.9</v>
      </c>
      <c r="E368" s="98">
        <v>1.0</v>
      </c>
      <c r="F368" s="99">
        <v>0.05</v>
      </c>
      <c r="G368" s="100">
        <f t="shared" si="1"/>
        <v>40067.3</v>
      </c>
    </row>
    <row r="369">
      <c r="A369" s="96" t="s">
        <v>1508</v>
      </c>
      <c r="B369" s="96" t="s">
        <v>1509</v>
      </c>
      <c r="C369" s="96" t="s">
        <v>1510</v>
      </c>
      <c r="D369" s="97">
        <v>41.5</v>
      </c>
      <c r="E369" s="98">
        <v>1.0</v>
      </c>
      <c r="F369" s="99">
        <v>0.0205</v>
      </c>
      <c r="G369" s="100">
        <f t="shared" si="1"/>
        <v>47260.70125</v>
      </c>
    </row>
    <row r="370">
      <c r="A370" s="96" t="s">
        <v>425</v>
      </c>
      <c r="B370" s="96" t="s">
        <v>1511</v>
      </c>
      <c r="C370" s="96" t="s">
        <v>1512</v>
      </c>
      <c r="D370" s="97">
        <v>14.2</v>
      </c>
      <c r="E370" s="98">
        <v>1.0</v>
      </c>
      <c r="F370" s="99">
        <v>0.0146</v>
      </c>
      <c r="G370" s="100">
        <f t="shared" si="1"/>
        <v>16755.6165</v>
      </c>
    </row>
    <row r="371">
      <c r="A371" s="96" t="s">
        <v>1513</v>
      </c>
      <c r="B371" s="96" t="s">
        <v>1514</v>
      </c>
      <c r="C371" s="96" t="s">
        <v>1512</v>
      </c>
      <c r="D371" s="97">
        <v>14.2</v>
      </c>
      <c r="E371" s="98">
        <v>1.0</v>
      </c>
      <c r="F371" s="99">
        <v>0.0146</v>
      </c>
      <c r="G371" s="100">
        <f t="shared" si="1"/>
        <v>16755.6165</v>
      </c>
    </row>
    <row r="372">
      <c r="A372" s="96" t="s">
        <v>1515</v>
      </c>
      <c r="B372" s="96" t="s">
        <v>1516</v>
      </c>
      <c r="C372" s="96" t="s">
        <v>1517</v>
      </c>
      <c r="D372" s="97">
        <v>0.6</v>
      </c>
      <c r="E372" s="98">
        <v>1.0</v>
      </c>
      <c r="F372" s="99">
        <v>0.002</v>
      </c>
      <c r="G372" s="100">
        <f t="shared" si="1"/>
        <v>814.555</v>
      </c>
    </row>
    <row r="373">
      <c r="A373" s="96" t="s">
        <v>1518</v>
      </c>
      <c r="B373" s="96" t="s">
        <v>1519</v>
      </c>
      <c r="C373" s="96" t="s">
        <v>1520</v>
      </c>
      <c r="D373" s="97">
        <v>11.16</v>
      </c>
      <c r="E373" s="98">
        <v>1.0</v>
      </c>
      <c r="F373" s="99">
        <v>0.03</v>
      </c>
      <c r="G373" s="100">
        <f t="shared" si="1"/>
        <v>14595.945</v>
      </c>
    </row>
    <row r="374">
      <c r="A374" s="96" t="s">
        <v>1521</v>
      </c>
      <c r="B374" s="96" t="s">
        <v>1522</v>
      </c>
      <c r="C374" s="96" t="s">
        <v>1523</v>
      </c>
      <c r="D374" s="97">
        <v>20.75</v>
      </c>
      <c r="E374" s="98">
        <v>1.0</v>
      </c>
      <c r="F374" s="99">
        <v>0.07</v>
      </c>
      <c r="G374" s="100">
        <f t="shared" si="1"/>
        <v>28234.2375</v>
      </c>
    </row>
    <row r="375">
      <c r="A375" s="96" t="s">
        <v>1524</v>
      </c>
      <c r="B375" s="96" t="s">
        <v>1525</v>
      </c>
      <c r="C375" s="96" t="s">
        <v>1526</v>
      </c>
      <c r="D375" s="97">
        <v>7.73</v>
      </c>
      <c r="E375" s="98">
        <v>1.0</v>
      </c>
      <c r="F375" s="99">
        <v>0.02</v>
      </c>
      <c r="G375" s="100">
        <f t="shared" si="1"/>
        <v>10049.8475</v>
      </c>
    </row>
    <row r="376">
      <c r="A376" s="96" t="s">
        <v>1527</v>
      </c>
      <c r="B376" s="96" t="s">
        <v>1528</v>
      </c>
      <c r="C376" s="96" t="s">
        <v>1529</v>
      </c>
      <c r="D376" s="97">
        <v>3.02</v>
      </c>
      <c r="E376" s="98">
        <v>1.0</v>
      </c>
      <c r="F376" s="99">
        <v>0.01</v>
      </c>
      <c r="G376" s="100">
        <f t="shared" si="1"/>
        <v>4094.79</v>
      </c>
    </row>
    <row r="377">
      <c r="A377" s="96" t="s">
        <v>1530</v>
      </c>
      <c r="B377" s="96" t="s">
        <v>1531</v>
      </c>
      <c r="C377" s="96" t="s">
        <v>1532</v>
      </c>
      <c r="D377" s="97">
        <v>14.54</v>
      </c>
      <c r="E377" s="98">
        <v>1.0</v>
      </c>
      <c r="F377" s="99">
        <v>1.0E-4</v>
      </c>
      <c r="G377" s="100">
        <f t="shared" si="1"/>
        <v>16012.61025</v>
      </c>
    </row>
    <row r="378">
      <c r="A378" s="96" t="s">
        <v>1533</v>
      </c>
      <c r="B378" s="96" t="s">
        <v>1534</v>
      </c>
      <c r="C378" s="96" t="s">
        <v>1535</v>
      </c>
      <c r="D378" s="97">
        <v>19.0</v>
      </c>
      <c r="E378" s="98">
        <v>1.0</v>
      </c>
      <c r="F378" s="99">
        <v>0.0014</v>
      </c>
      <c r="G378" s="100">
        <f t="shared" si="1"/>
        <v>21022.1235</v>
      </c>
    </row>
    <row r="379">
      <c r="A379" s="96" t="s">
        <v>1536</v>
      </c>
      <c r="B379" s="96" t="s">
        <v>1537</v>
      </c>
      <c r="C379" s="96" t="s">
        <v>1538</v>
      </c>
      <c r="D379" s="97">
        <v>4.8</v>
      </c>
      <c r="E379" s="98">
        <v>1.0</v>
      </c>
      <c r="F379" s="99">
        <v>0.025</v>
      </c>
      <c r="G379" s="100">
        <f t="shared" si="1"/>
        <v>7209.9125</v>
      </c>
    </row>
    <row r="380">
      <c r="A380" s="96" t="s">
        <v>1539</v>
      </c>
      <c r="B380" s="96" t="s">
        <v>1540</v>
      </c>
      <c r="C380" s="96" t="s">
        <v>1541</v>
      </c>
      <c r="D380" s="97">
        <v>3.99</v>
      </c>
      <c r="E380" s="98">
        <v>1.0</v>
      </c>
      <c r="F380" s="99">
        <v>0.0036</v>
      </c>
      <c r="G380" s="100">
        <f t="shared" si="1"/>
        <v>4669.3815</v>
      </c>
    </row>
    <row r="381">
      <c r="A381" s="96" t="s">
        <v>1542</v>
      </c>
      <c r="B381" s="96" t="s">
        <v>1543</v>
      </c>
      <c r="C381" s="96" t="s">
        <v>1544</v>
      </c>
      <c r="D381" s="97">
        <v>4.13</v>
      </c>
      <c r="E381" s="98">
        <v>1.0</v>
      </c>
      <c r="F381" s="99">
        <v>0.0013</v>
      </c>
      <c r="G381" s="100">
        <f t="shared" si="1"/>
        <v>4646.26575</v>
      </c>
    </row>
    <row r="382">
      <c r="A382" s="96" t="s">
        <v>1545</v>
      </c>
      <c r="B382" s="96" t="s">
        <v>1546</v>
      </c>
      <c r="C382" s="96" t="s">
        <v>1547</v>
      </c>
      <c r="D382" s="97">
        <v>12.87</v>
      </c>
      <c r="E382" s="98">
        <v>1.0</v>
      </c>
      <c r="F382" s="99">
        <v>0.006</v>
      </c>
      <c r="G382" s="100">
        <f t="shared" si="1"/>
        <v>14628.9675</v>
      </c>
    </row>
    <row r="383">
      <c r="A383" s="96" t="s">
        <v>1548</v>
      </c>
      <c r="B383" s="96" t="s">
        <v>1549</v>
      </c>
      <c r="C383" s="96" t="s">
        <v>1550</v>
      </c>
      <c r="D383" s="97">
        <v>3.24</v>
      </c>
      <c r="E383" s="98">
        <v>1.0</v>
      </c>
      <c r="F383" s="99">
        <v>0.0017</v>
      </c>
      <c r="G383" s="100">
        <f t="shared" si="1"/>
        <v>3697.41925</v>
      </c>
    </row>
    <row r="384">
      <c r="A384" s="96" t="s">
        <v>1551</v>
      </c>
      <c r="B384" s="96" t="s">
        <v>1552</v>
      </c>
      <c r="C384" s="96" t="s">
        <v>1553</v>
      </c>
      <c r="D384" s="97">
        <v>4.0</v>
      </c>
      <c r="E384" s="98">
        <v>1.0</v>
      </c>
      <c r="F384" s="99">
        <v>0.005</v>
      </c>
      <c r="G384" s="100">
        <f t="shared" si="1"/>
        <v>4788.2625</v>
      </c>
    </row>
    <row r="385">
      <c r="A385" s="96" t="s">
        <v>1554</v>
      </c>
      <c r="B385" s="96" t="s">
        <v>1555</v>
      </c>
      <c r="C385" s="96" t="s">
        <v>1556</v>
      </c>
      <c r="D385" s="97">
        <v>4.6</v>
      </c>
      <c r="E385" s="98">
        <v>1.0</v>
      </c>
      <c r="F385" s="99">
        <v>0.008</v>
      </c>
      <c r="G385" s="100">
        <f t="shared" si="1"/>
        <v>5679.87</v>
      </c>
    </row>
    <row r="386">
      <c r="A386" s="96" t="s">
        <v>1557</v>
      </c>
      <c r="B386" s="96" t="s">
        <v>1558</v>
      </c>
      <c r="C386" s="96" t="s">
        <v>1559</v>
      </c>
      <c r="D386" s="97">
        <v>4.35</v>
      </c>
      <c r="E386" s="98">
        <v>1.0</v>
      </c>
      <c r="F386" s="99">
        <v>0.019</v>
      </c>
      <c r="G386" s="100">
        <f t="shared" si="1"/>
        <v>6252.26</v>
      </c>
    </row>
    <row r="387">
      <c r="A387" s="96" t="s">
        <v>1560</v>
      </c>
      <c r="B387" s="96" t="s">
        <v>1561</v>
      </c>
      <c r="C387" s="96" t="s">
        <v>1562</v>
      </c>
      <c r="D387" s="97">
        <v>2.2</v>
      </c>
      <c r="E387" s="98">
        <v>1.0</v>
      </c>
      <c r="F387" s="99">
        <v>0.01</v>
      </c>
      <c r="G387" s="100">
        <f t="shared" si="1"/>
        <v>3192.175</v>
      </c>
    </row>
    <row r="388">
      <c r="A388" s="96" t="s">
        <v>1563</v>
      </c>
      <c r="B388" s="96" t="s">
        <v>1564</v>
      </c>
      <c r="C388" s="96" t="s">
        <v>1565</v>
      </c>
      <c r="D388" s="97">
        <v>2.03</v>
      </c>
      <c r="E388" s="98">
        <v>1.0</v>
      </c>
      <c r="F388" s="99">
        <v>0.0016</v>
      </c>
      <c r="G388" s="100">
        <f t="shared" si="1"/>
        <v>2357.8065</v>
      </c>
    </row>
    <row r="389">
      <c r="A389" s="96" t="s">
        <v>1566</v>
      </c>
      <c r="B389" s="96" t="s">
        <v>1567</v>
      </c>
      <c r="C389" s="96" t="s">
        <v>1568</v>
      </c>
      <c r="D389" s="97">
        <v>8.41</v>
      </c>
      <c r="E389" s="98">
        <v>1.0</v>
      </c>
      <c r="F389" s="99">
        <v>0.0014</v>
      </c>
      <c r="G389" s="100">
        <f t="shared" si="1"/>
        <v>9365.181</v>
      </c>
    </row>
    <row r="390">
      <c r="A390" s="96" t="s">
        <v>1569</v>
      </c>
      <c r="B390" s="96" t="s">
        <v>1570</v>
      </c>
      <c r="C390" s="96" t="s">
        <v>1571</v>
      </c>
      <c r="D390" s="97">
        <v>2.92</v>
      </c>
      <c r="E390" s="98">
        <v>1.0</v>
      </c>
      <c r="F390" s="99">
        <v>5.0E-4</v>
      </c>
      <c r="G390" s="100">
        <f t="shared" si="1"/>
        <v>3252.71625</v>
      </c>
    </row>
    <row r="391">
      <c r="A391" s="96" t="s">
        <v>1572</v>
      </c>
      <c r="B391" s="96" t="s">
        <v>1573</v>
      </c>
      <c r="C391" s="96" t="s">
        <v>1574</v>
      </c>
      <c r="D391" s="97">
        <v>2.34</v>
      </c>
      <c r="E391" s="98">
        <v>1.0</v>
      </c>
      <c r="F391" s="99">
        <v>3.0E-4</v>
      </c>
      <c r="G391" s="100">
        <f t="shared" si="1"/>
        <v>2598.87075</v>
      </c>
    </row>
    <row r="392">
      <c r="A392" s="96" t="s">
        <v>1575</v>
      </c>
      <c r="B392" s="96" t="s">
        <v>1576</v>
      </c>
      <c r="C392" s="96" t="s">
        <v>1577</v>
      </c>
      <c r="D392" s="97">
        <v>3.99</v>
      </c>
      <c r="E392" s="98">
        <v>1.0</v>
      </c>
      <c r="F392" s="99">
        <v>0.0018</v>
      </c>
      <c r="G392" s="100">
        <f t="shared" si="1"/>
        <v>4530.687</v>
      </c>
    </row>
    <row r="393">
      <c r="A393" s="96" t="s">
        <v>1578</v>
      </c>
      <c r="B393" s="96" t="s">
        <v>1579</v>
      </c>
      <c r="C393" s="96" t="s">
        <v>1580</v>
      </c>
      <c r="D393" s="97">
        <v>5.59</v>
      </c>
      <c r="E393" s="98">
        <v>1.0</v>
      </c>
      <c r="F393" s="99">
        <v>0.0025</v>
      </c>
      <c r="G393" s="100">
        <f t="shared" si="1"/>
        <v>6345.82375</v>
      </c>
    </row>
    <row r="394">
      <c r="A394" s="96" t="s">
        <v>1581</v>
      </c>
      <c r="B394" s="96" t="s">
        <v>1582</v>
      </c>
      <c r="C394" s="96" t="s">
        <v>1583</v>
      </c>
      <c r="D394" s="97">
        <v>2.45</v>
      </c>
      <c r="E394" s="98">
        <v>1.0</v>
      </c>
      <c r="F394" s="99">
        <v>0.0018</v>
      </c>
      <c r="G394" s="100">
        <f t="shared" si="1"/>
        <v>2835.532</v>
      </c>
    </row>
    <row r="395">
      <c r="A395" s="96" t="s">
        <v>1584</v>
      </c>
      <c r="B395" s="96" t="s">
        <v>1585</v>
      </c>
      <c r="C395" s="96" t="s">
        <v>1586</v>
      </c>
      <c r="D395" s="97">
        <v>3.45</v>
      </c>
      <c r="E395" s="98">
        <v>1.0</v>
      </c>
      <c r="F395" s="99">
        <v>0.0018</v>
      </c>
      <c r="G395" s="100">
        <f t="shared" si="1"/>
        <v>3936.282</v>
      </c>
    </row>
    <row r="396">
      <c r="A396" s="96" t="s">
        <v>1587</v>
      </c>
      <c r="B396" s="96" t="s">
        <v>1588</v>
      </c>
      <c r="C396" s="96" t="s">
        <v>1589</v>
      </c>
      <c r="D396" s="97">
        <v>2.83</v>
      </c>
      <c r="E396" s="98">
        <v>1.0</v>
      </c>
      <c r="F396" s="106"/>
      <c r="G396" s="100">
        <f t="shared" si="1"/>
        <v>3115.1225</v>
      </c>
    </row>
    <row r="397">
      <c r="A397" s="96" t="s">
        <v>1590</v>
      </c>
      <c r="B397" s="96" t="s">
        <v>1591</v>
      </c>
      <c r="C397" s="96" t="s">
        <v>1592</v>
      </c>
      <c r="D397" s="97">
        <v>1.56</v>
      </c>
      <c r="E397" s="98">
        <v>1.0</v>
      </c>
      <c r="F397" s="99">
        <v>0.0011</v>
      </c>
      <c r="G397" s="100">
        <f t="shared" si="1"/>
        <v>1801.92775</v>
      </c>
    </row>
    <row r="398">
      <c r="A398" s="96" t="s">
        <v>1593</v>
      </c>
      <c r="B398" s="96" t="s">
        <v>1594</v>
      </c>
      <c r="C398" s="96" t="s">
        <v>1595</v>
      </c>
      <c r="D398" s="97">
        <v>8.29</v>
      </c>
      <c r="E398" s="98">
        <v>1.0</v>
      </c>
      <c r="F398" s="99">
        <v>0.0233</v>
      </c>
      <c r="G398" s="100">
        <f t="shared" si="1"/>
        <v>10920.54075</v>
      </c>
    </row>
    <row r="399">
      <c r="A399" s="96" t="s">
        <v>42</v>
      </c>
      <c r="B399" s="96" t="s">
        <v>1596</v>
      </c>
      <c r="C399" s="96" t="s">
        <v>1597</v>
      </c>
      <c r="D399" s="97">
        <v>142.3</v>
      </c>
      <c r="E399" s="98">
        <v>1.0</v>
      </c>
      <c r="F399" s="99">
        <v>0.13</v>
      </c>
      <c r="G399" s="100">
        <f t="shared" si="1"/>
        <v>166653.55</v>
      </c>
    </row>
    <row r="400">
      <c r="A400" s="96" t="s">
        <v>420</v>
      </c>
      <c r="B400" s="96" t="s">
        <v>1598</v>
      </c>
      <c r="C400" s="96" t="s">
        <v>1599</v>
      </c>
      <c r="D400" s="97">
        <v>66.2</v>
      </c>
      <c r="E400" s="98">
        <v>1.0</v>
      </c>
      <c r="F400" s="99">
        <v>0.07</v>
      </c>
      <c r="G400" s="100">
        <f t="shared" si="1"/>
        <v>78263.325</v>
      </c>
    </row>
    <row r="401">
      <c r="A401" s="96" t="s">
        <v>422</v>
      </c>
      <c r="B401" s="96" t="s">
        <v>1600</v>
      </c>
      <c r="C401" s="96" t="s">
        <v>1601</v>
      </c>
      <c r="D401" s="97">
        <v>57.0</v>
      </c>
      <c r="E401" s="98">
        <v>1.0</v>
      </c>
      <c r="F401" s="99">
        <v>0.07</v>
      </c>
      <c r="G401" s="100">
        <f t="shared" si="1"/>
        <v>68136.425</v>
      </c>
    </row>
    <row r="402">
      <c r="A402" s="96" t="s">
        <v>46</v>
      </c>
      <c r="B402" s="96" t="s">
        <v>1602</v>
      </c>
      <c r="C402" s="96" t="s">
        <v>1603</v>
      </c>
      <c r="D402" s="97">
        <v>6.52</v>
      </c>
      <c r="E402" s="98">
        <v>1.0</v>
      </c>
      <c r="F402" s="99">
        <v>0.01</v>
      </c>
      <c r="G402" s="100">
        <f t="shared" si="1"/>
        <v>7947.415</v>
      </c>
    </row>
    <row r="403">
      <c r="A403" s="96" t="s">
        <v>47</v>
      </c>
      <c r="B403" s="96" t="s">
        <v>1604</v>
      </c>
      <c r="C403" s="96" t="s">
        <v>1605</v>
      </c>
      <c r="D403" s="97">
        <v>6.52</v>
      </c>
      <c r="E403" s="98">
        <v>1.0</v>
      </c>
      <c r="F403" s="99">
        <v>0.01</v>
      </c>
      <c r="G403" s="100">
        <f t="shared" si="1"/>
        <v>7947.415</v>
      </c>
    </row>
    <row r="404">
      <c r="A404" s="96" t="s">
        <v>48</v>
      </c>
      <c r="B404" s="96" t="s">
        <v>1606</v>
      </c>
      <c r="C404" s="96" t="s">
        <v>1607</v>
      </c>
      <c r="D404" s="97">
        <v>5.71</v>
      </c>
      <c r="E404" s="98">
        <v>1.0</v>
      </c>
      <c r="F404" s="99">
        <v>0.01</v>
      </c>
      <c r="G404" s="100">
        <f t="shared" si="1"/>
        <v>7055.8075</v>
      </c>
    </row>
    <row r="405">
      <c r="A405" s="96" t="s">
        <v>49</v>
      </c>
      <c r="B405" s="96" t="s">
        <v>1608</v>
      </c>
      <c r="C405" s="96" t="s">
        <v>1609</v>
      </c>
      <c r="D405" s="97">
        <v>5.71</v>
      </c>
      <c r="E405" s="98">
        <v>1.0</v>
      </c>
      <c r="F405" s="99">
        <v>0.01</v>
      </c>
      <c r="G405" s="100">
        <f t="shared" si="1"/>
        <v>7055.8075</v>
      </c>
    </row>
    <row r="406">
      <c r="A406" s="96" t="s">
        <v>120</v>
      </c>
      <c r="B406" s="96" t="s">
        <v>1610</v>
      </c>
      <c r="C406" s="96" t="s">
        <v>1611</v>
      </c>
      <c r="D406" s="97">
        <v>30.08</v>
      </c>
      <c r="E406" s="98">
        <v>1.0</v>
      </c>
      <c r="F406" s="99">
        <v>0.0425</v>
      </c>
      <c r="G406" s="100">
        <f t="shared" si="1"/>
        <v>36385.29125</v>
      </c>
    </row>
    <row r="407">
      <c r="A407" s="96" t="s">
        <v>41</v>
      </c>
      <c r="B407" s="96" t="s">
        <v>1612</v>
      </c>
      <c r="C407" s="96" t="s">
        <v>1613</v>
      </c>
      <c r="D407" s="97">
        <v>24.85</v>
      </c>
      <c r="E407" s="98">
        <v>1.0</v>
      </c>
      <c r="F407" s="99">
        <v>0.0648</v>
      </c>
      <c r="G407" s="100">
        <f t="shared" si="1"/>
        <v>32346.6395</v>
      </c>
    </row>
    <row r="408">
      <c r="A408" s="96" t="s">
        <v>80</v>
      </c>
      <c r="B408" s="96" t="s">
        <v>1614</v>
      </c>
      <c r="C408" s="96" t="s">
        <v>1615</v>
      </c>
      <c r="D408" s="97">
        <v>5.35</v>
      </c>
      <c r="E408" s="98">
        <v>1.0</v>
      </c>
      <c r="F408" s="99">
        <v>0.0123</v>
      </c>
      <c r="G408" s="100">
        <f t="shared" si="1"/>
        <v>6836.75825</v>
      </c>
    </row>
    <row r="409">
      <c r="A409" s="96" t="s">
        <v>1616</v>
      </c>
      <c r="B409" s="96" t="s">
        <v>1617</v>
      </c>
      <c r="C409" s="96" t="s">
        <v>1618</v>
      </c>
      <c r="D409" s="97">
        <v>13.21</v>
      </c>
      <c r="E409" s="98">
        <v>1.0</v>
      </c>
      <c r="F409" s="99">
        <v>0.005</v>
      </c>
      <c r="G409" s="100">
        <f t="shared" si="1"/>
        <v>14926.17</v>
      </c>
    </row>
    <row r="410">
      <c r="A410" s="96" t="s">
        <v>50</v>
      </c>
      <c r="B410" s="96" t="s">
        <v>1619</v>
      </c>
      <c r="C410" s="96" t="s">
        <v>1620</v>
      </c>
      <c r="D410" s="97">
        <v>68.0</v>
      </c>
      <c r="E410" s="98">
        <v>1.0</v>
      </c>
      <c r="F410" s="99">
        <v>0.038</v>
      </c>
      <c r="G410" s="100">
        <f t="shared" si="1"/>
        <v>77778.995</v>
      </c>
    </row>
    <row r="411">
      <c r="A411" s="96" t="s">
        <v>51</v>
      </c>
      <c r="B411" s="96" t="s">
        <v>1621</v>
      </c>
      <c r="C411" s="96" t="s">
        <v>1622</v>
      </c>
      <c r="D411" s="97">
        <v>114.0</v>
      </c>
      <c r="E411" s="98">
        <v>1.0</v>
      </c>
      <c r="F411" s="99">
        <v>0.082</v>
      </c>
      <c r="G411" s="100">
        <f t="shared" si="1"/>
        <v>131803.805</v>
      </c>
    </row>
    <row r="412">
      <c r="A412" s="96" t="s">
        <v>52</v>
      </c>
      <c r="B412" s="96" t="s">
        <v>1623</v>
      </c>
      <c r="C412" s="96" t="s">
        <v>1624</v>
      </c>
      <c r="D412" s="97">
        <v>80.25</v>
      </c>
      <c r="E412" s="98">
        <v>1.0</v>
      </c>
      <c r="F412" s="99">
        <v>0.0984</v>
      </c>
      <c r="G412" s="100">
        <f t="shared" si="1"/>
        <v>95917.1535</v>
      </c>
    </row>
    <row r="413">
      <c r="A413" s="96" t="s">
        <v>53</v>
      </c>
      <c r="B413" s="96" t="s">
        <v>1625</v>
      </c>
      <c r="C413" s="96" t="s">
        <v>1626</v>
      </c>
      <c r="D413" s="97">
        <v>54.03</v>
      </c>
      <c r="E413" s="98">
        <v>1.0</v>
      </c>
      <c r="F413" s="99">
        <v>0.095</v>
      </c>
      <c r="G413" s="100">
        <f t="shared" si="1"/>
        <v>66793.51</v>
      </c>
    </row>
    <row r="414">
      <c r="A414" s="96" t="s">
        <v>419</v>
      </c>
      <c r="B414" s="96" t="s">
        <v>1627</v>
      </c>
      <c r="C414" s="96" t="s">
        <v>1628</v>
      </c>
      <c r="D414" s="97">
        <v>15.45</v>
      </c>
      <c r="E414" s="98">
        <v>1.0</v>
      </c>
      <c r="F414" s="99">
        <v>0.032</v>
      </c>
      <c r="G414" s="100">
        <f t="shared" si="1"/>
        <v>19472.2675</v>
      </c>
    </row>
    <row r="415">
      <c r="A415" s="96" t="s">
        <v>82</v>
      </c>
      <c r="B415" s="96" t="s">
        <v>1629</v>
      </c>
      <c r="C415" s="96" t="s">
        <v>1630</v>
      </c>
      <c r="D415" s="97">
        <v>25.8</v>
      </c>
      <c r="E415" s="98">
        <v>1.0</v>
      </c>
      <c r="F415" s="99">
        <v>0.0175</v>
      </c>
      <c r="G415" s="100">
        <f t="shared" si="1"/>
        <v>29747.76875</v>
      </c>
    </row>
    <row r="416">
      <c r="A416" s="96" t="s">
        <v>83</v>
      </c>
      <c r="B416" s="96" t="s">
        <v>1631</v>
      </c>
      <c r="C416" s="96" t="s">
        <v>1632</v>
      </c>
      <c r="D416" s="97">
        <v>27.2</v>
      </c>
      <c r="E416" s="98">
        <v>1.0</v>
      </c>
      <c r="F416" s="99">
        <v>0.0175</v>
      </c>
      <c r="G416" s="100">
        <f t="shared" si="1"/>
        <v>31288.81875</v>
      </c>
    </row>
    <row r="417">
      <c r="A417" s="96" t="s">
        <v>84</v>
      </c>
      <c r="B417" s="96" t="s">
        <v>1633</v>
      </c>
      <c r="C417" s="96" t="s">
        <v>1634</v>
      </c>
      <c r="D417" s="97">
        <v>24.0</v>
      </c>
      <c r="E417" s="98">
        <v>1.0</v>
      </c>
      <c r="F417" s="99">
        <v>0.0095</v>
      </c>
      <c r="G417" s="100">
        <f t="shared" si="1"/>
        <v>27149.99875</v>
      </c>
    </row>
    <row r="418">
      <c r="A418" s="96" t="s">
        <v>85</v>
      </c>
      <c r="B418" s="104">
        <v>2501.0</v>
      </c>
      <c r="C418" s="96" t="s">
        <v>1635</v>
      </c>
      <c r="D418" s="97">
        <v>13.8</v>
      </c>
      <c r="E418" s="98">
        <v>1.0</v>
      </c>
      <c r="F418" s="99">
        <v>0.0175</v>
      </c>
      <c r="G418" s="100">
        <f t="shared" si="1"/>
        <v>16538.76875</v>
      </c>
    </row>
    <row r="419">
      <c r="A419" s="96" t="s">
        <v>86</v>
      </c>
      <c r="B419" s="104">
        <v>1920.0</v>
      </c>
      <c r="C419" s="96" t="s">
        <v>1636</v>
      </c>
      <c r="D419" s="97">
        <v>9.0</v>
      </c>
      <c r="E419" s="98">
        <v>1.0</v>
      </c>
      <c r="F419" s="99">
        <v>0.0095</v>
      </c>
      <c r="G419" s="100">
        <f t="shared" si="1"/>
        <v>10638.74875</v>
      </c>
    </row>
    <row r="420">
      <c r="A420" s="96" t="s">
        <v>114</v>
      </c>
      <c r="B420" s="96"/>
      <c r="C420" s="96" t="s">
        <v>1637</v>
      </c>
      <c r="D420" s="97">
        <v>5.88</v>
      </c>
      <c r="E420" s="98">
        <v>1.0</v>
      </c>
      <c r="F420" s="99">
        <v>0.0065</v>
      </c>
      <c r="G420" s="100">
        <f t="shared" si="1"/>
        <v>6973.25125</v>
      </c>
    </row>
    <row r="421">
      <c r="A421" s="96" t="s">
        <v>115</v>
      </c>
      <c r="B421" s="96"/>
      <c r="C421" s="96" t="s">
        <v>1638</v>
      </c>
      <c r="D421" s="97">
        <v>11.33</v>
      </c>
      <c r="E421" s="98">
        <v>1.0</v>
      </c>
      <c r="F421" s="99">
        <v>0.0108</v>
      </c>
      <c r="G421" s="100">
        <f t="shared" si="1"/>
        <v>13303.6645</v>
      </c>
    </row>
    <row r="422">
      <c r="A422" s="96" t="s">
        <v>116</v>
      </c>
      <c r="B422" s="96"/>
      <c r="C422" s="96" t="s">
        <v>1639</v>
      </c>
      <c r="D422" s="97">
        <v>16.35</v>
      </c>
      <c r="E422" s="98">
        <v>1.0</v>
      </c>
      <c r="F422" s="99">
        <v>0.013</v>
      </c>
      <c r="G422" s="100">
        <f t="shared" si="1"/>
        <v>18998.945</v>
      </c>
    </row>
    <row r="423">
      <c r="A423" s="96" t="s">
        <v>117</v>
      </c>
      <c r="B423" s="96"/>
      <c r="C423" s="96" t="s">
        <v>1640</v>
      </c>
      <c r="D423" s="97">
        <v>21.8</v>
      </c>
      <c r="E423" s="98">
        <v>1.0</v>
      </c>
      <c r="F423" s="99">
        <v>0.0162</v>
      </c>
      <c r="G423" s="100">
        <f t="shared" si="1"/>
        <v>25244.6005</v>
      </c>
    </row>
    <row r="424">
      <c r="A424" s="96" t="s">
        <v>118</v>
      </c>
      <c r="B424" s="96"/>
      <c r="C424" s="96" t="s">
        <v>1641</v>
      </c>
      <c r="D424" s="97">
        <v>29.725</v>
      </c>
      <c r="E424" s="98">
        <v>1.0</v>
      </c>
      <c r="F424" s="99">
        <v>0.0295</v>
      </c>
      <c r="G424" s="100">
        <f t="shared" si="1"/>
        <v>34992.8425</v>
      </c>
    </row>
    <row r="425">
      <c r="A425" s="96" t="s">
        <v>119</v>
      </c>
      <c r="B425" s="96"/>
      <c r="C425" s="96" t="s">
        <v>1642</v>
      </c>
      <c r="D425" s="97">
        <v>29.49</v>
      </c>
      <c r="E425" s="98">
        <v>1.0</v>
      </c>
      <c r="F425" s="99">
        <v>0.07</v>
      </c>
      <c r="G425" s="100">
        <f t="shared" si="1"/>
        <v>37854.7925</v>
      </c>
    </row>
    <row r="426">
      <c r="A426" s="96" t="s">
        <v>99</v>
      </c>
      <c r="B426" s="96" t="s">
        <v>1643</v>
      </c>
      <c r="C426" s="96" t="s">
        <v>1644</v>
      </c>
      <c r="D426" s="97">
        <v>14.26</v>
      </c>
      <c r="E426" s="98">
        <v>1.0</v>
      </c>
      <c r="F426" s="99">
        <v>0.0238</v>
      </c>
      <c r="G426" s="100">
        <f t="shared" si="1"/>
        <v>17530.5445</v>
      </c>
    </row>
    <row r="427">
      <c r="A427" s="96" t="s">
        <v>100</v>
      </c>
      <c r="B427" s="96" t="s">
        <v>1645</v>
      </c>
      <c r="C427" s="96" t="s">
        <v>1646</v>
      </c>
      <c r="D427" s="97">
        <v>15.97</v>
      </c>
      <c r="E427" s="98">
        <v>1.0</v>
      </c>
      <c r="F427" s="99">
        <v>0.0318</v>
      </c>
      <c r="G427" s="100">
        <f t="shared" si="1"/>
        <v>20029.247</v>
      </c>
    </row>
    <row r="428">
      <c r="A428" s="96" t="s">
        <v>104</v>
      </c>
      <c r="B428" s="96" t="s">
        <v>1647</v>
      </c>
      <c r="C428" s="96" t="s">
        <v>1648</v>
      </c>
      <c r="D428" s="97">
        <v>6.4</v>
      </c>
      <c r="E428" s="98">
        <v>1.0</v>
      </c>
      <c r="F428" s="99">
        <v>0.0134</v>
      </c>
      <c r="G428" s="100">
        <f t="shared" si="1"/>
        <v>8077.3035</v>
      </c>
    </row>
    <row r="429">
      <c r="A429" s="96" t="s">
        <v>106</v>
      </c>
      <c r="B429" s="96" t="s">
        <v>1649</v>
      </c>
      <c r="C429" s="96" t="s">
        <v>1650</v>
      </c>
      <c r="D429" s="97">
        <v>32.7</v>
      </c>
      <c r="E429" s="98">
        <v>1.0</v>
      </c>
      <c r="F429" s="99">
        <v>0.22</v>
      </c>
      <c r="G429" s="100">
        <f t="shared" si="1"/>
        <v>52946.075</v>
      </c>
    </row>
    <row r="430">
      <c r="A430" s="96" t="s">
        <v>121</v>
      </c>
      <c r="B430" s="96" t="s">
        <v>1651</v>
      </c>
      <c r="C430" s="96" t="s">
        <v>122</v>
      </c>
      <c r="D430" s="97">
        <v>2.16</v>
      </c>
      <c r="E430" s="98">
        <v>1.0</v>
      </c>
      <c r="F430" s="99">
        <v>2.0E-4</v>
      </c>
      <c r="G430" s="100">
        <f t="shared" si="1"/>
        <v>2393.0305</v>
      </c>
    </row>
    <row r="431">
      <c r="A431" s="96" t="s">
        <v>126</v>
      </c>
      <c r="B431" s="96" t="s">
        <v>1652</v>
      </c>
      <c r="C431" s="96" t="s">
        <v>127</v>
      </c>
      <c r="D431" s="97">
        <v>2.84</v>
      </c>
      <c r="E431" s="98">
        <v>1.0</v>
      </c>
      <c r="F431" s="99">
        <v>2.0E-4</v>
      </c>
      <c r="G431" s="100">
        <f t="shared" si="1"/>
        <v>3141.5405</v>
      </c>
    </row>
    <row r="432">
      <c r="A432" s="96" t="s">
        <v>131</v>
      </c>
      <c r="B432" s="96" t="s">
        <v>1653</v>
      </c>
      <c r="C432" s="96" t="s">
        <v>132</v>
      </c>
      <c r="D432" s="97">
        <v>3.8</v>
      </c>
      <c r="E432" s="98">
        <v>1.0</v>
      </c>
      <c r="F432" s="99">
        <v>2.0E-4</v>
      </c>
      <c r="G432" s="100">
        <f t="shared" si="1"/>
        <v>4198.2605</v>
      </c>
    </row>
    <row r="433">
      <c r="A433" s="96" t="s">
        <v>1654</v>
      </c>
      <c r="B433" s="96" t="s">
        <v>1655</v>
      </c>
      <c r="C433" s="96" t="s">
        <v>1656</v>
      </c>
      <c r="D433" s="97">
        <v>13.13</v>
      </c>
      <c r="E433" s="98">
        <v>1.0</v>
      </c>
      <c r="F433" s="106"/>
      <c r="G433" s="100">
        <f t="shared" si="1"/>
        <v>14452.8475</v>
      </c>
    </row>
    <row r="434">
      <c r="A434" s="96" t="s">
        <v>1657</v>
      </c>
      <c r="B434" s="96" t="s">
        <v>1658</v>
      </c>
      <c r="C434" s="96" t="s">
        <v>1659</v>
      </c>
      <c r="D434" s="97">
        <v>5.53</v>
      </c>
      <c r="E434" s="98">
        <v>1.0</v>
      </c>
      <c r="F434" s="106"/>
      <c r="G434" s="100">
        <f t="shared" si="1"/>
        <v>6087.1475</v>
      </c>
    </row>
    <row r="435">
      <c r="A435" s="96" t="s">
        <v>1660</v>
      </c>
      <c r="B435" s="96" t="s">
        <v>1661</v>
      </c>
      <c r="C435" s="96" t="s">
        <v>1662</v>
      </c>
      <c r="D435" s="97">
        <v>27.0</v>
      </c>
      <c r="E435" s="98">
        <v>1.0</v>
      </c>
      <c r="F435" s="106"/>
      <c r="G435" s="100">
        <f t="shared" si="1"/>
        <v>29720.25</v>
      </c>
    </row>
    <row r="436">
      <c r="A436" s="96" t="s">
        <v>105</v>
      </c>
      <c r="B436" s="96" t="s">
        <v>1663</v>
      </c>
      <c r="C436" s="96" t="s">
        <v>1664</v>
      </c>
      <c r="D436" s="97">
        <v>12.0</v>
      </c>
      <c r="E436" s="98">
        <v>1.0</v>
      </c>
      <c r="F436" s="99">
        <v>0.008</v>
      </c>
      <c r="G436" s="100">
        <f t="shared" si="1"/>
        <v>13825.42</v>
      </c>
    </row>
    <row r="437">
      <c r="A437" s="96" t="s">
        <v>43</v>
      </c>
      <c r="B437" s="96" t="s">
        <v>1665</v>
      </c>
      <c r="C437" s="96" t="s">
        <v>1666</v>
      </c>
      <c r="D437" s="97">
        <v>42.26</v>
      </c>
      <c r="E437" s="98">
        <v>1.0</v>
      </c>
      <c r="F437" s="99">
        <v>0.09</v>
      </c>
      <c r="G437" s="100">
        <f t="shared" si="1"/>
        <v>53452.42</v>
      </c>
    </row>
    <row r="438">
      <c r="A438" s="96" t="s">
        <v>44</v>
      </c>
      <c r="B438" s="96">
        <v>305.0</v>
      </c>
      <c r="C438" s="96" t="s">
        <v>1667</v>
      </c>
      <c r="D438" s="97">
        <v>52.96</v>
      </c>
      <c r="E438" s="98">
        <v>1.0</v>
      </c>
      <c r="F438" s="99">
        <v>0.115</v>
      </c>
      <c r="G438" s="100">
        <f t="shared" si="1"/>
        <v>67156.7575</v>
      </c>
    </row>
    <row r="439">
      <c r="A439" s="96" t="s">
        <v>45</v>
      </c>
      <c r="B439" s="96" t="s">
        <v>1668</v>
      </c>
      <c r="C439" s="96" t="s">
        <v>1669</v>
      </c>
      <c r="D439" s="97">
        <v>62.06</v>
      </c>
      <c r="E439" s="98">
        <v>1.0</v>
      </c>
      <c r="F439" s="99">
        <v>0.115</v>
      </c>
      <c r="G439" s="100">
        <f t="shared" si="1"/>
        <v>77173.5825</v>
      </c>
    </row>
    <row r="440">
      <c r="A440" s="96" t="s">
        <v>101</v>
      </c>
      <c r="B440" s="96" t="s">
        <v>1670</v>
      </c>
      <c r="C440" s="96" t="s">
        <v>1671</v>
      </c>
      <c r="D440" s="97">
        <v>6.5</v>
      </c>
      <c r="E440" s="98">
        <v>1.0</v>
      </c>
      <c r="F440" s="99">
        <v>0.002</v>
      </c>
      <c r="G440" s="100">
        <f t="shared" si="1"/>
        <v>7308.98</v>
      </c>
    </row>
    <row r="441">
      <c r="A441" s="96" t="s">
        <v>103</v>
      </c>
      <c r="B441" s="96" t="s">
        <v>1672</v>
      </c>
      <c r="C441" s="96" t="s">
        <v>1673</v>
      </c>
      <c r="D441" s="97">
        <v>2.75</v>
      </c>
      <c r="E441" s="98">
        <v>1.0</v>
      </c>
      <c r="F441" s="99">
        <v>0.0</v>
      </c>
      <c r="G441" s="100">
        <f t="shared" si="1"/>
        <v>3027.0625</v>
      </c>
    </row>
    <row r="442">
      <c r="A442" s="96" t="s">
        <v>102</v>
      </c>
      <c r="B442" s="96" t="s">
        <v>1674</v>
      </c>
      <c r="C442" s="96" t="s">
        <v>1675</v>
      </c>
      <c r="D442" s="97">
        <v>0.38</v>
      </c>
      <c r="E442" s="98">
        <v>1.0</v>
      </c>
      <c r="F442" s="99">
        <v>0.0</v>
      </c>
      <c r="G442" s="100">
        <f t="shared" si="1"/>
        <v>418.285</v>
      </c>
    </row>
    <row r="443">
      <c r="A443" s="96" t="s">
        <v>95</v>
      </c>
      <c r="B443" s="96" t="s">
        <v>1676</v>
      </c>
      <c r="C443" s="96" t="s">
        <v>1677</v>
      </c>
      <c r="D443" s="97">
        <v>4.34</v>
      </c>
      <c r="E443" s="98">
        <v>1.0</v>
      </c>
      <c r="F443" s="99">
        <v>0.025</v>
      </c>
      <c r="G443" s="100">
        <f t="shared" si="1"/>
        <v>6703.5675</v>
      </c>
    </row>
    <row r="444">
      <c r="A444" s="96" t="s">
        <v>112</v>
      </c>
      <c r="B444" s="96" t="s">
        <v>1678</v>
      </c>
      <c r="C444" s="96" t="s">
        <v>1679</v>
      </c>
      <c r="D444" s="97">
        <v>2.9</v>
      </c>
      <c r="E444" s="98">
        <v>1.0</v>
      </c>
      <c r="F444" s="99">
        <v>0.0</v>
      </c>
      <c r="G444" s="100">
        <f t="shared" ref="G444:G522" si="2">(((D444*$K$2*E444)+(F444*$K$3*$K$4))*1.19)/$E$444</f>
        <v>3192.175</v>
      </c>
    </row>
    <row r="445">
      <c r="A445" s="96" t="s">
        <v>98</v>
      </c>
      <c r="B445" s="96" t="s">
        <v>1680</v>
      </c>
      <c r="C445" s="96" t="s">
        <v>1681</v>
      </c>
      <c r="D445" s="97">
        <v>15.5</v>
      </c>
      <c r="E445" s="98"/>
      <c r="F445" s="99">
        <v>0.015</v>
      </c>
      <c r="G445" s="100">
        <f t="shared" si="2"/>
        <v>1155.7875</v>
      </c>
    </row>
    <row r="446">
      <c r="A446" s="96" t="s">
        <v>97</v>
      </c>
      <c r="B446" s="96" t="s">
        <v>1682</v>
      </c>
      <c r="C446" s="96" t="s">
        <v>1683</v>
      </c>
      <c r="D446" s="97">
        <v>50.6</v>
      </c>
      <c r="E446" s="98"/>
      <c r="F446" s="99">
        <v>0.07</v>
      </c>
      <c r="G446" s="100">
        <f t="shared" si="2"/>
        <v>5393.675</v>
      </c>
    </row>
    <row r="447">
      <c r="A447" s="96" t="s">
        <v>96</v>
      </c>
      <c r="B447" s="96" t="s">
        <v>1684</v>
      </c>
      <c r="C447" s="96" t="s">
        <v>1685</v>
      </c>
      <c r="D447" s="97">
        <v>50.6</v>
      </c>
      <c r="E447" s="98"/>
      <c r="F447" s="99">
        <v>0.07</v>
      </c>
      <c r="G447" s="100">
        <f t="shared" si="2"/>
        <v>5393.675</v>
      </c>
    </row>
    <row r="448">
      <c r="A448" s="96" t="s">
        <v>107</v>
      </c>
      <c r="B448" s="96" t="s">
        <v>1686</v>
      </c>
      <c r="C448" s="96" t="s">
        <v>1687</v>
      </c>
      <c r="D448" s="97">
        <v>5.32</v>
      </c>
      <c r="E448" s="98"/>
      <c r="F448" s="99">
        <v>0.001</v>
      </c>
      <c r="G448" s="100">
        <f t="shared" si="2"/>
        <v>77.0525</v>
      </c>
    </row>
    <row r="449">
      <c r="A449" s="96" t="s">
        <v>110</v>
      </c>
      <c r="B449" s="96" t="s">
        <v>1688</v>
      </c>
      <c r="C449" s="96" t="s">
        <v>1689</v>
      </c>
      <c r="D449" s="97">
        <v>4.74</v>
      </c>
      <c r="E449" s="98"/>
      <c r="F449" s="99">
        <v>0.025</v>
      </c>
      <c r="G449" s="100">
        <f t="shared" si="2"/>
        <v>1926.3125</v>
      </c>
    </row>
    <row r="450">
      <c r="A450" s="96" t="s">
        <v>108</v>
      </c>
      <c r="B450" s="96" t="s">
        <v>1690</v>
      </c>
      <c r="C450" s="96" t="s">
        <v>1691</v>
      </c>
      <c r="D450" s="97">
        <v>5.12</v>
      </c>
      <c r="E450" s="98"/>
      <c r="F450" s="99">
        <v>0.014</v>
      </c>
      <c r="G450" s="100">
        <f t="shared" si="2"/>
        <v>1078.735</v>
      </c>
    </row>
    <row r="451">
      <c r="A451" s="96" t="s">
        <v>111</v>
      </c>
      <c r="B451" s="96" t="s">
        <v>1692</v>
      </c>
      <c r="C451" s="96" t="s">
        <v>1693</v>
      </c>
      <c r="D451" s="97">
        <v>8.1</v>
      </c>
      <c r="E451" s="98"/>
      <c r="F451" s="99">
        <v>0.003</v>
      </c>
      <c r="G451" s="100">
        <f t="shared" si="2"/>
        <v>231.1575</v>
      </c>
    </row>
    <row r="452">
      <c r="A452" s="96" t="s">
        <v>135</v>
      </c>
      <c r="B452" s="96" t="s">
        <v>1694</v>
      </c>
      <c r="C452" s="96" t="s">
        <v>136</v>
      </c>
      <c r="D452" s="97">
        <v>2.57</v>
      </c>
      <c r="E452" s="98"/>
      <c r="F452" s="99">
        <v>0.0</v>
      </c>
      <c r="G452" s="100">
        <f t="shared" si="2"/>
        <v>0</v>
      </c>
    </row>
    <row r="453">
      <c r="A453" s="96" t="s">
        <v>1695</v>
      </c>
      <c r="B453" s="96" t="s">
        <v>1696</v>
      </c>
      <c r="C453" s="96" t="s">
        <v>1697</v>
      </c>
      <c r="D453" s="97">
        <v>2.81</v>
      </c>
      <c r="E453" s="98"/>
      <c r="F453" s="106"/>
      <c r="G453" s="100">
        <f t="shared" si="2"/>
        <v>0</v>
      </c>
    </row>
    <row r="454">
      <c r="A454" s="96" t="s">
        <v>1698</v>
      </c>
      <c r="B454" s="96" t="s">
        <v>1699</v>
      </c>
      <c r="C454" s="96" t="s">
        <v>1700</v>
      </c>
      <c r="D454" s="97">
        <v>1.59</v>
      </c>
      <c r="E454" s="98"/>
      <c r="F454" s="106"/>
      <c r="G454" s="100">
        <f t="shared" si="2"/>
        <v>0</v>
      </c>
    </row>
    <row r="455">
      <c r="A455" s="96" t="s">
        <v>1701</v>
      </c>
      <c r="B455" s="96" t="s">
        <v>1702</v>
      </c>
      <c r="C455" s="96" t="s">
        <v>1703</v>
      </c>
      <c r="D455" s="97">
        <v>1.77</v>
      </c>
      <c r="E455" s="98"/>
      <c r="F455" s="106"/>
      <c r="G455" s="100">
        <f t="shared" si="2"/>
        <v>0</v>
      </c>
    </row>
    <row r="456">
      <c r="A456" s="96" t="s">
        <v>1704</v>
      </c>
      <c r="B456" s="96" t="s">
        <v>1705</v>
      </c>
      <c r="C456" s="96" t="s">
        <v>1706</v>
      </c>
      <c r="D456" s="97">
        <v>1.93</v>
      </c>
      <c r="E456" s="98"/>
      <c r="F456" s="106"/>
      <c r="G456" s="100">
        <f t="shared" si="2"/>
        <v>0</v>
      </c>
    </row>
    <row r="457">
      <c r="A457" s="96" t="s">
        <v>1707</v>
      </c>
      <c r="B457" s="96" t="s">
        <v>1708</v>
      </c>
      <c r="C457" s="96" t="s">
        <v>1709</v>
      </c>
      <c r="D457" s="97">
        <v>2.1</v>
      </c>
      <c r="E457" s="98"/>
      <c r="F457" s="106"/>
      <c r="G457" s="100">
        <f t="shared" si="2"/>
        <v>0</v>
      </c>
    </row>
    <row r="458">
      <c r="A458" s="96" t="s">
        <v>140</v>
      </c>
      <c r="B458" s="96" t="s">
        <v>1710</v>
      </c>
      <c r="C458" s="96" t="s">
        <v>141</v>
      </c>
      <c r="D458" s="97">
        <v>2.48</v>
      </c>
      <c r="E458" s="98"/>
      <c r="F458" s="99">
        <v>3.0E-4</v>
      </c>
      <c r="G458" s="100">
        <f t="shared" si="2"/>
        <v>23.11575</v>
      </c>
    </row>
    <row r="459">
      <c r="A459" s="96" t="s">
        <v>145</v>
      </c>
      <c r="B459" s="96" t="s">
        <v>1711</v>
      </c>
      <c r="C459" s="96" t="s">
        <v>146</v>
      </c>
      <c r="D459" s="97">
        <v>3.73</v>
      </c>
      <c r="E459" s="98"/>
      <c r="F459" s="99">
        <v>3.0E-4</v>
      </c>
      <c r="G459" s="100">
        <f t="shared" si="2"/>
        <v>23.11575</v>
      </c>
    </row>
    <row r="460">
      <c r="A460" s="96" t="s">
        <v>150</v>
      </c>
      <c r="B460" s="96" t="s">
        <v>1712</v>
      </c>
      <c r="C460" s="96" t="s">
        <v>151</v>
      </c>
      <c r="D460" s="97">
        <v>1.95</v>
      </c>
      <c r="E460" s="98"/>
      <c r="F460" s="99">
        <v>2.0E-4</v>
      </c>
      <c r="G460" s="100">
        <f t="shared" si="2"/>
        <v>15.4105</v>
      </c>
    </row>
    <row r="461">
      <c r="A461" s="96" t="s">
        <v>113</v>
      </c>
      <c r="B461" s="96" t="s">
        <v>1713</v>
      </c>
      <c r="C461" s="96" t="s">
        <v>155</v>
      </c>
      <c r="D461" s="97">
        <v>28.09</v>
      </c>
      <c r="E461" s="98"/>
      <c r="F461" s="99">
        <v>0.0092</v>
      </c>
      <c r="G461" s="100">
        <f t="shared" si="2"/>
        <v>708.883</v>
      </c>
    </row>
    <row r="462">
      <c r="A462" s="96" t="s">
        <v>109</v>
      </c>
      <c r="B462" s="96" t="s">
        <v>1714</v>
      </c>
      <c r="C462" s="96" t="s">
        <v>160</v>
      </c>
      <c r="D462" s="97">
        <v>4.26</v>
      </c>
      <c r="E462" s="98"/>
      <c r="F462" s="99">
        <v>0.001</v>
      </c>
      <c r="G462" s="100">
        <f t="shared" si="2"/>
        <v>77.0525</v>
      </c>
    </row>
    <row r="463">
      <c r="A463" s="96" t="s">
        <v>164</v>
      </c>
      <c r="B463" s="96" t="s">
        <v>1715</v>
      </c>
      <c r="C463" s="96" t="s">
        <v>165</v>
      </c>
      <c r="D463" s="107">
        <v>4.9648</v>
      </c>
      <c r="E463" s="108"/>
      <c r="F463" s="109">
        <v>0.009</v>
      </c>
      <c r="G463" s="100">
        <f t="shared" si="2"/>
        <v>693.4725</v>
      </c>
      <c r="H463" s="110">
        <f>D463/8</f>
        <v>0.6206</v>
      </c>
      <c r="I463" s="111">
        <f>G463/8</f>
        <v>86.6840625</v>
      </c>
      <c r="J463" s="2" t="s">
        <v>176</v>
      </c>
    </row>
    <row r="464">
      <c r="A464" s="96" t="s">
        <v>170</v>
      </c>
      <c r="B464" s="96" t="s">
        <v>1716</v>
      </c>
      <c r="C464" s="96" t="s">
        <v>171</v>
      </c>
      <c r="D464" s="107">
        <v>4.9006</v>
      </c>
      <c r="E464" s="108"/>
      <c r="F464" s="109">
        <v>0.011</v>
      </c>
      <c r="G464" s="100">
        <f t="shared" si="2"/>
        <v>847.5775</v>
      </c>
      <c r="H464" s="110">
        <f>D464/12</f>
        <v>0.4083833333</v>
      </c>
      <c r="I464" s="111">
        <f>G464/12</f>
        <v>70.63145833</v>
      </c>
      <c r="J464" s="2" t="s">
        <v>177</v>
      </c>
    </row>
    <row r="465">
      <c r="A465" s="96" t="s">
        <v>178</v>
      </c>
      <c r="B465" s="96" t="s">
        <v>1717</v>
      </c>
      <c r="C465" s="96" t="s">
        <v>179</v>
      </c>
      <c r="D465" s="97">
        <v>2.0</v>
      </c>
      <c r="E465" s="98"/>
      <c r="F465" s="99">
        <v>0.001</v>
      </c>
      <c r="G465" s="100">
        <f t="shared" si="2"/>
        <v>77.0525</v>
      </c>
    </row>
    <row r="466">
      <c r="A466" s="96" t="s">
        <v>182</v>
      </c>
      <c r="B466" s="96" t="s">
        <v>1718</v>
      </c>
      <c r="C466" s="96" t="s">
        <v>183</v>
      </c>
      <c r="D466" s="97">
        <v>1.35</v>
      </c>
      <c r="E466" s="98"/>
      <c r="F466" s="99">
        <v>8.0E-4</v>
      </c>
      <c r="G466" s="100">
        <f t="shared" si="2"/>
        <v>61.642</v>
      </c>
    </row>
    <row r="467">
      <c r="A467" s="96" t="s">
        <v>186</v>
      </c>
      <c r="B467" s="96" t="s">
        <v>1719</v>
      </c>
      <c r="C467" s="96" t="s">
        <v>187</v>
      </c>
      <c r="D467" s="97">
        <v>2.06</v>
      </c>
      <c r="E467" s="98"/>
      <c r="F467" s="99">
        <v>3.0E-4</v>
      </c>
      <c r="G467" s="100">
        <f t="shared" si="2"/>
        <v>23.11575</v>
      </c>
    </row>
    <row r="468">
      <c r="A468" s="96" t="s">
        <v>192</v>
      </c>
      <c r="B468" s="96" t="s">
        <v>1720</v>
      </c>
      <c r="C468" s="96" t="s">
        <v>193</v>
      </c>
      <c r="D468" s="97">
        <v>1.88</v>
      </c>
      <c r="E468" s="98"/>
      <c r="F468" s="99">
        <v>3.0E-4</v>
      </c>
      <c r="G468" s="100">
        <f t="shared" si="2"/>
        <v>23.11575</v>
      </c>
    </row>
    <row r="469">
      <c r="A469" s="96" t="s">
        <v>197</v>
      </c>
      <c r="B469" s="96" t="s">
        <v>1721</v>
      </c>
      <c r="C469" s="96" t="s">
        <v>198</v>
      </c>
      <c r="D469" s="97">
        <v>2.85</v>
      </c>
      <c r="E469" s="98"/>
      <c r="F469" s="99">
        <v>8.0E-4</v>
      </c>
      <c r="G469" s="100">
        <f t="shared" si="2"/>
        <v>61.642</v>
      </c>
    </row>
    <row r="470">
      <c r="A470" s="96" t="s">
        <v>202</v>
      </c>
      <c r="B470" s="96" t="s">
        <v>1722</v>
      </c>
      <c r="C470" s="96" t="s">
        <v>203</v>
      </c>
      <c r="D470" s="97">
        <v>3.31</v>
      </c>
      <c r="E470" s="98"/>
      <c r="F470" s="99">
        <v>0.0011</v>
      </c>
      <c r="G470" s="100">
        <f t="shared" si="2"/>
        <v>84.75775</v>
      </c>
    </row>
    <row r="471">
      <c r="A471" s="96" t="s">
        <v>207</v>
      </c>
      <c r="B471" s="96" t="s">
        <v>1723</v>
      </c>
      <c r="C471" s="96" t="s">
        <v>208</v>
      </c>
      <c r="D471" s="97">
        <v>0.75</v>
      </c>
      <c r="E471" s="98"/>
      <c r="F471" s="99">
        <v>6.0E-4</v>
      </c>
      <c r="G471" s="100">
        <f t="shared" si="2"/>
        <v>46.2315</v>
      </c>
    </row>
    <row r="472">
      <c r="A472" s="96" t="s">
        <v>212</v>
      </c>
      <c r="B472" s="96" t="s">
        <v>1724</v>
      </c>
      <c r="C472" s="96" t="s">
        <v>213</v>
      </c>
      <c r="D472" s="97">
        <v>3.06</v>
      </c>
      <c r="E472" s="98"/>
      <c r="F472" s="99">
        <v>8.0E-4</v>
      </c>
      <c r="G472" s="100">
        <f t="shared" si="2"/>
        <v>61.642</v>
      </c>
    </row>
    <row r="473">
      <c r="A473" s="96" t="s">
        <v>217</v>
      </c>
      <c r="B473" s="96" t="s">
        <v>1725</v>
      </c>
      <c r="C473" s="96" t="s">
        <v>218</v>
      </c>
      <c r="D473" s="97">
        <v>1.6</v>
      </c>
      <c r="E473" s="98"/>
      <c r="F473" s="99">
        <v>9.0E-4</v>
      </c>
      <c r="G473" s="100">
        <f t="shared" si="2"/>
        <v>69.34725</v>
      </c>
    </row>
    <row r="474">
      <c r="A474" s="96" t="s">
        <v>1726</v>
      </c>
      <c r="B474" s="96" t="s">
        <v>1727</v>
      </c>
      <c r="C474" s="96" t="s">
        <v>1728</v>
      </c>
      <c r="D474" s="104">
        <v>0.19</v>
      </c>
      <c r="E474" s="98"/>
      <c r="F474" s="99">
        <v>0.0</v>
      </c>
      <c r="G474" s="100">
        <f t="shared" si="2"/>
        <v>0</v>
      </c>
    </row>
    <row r="475">
      <c r="A475" s="96" t="s">
        <v>223</v>
      </c>
      <c r="B475" s="96" t="s">
        <v>1729</v>
      </c>
      <c r="C475" s="96" t="s">
        <v>1730</v>
      </c>
      <c r="D475" s="104">
        <v>4.74</v>
      </c>
      <c r="E475" s="98"/>
      <c r="F475" s="99">
        <v>0.004</v>
      </c>
      <c r="G475" s="100">
        <f t="shared" si="2"/>
        <v>308.21</v>
      </c>
    </row>
    <row r="476">
      <c r="A476" s="96" t="s">
        <v>229</v>
      </c>
      <c r="B476" s="96" t="s">
        <v>1731</v>
      </c>
      <c r="C476" s="96" t="s">
        <v>230</v>
      </c>
      <c r="D476" s="104">
        <v>2.74</v>
      </c>
      <c r="E476" s="98"/>
      <c r="F476" s="99">
        <v>0.002</v>
      </c>
      <c r="G476" s="100">
        <f t="shared" si="2"/>
        <v>154.105</v>
      </c>
    </row>
    <row r="477">
      <c r="A477" s="96" t="s">
        <v>234</v>
      </c>
      <c r="B477" s="96" t="s">
        <v>1732</v>
      </c>
      <c r="C477" s="96" t="s">
        <v>235</v>
      </c>
      <c r="D477" s="104">
        <v>17.66</v>
      </c>
      <c r="E477" s="98"/>
      <c r="F477" s="99">
        <v>0.05</v>
      </c>
      <c r="G477" s="100">
        <f t="shared" si="2"/>
        <v>3852.625</v>
      </c>
    </row>
    <row r="478">
      <c r="A478" s="96" t="s">
        <v>240</v>
      </c>
      <c r="B478" s="96" t="s">
        <v>1733</v>
      </c>
      <c r="C478" s="96" t="s">
        <v>241</v>
      </c>
      <c r="D478" s="104">
        <v>2.45</v>
      </c>
      <c r="E478" s="98"/>
      <c r="F478" s="99">
        <v>0.002</v>
      </c>
      <c r="G478" s="100">
        <f t="shared" si="2"/>
        <v>154.105</v>
      </c>
    </row>
    <row r="479">
      <c r="A479" s="96" t="s">
        <v>246</v>
      </c>
      <c r="B479" s="96" t="s">
        <v>1734</v>
      </c>
      <c r="C479" s="96" t="s">
        <v>247</v>
      </c>
      <c r="D479" s="104">
        <v>3.82</v>
      </c>
      <c r="E479" s="98"/>
      <c r="F479" s="99">
        <v>0.001</v>
      </c>
      <c r="G479" s="100">
        <f t="shared" si="2"/>
        <v>77.0525</v>
      </c>
    </row>
    <row r="480">
      <c r="A480" s="96" t="s">
        <v>252</v>
      </c>
      <c r="B480" s="96" t="s">
        <v>1735</v>
      </c>
      <c r="C480" s="96" t="s">
        <v>253</v>
      </c>
      <c r="D480" s="104">
        <v>4.02</v>
      </c>
      <c r="E480" s="98"/>
      <c r="F480" s="99">
        <v>0.002</v>
      </c>
      <c r="G480" s="100">
        <f t="shared" si="2"/>
        <v>154.105</v>
      </c>
    </row>
    <row r="481">
      <c r="A481" s="96" t="s">
        <v>257</v>
      </c>
      <c r="B481" s="96" t="s">
        <v>1736</v>
      </c>
      <c r="C481" s="96" t="s">
        <v>258</v>
      </c>
      <c r="D481" s="104">
        <v>8.33</v>
      </c>
      <c r="E481" s="98"/>
      <c r="F481" s="99">
        <v>0.016</v>
      </c>
      <c r="G481" s="100">
        <f t="shared" si="2"/>
        <v>1232.84</v>
      </c>
    </row>
    <row r="482">
      <c r="A482" s="96" t="s">
        <v>263</v>
      </c>
      <c r="B482" s="96" t="s">
        <v>1737</v>
      </c>
      <c r="C482" s="96" t="s">
        <v>264</v>
      </c>
      <c r="D482" s="104">
        <v>6.8</v>
      </c>
      <c r="E482" s="98"/>
      <c r="F482" s="99">
        <v>0.0101</v>
      </c>
      <c r="G482" s="100">
        <f t="shared" si="2"/>
        <v>778.23025</v>
      </c>
    </row>
    <row r="483">
      <c r="A483" s="96" t="s">
        <v>268</v>
      </c>
      <c r="B483" s="96" t="s">
        <v>1738</v>
      </c>
      <c r="C483" s="96" t="s">
        <v>269</v>
      </c>
      <c r="D483" s="104">
        <v>41.0</v>
      </c>
      <c r="E483" s="98"/>
      <c r="F483" s="99">
        <v>0.047</v>
      </c>
      <c r="G483" s="100">
        <f t="shared" si="2"/>
        <v>3621.4675</v>
      </c>
    </row>
    <row r="484">
      <c r="A484" s="96" t="s">
        <v>274</v>
      </c>
      <c r="B484" s="96" t="s">
        <v>1739</v>
      </c>
      <c r="C484" s="96" t="s">
        <v>275</v>
      </c>
      <c r="D484" s="104">
        <v>45.0</v>
      </c>
      <c r="E484" s="98"/>
      <c r="F484" s="99">
        <v>0.0502</v>
      </c>
      <c r="G484" s="100">
        <f t="shared" si="2"/>
        <v>3868.0355</v>
      </c>
    </row>
    <row r="485">
      <c r="A485" s="96" t="s">
        <v>280</v>
      </c>
      <c r="B485" s="96" t="s">
        <v>1740</v>
      </c>
      <c r="C485" s="96" t="s">
        <v>281</v>
      </c>
      <c r="D485" s="104">
        <v>13.0</v>
      </c>
      <c r="E485" s="98"/>
      <c r="F485" s="99">
        <v>0.01</v>
      </c>
      <c r="G485" s="100">
        <f t="shared" si="2"/>
        <v>770.525</v>
      </c>
    </row>
    <row r="486">
      <c r="A486" s="96" t="s">
        <v>286</v>
      </c>
      <c r="B486" s="96" t="s">
        <v>1741</v>
      </c>
      <c r="C486" s="96" t="s">
        <v>287</v>
      </c>
      <c r="D486" s="104">
        <v>3.28</v>
      </c>
      <c r="E486" s="98"/>
      <c r="F486" s="99">
        <v>0.0066</v>
      </c>
      <c r="G486" s="100">
        <f t="shared" si="2"/>
        <v>508.5465</v>
      </c>
    </row>
    <row r="487">
      <c r="A487" s="96" t="s">
        <v>291</v>
      </c>
      <c r="B487" s="96" t="s">
        <v>1742</v>
      </c>
      <c r="C487" s="96" t="s">
        <v>292</v>
      </c>
      <c r="D487" s="104">
        <v>4.19</v>
      </c>
      <c r="E487" s="98"/>
      <c r="F487" s="99">
        <v>0.0024</v>
      </c>
      <c r="G487" s="100">
        <f t="shared" si="2"/>
        <v>184.926</v>
      </c>
    </row>
    <row r="488">
      <c r="A488" s="96" t="s">
        <v>296</v>
      </c>
      <c r="B488" s="96" t="s">
        <v>1743</v>
      </c>
      <c r="C488" s="96" t="s">
        <v>297</v>
      </c>
      <c r="D488" s="104">
        <v>6.65</v>
      </c>
      <c r="E488" s="98"/>
      <c r="F488" s="99">
        <v>0.0072</v>
      </c>
      <c r="G488" s="100">
        <f t="shared" si="2"/>
        <v>554.778</v>
      </c>
    </row>
    <row r="489">
      <c r="A489" s="96" t="s">
        <v>302</v>
      </c>
      <c r="B489" s="96" t="s">
        <v>1744</v>
      </c>
      <c r="C489" s="96" t="s">
        <v>303</v>
      </c>
      <c r="D489" s="104">
        <v>5.99</v>
      </c>
      <c r="E489" s="98"/>
      <c r="F489" s="99">
        <v>0.0075</v>
      </c>
      <c r="G489" s="100">
        <f t="shared" si="2"/>
        <v>577.89375</v>
      </c>
    </row>
    <row r="490">
      <c r="A490" s="96" t="s">
        <v>308</v>
      </c>
      <c r="B490" s="96" t="s">
        <v>1745</v>
      </c>
      <c r="C490" s="96" t="s">
        <v>309</v>
      </c>
      <c r="D490" s="104">
        <v>3.8</v>
      </c>
      <c r="E490" s="98"/>
      <c r="F490" s="99">
        <v>0.0044</v>
      </c>
      <c r="G490" s="100">
        <f t="shared" si="2"/>
        <v>339.031</v>
      </c>
    </row>
    <row r="491">
      <c r="A491" s="96" t="s">
        <v>314</v>
      </c>
      <c r="B491" s="96" t="s">
        <v>1746</v>
      </c>
      <c r="C491" s="96" t="s">
        <v>315</v>
      </c>
      <c r="D491" s="104">
        <v>3.2</v>
      </c>
      <c r="E491" s="98"/>
      <c r="F491" s="99">
        <v>0.0029</v>
      </c>
      <c r="G491" s="100">
        <f t="shared" si="2"/>
        <v>223.45225</v>
      </c>
    </row>
    <row r="492">
      <c r="A492" s="96" t="s">
        <v>319</v>
      </c>
      <c r="B492" s="96" t="s">
        <v>1747</v>
      </c>
      <c r="C492" s="96" t="s">
        <v>320</v>
      </c>
      <c r="D492" s="104">
        <v>3.79</v>
      </c>
      <c r="E492" s="98"/>
      <c r="F492" s="112">
        <v>0.0017</v>
      </c>
      <c r="G492" s="100">
        <f t="shared" si="2"/>
        <v>130.98925</v>
      </c>
    </row>
    <row r="493">
      <c r="A493" s="96" t="s">
        <v>325</v>
      </c>
      <c r="B493" s="96" t="s">
        <v>1748</v>
      </c>
      <c r="C493" s="96" t="s">
        <v>326</v>
      </c>
      <c r="D493" s="104">
        <v>5.62</v>
      </c>
      <c r="E493" s="98"/>
      <c r="F493" s="112">
        <v>0.0076</v>
      </c>
      <c r="G493" s="100">
        <f t="shared" si="2"/>
        <v>585.599</v>
      </c>
    </row>
    <row r="494">
      <c r="A494" s="96" t="s">
        <v>330</v>
      </c>
      <c r="B494" s="96" t="s">
        <v>1749</v>
      </c>
      <c r="C494" s="96" t="s">
        <v>331</v>
      </c>
      <c r="D494" s="104">
        <v>1.57</v>
      </c>
      <c r="E494" s="98"/>
      <c r="F494" s="112">
        <v>0.0023</v>
      </c>
      <c r="G494" s="100">
        <f t="shared" si="2"/>
        <v>177.22075</v>
      </c>
    </row>
    <row r="495">
      <c r="A495" s="96" t="s">
        <v>334</v>
      </c>
      <c r="B495" s="96" t="s">
        <v>1750</v>
      </c>
      <c r="C495" s="96" t="s">
        <v>335</v>
      </c>
      <c r="D495" s="104">
        <v>3.0</v>
      </c>
      <c r="E495" s="98"/>
      <c r="F495" s="112">
        <v>0.003</v>
      </c>
      <c r="G495" s="100">
        <f t="shared" si="2"/>
        <v>231.1575</v>
      </c>
    </row>
    <row r="496">
      <c r="A496" s="96" t="s">
        <v>339</v>
      </c>
      <c r="B496" s="96" t="s">
        <v>1751</v>
      </c>
      <c r="C496" s="96" t="s">
        <v>340</v>
      </c>
      <c r="D496" s="104">
        <v>5.96</v>
      </c>
      <c r="E496" s="98"/>
      <c r="F496" s="112">
        <v>0.011</v>
      </c>
      <c r="G496" s="100">
        <f t="shared" si="2"/>
        <v>847.5775</v>
      </c>
    </row>
    <row r="497">
      <c r="A497" s="96" t="s">
        <v>1752</v>
      </c>
      <c r="B497" s="96" t="s">
        <v>1753</v>
      </c>
      <c r="C497" s="96" t="s">
        <v>1754</v>
      </c>
      <c r="D497" s="104">
        <v>1.47</v>
      </c>
      <c r="E497" s="98"/>
      <c r="F497" s="112">
        <v>0.001</v>
      </c>
      <c r="G497" s="100">
        <f t="shared" si="2"/>
        <v>77.0525</v>
      </c>
    </row>
    <row r="498">
      <c r="A498" s="96" t="s">
        <v>1755</v>
      </c>
      <c r="B498" s="96" t="s">
        <v>1756</v>
      </c>
      <c r="C498" s="96" t="s">
        <v>1757</v>
      </c>
      <c r="D498" s="104">
        <v>1.29</v>
      </c>
      <c r="E498" s="98"/>
      <c r="F498" s="112">
        <v>0.001</v>
      </c>
      <c r="G498" s="100">
        <f t="shared" si="2"/>
        <v>77.0525</v>
      </c>
    </row>
    <row r="499">
      <c r="A499" s="96" t="s">
        <v>1758</v>
      </c>
      <c r="B499" s="96" t="s">
        <v>1759</v>
      </c>
      <c r="C499" s="96" t="s">
        <v>1760</v>
      </c>
      <c r="D499" s="104">
        <v>0.71</v>
      </c>
      <c r="E499" s="98"/>
      <c r="F499" s="112">
        <v>4.0E-4</v>
      </c>
      <c r="G499" s="100">
        <f t="shared" si="2"/>
        <v>30.821</v>
      </c>
    </row>
    <row r="500">
      <c r="A500" s="96" t="s">
        <v>1761</v>
      </c>
      <c r="B500" s="96" t="s">
        <v>1762</v>
      </c>
      <c r="C500" s="96" t="s">
        <v>1763</v>
      </c>
      <c r="D500" s="104">
        <v>3.2</v>
      </c>
      <c r="E500" s="98"/>
      <c r="F500" s="112">
        <v>0.0011</v>
      </c>
      <c r="G500" s="100">
        <f t="shared" si="2"/>
        <v>84.75775</v>
      </c>
    </row>
    <row r="501">
      <c r="A501" s="96" t="s">
        <v>1764</v>
      </c>
      <c r="B501" s="96" t="s">
        <v>1765</v>
      </c>
      <c r="C501" s="96" t="s">
        <v>1766</v>
      </c>
      <c r="D501" s="104">
        <v>0.79</v>
      </c>
      <c r="E501" s="98"/>
      <c r="F501" s="112">
        <v>8.0E-4</v>
      </c>
      <c r="G501" s="100">
        <f t="shared" si="2"/>
        <v>61.642</v>
      </c>
    </row>
    <row r="502">
      <c r="A502" s="96" t="s">
        <v>1767</v>
      </c>
      <c r="B502" s="96" t="s">
        <v>1768</v>
      </c>
      <c r="C502" s="96" t="s">
        <v>1769</v>
      </c>
      <c r="D502" s="104">
        <v>4.3</v>
      </c>
      <c r="E502" s="98"/>
      <c r="F502" s="112">
        <v>0.0025</v>
      </c>
      <c r="G502" s="100">
        <f t="shared" si="2"/>
        <v>192.63125</v>
      </c>
    </row>
    <row r="503">
      <c r="A503" s="96" t="s">
        <v>1770</v>
      </c>
      <c r="B503" s="96" t="s">
        <v>1771</v>
      </c>
      <c r="C503" s="96" t="s">
        <v>1772</v>
      </c>
      <c r="D503" s="104">
        <v>2.76</v>
      </c>
      <c r="E503" s="98"/>
      <c r="F503" s="112">
        <v>0.0036</v>
      </c>
      <c r="G503" s="100">
        <f t="shared" si="2"/>
        <v>277.389</v>
      </c>
    </row>
    <row r="504">
      <c r="A504" s="96" t="s">
        <v>1773</v>
      </c>
      <c r="B504" s="96" t="s">
        <v>1774</v>
      </c>
      <c r="C504" s="96" t="s">
        <v>1775</v>
      </c>
      <c r="D504" s="104">
        <v>0.74</v>
      </c>
      <c r="E504" s="98"/>
      <c r="F504" s="112">
        <v>2.0E-4</v>
      </c>
      <c r="G504" s="100">
        <f t="shared" si="2"/>
        <v>15.4105</v>
      </c>
    </row>
    <row r="505">
      <c r="A505" s="96" t="s">
        <v>1776</v>
      </c>
      <c r="B505" s="96" t="s">
        <v>1777</v>
      </c>
      <c r="C505" s="96" t="s">
        <v>1778</v>
      </c>
      <c r="D505" s="104">
        <v>0.39</v>
      </c>
      <c r="E505" s="98"/>
      <c r="F505" s="112">
        <v>2.0E-4</v>
      </c>
      <c r="G505" s="100">
        <f t="shared" si="2"/>
        <v>15.4105</v>
      </c>
    </row>
    <row r="506">
      <c r="A506" s="96" t="s">
        <v>1779</v>
      </c>
      <c r="B506" s="96" t="s">
        <v>1780</v>
      </c>
      <c r="C506" s="96" t="s">
        <v>1781</v>
      </c>
      <c r="D506" s="104">
        <v>24.13</v>
      </c>
      <c r="E506" s="98"/>
      <c r="F506" s="112">
        <v>0.0052</v>
      </c>
      <c r="G506" s="100">
        <f t="shared" si="2"/>
        <v>400.673</v>
      </c>
    </row>
    <row r="507">
      <c r="A507" s="96" t="s">
        <v>1782</v>
      </c>
      <c r="B507" s="96" t="s">
        <v>1783</v>
      </c>
      <c r="C507" s="96" t="s">
        <v>1784</v>
      </c>
      <c r="D507" s="104">
        <v>13.46</v>
      </c>
      <c r="E507" s="98"/>
      <c r="F507" s="112">
        <v>0.0051</v>
      </c>
      <c r="G507" s="100">
        <f t="shared" si="2"/>
        <v>392.96775</v>
      </c>
    </row>
    <row r="508">
      <c r="A508" s="96" t="s">
        <v>1785</v>
      </c>
      <c r="B508" s="96" t="s">
        <v>1786</v>
      </c>
      <c r="C508" s="96" t="s">
        <v>1787</v>
      </c>
      <c r="D508" s="104">
        <v>9.25</v>
      </c>
      <c r="E508" s="98"/>
      <c r="F508" s="112">
        <v>0.0068</v>
      </c>
      <c r="G508" s="100">
        <f t="shared" si="2"/>
        <v>523.957</v>
      </c>
    </row>
    <row r="509">
      <c r="A509" s="96" t="s">
        <v>1788</v>
      </c>
      <c r="B509" s="96" t="s">
        <v>1789</v>
      </c>
      <c r="C509" s="96" t="s">
        <v>1790</v>
      </c>
      <c r="D509" s="104">
        <v>19.18</v>
      </c>
      <c r="E509" s="98"/>
      <c r="F509" s="112">
        <v>0.0062</v>
      </c>
      <c r="G509" s="100">
        <f t="shared" si="2"/>
        <v>477.7255</v>
      </c>
    </row>
    <row r="510">
      <c r="A510" s="96" t="s">
        <v>1791</v>
      </c>
      <c r="B510" s="96" t="s">
        <v>1792</v>
      </c>
      <c r="C510" s="96" t="s">
        <v>1793</v>
      </c>
      <c r="D510" s="104">
        <v>14.21</v>
      </c>
      <c r="E510" s="98"/>
      <c r="F510" s="112">
        <v>0.0346</v>
      </c>
      <c r="G510" s="100">
        <f t="shared" si="2"/>
        <v>2666.0165</v>
      </c>
    </row>
    <row r="511">
      <c r="A511" s="96" t="s">
        <v>345</v>
      </c>
      <c r="B511" s="96" t="s">
        <v>1794</v>
      </c>
      <c r="C511" s="96" t="s">
        <v>346</v>
      </c>
      <c r="D511" s="104">
        <v>2.98</v>
      </c>
      <c r="E511" s="98"/>
      <c r="F511" s="112">
        <v>0.003</v>
      </c>
      <c r="G511" s="100">
        <f t="shared" si="2"/>
        <v>231.1575</v>
      </c>
    </row>
    <row r="512">
      <c r="A512" s="96" t="s">
        <v>350</v>
      </c>
      <c r="B512" s="96" t="s">
        <v>1795</v>
      </c>
      <c r="C512" s="96" t="s">
        <v>351</v>
      </c>
      <c r="D512" s="104">
        <v>4.11</v>
      </c>
      <c r="E512" s="98"/>
      <c r="F512" s="112">
        <v>3.0E-4</v>
      </c>
      <c r="G512" s="100">
        <f t="shared" si="2"/>
        <v>23.11575</v>
      </c>
    </row>
    <row r="513">
      <c r="A513" s="96" t="s">
        <v>356</v>
      </c>
      <c r="B513" s="96" t="s">
        <v>1796</v>
      </c>
      <c r="C513" s="96" t="s">
        <v>357</v>
      </c>
      <c r="D513" s="104">
        <v>7.04</v>
      </c>
      <c r="E513" s="98"/>
      <c r="F513" s="112">
        <v>5.0E-4</v>
      </c>
      <c r="G513" s="100">
        <f t="shared" si="2"/>
        <v>38.52625</v>
      </c>
    </row>
    <row r="514">
      <c r="A514" s="96" t="s">
        <v>361</v>
      </c>
      <c r="B514" s="96" t="s">
        <v>1797</v>
      </c>
      <c r="C514" s="96" t="s">
        <v>362</v>
      </c>
      <c r="D514" s="104">
        <v>2.82</v>
      </c>
      <c r="E514" s="98"/>
      <c r="F514" s="112">
        <v>0.0016</v>
      </c>
      <c r="G514" s="100">
        <f t="shared" si="2"/>
        <v>123.284</v>
      </c>
    </row>
    <row r="515">
      <c r="A515" s="96" t="s">
        <v>367</v>
      </c>
      <c r="B515" s="96" t="s">
        <v>1798</v>
      </c>
      <c r="C515" s="96" t="s">
        <v>368</v>
      </c>
      <c r="D515" s="104">
        <v>3.33</v>
      </c>
      <c r="E515" s="98"/>
      <c r="F515" s="112">
        <v>0.0019</v>
      </c>
      <c r="G515" s="100">
        <f t="shared" si="2"/>
        <v>146.39975</v>
      </c>
    </row>
    <row r="516">
      <c r="A516" s="96" t="s">
        <v>372</v>
      </c>
      <c r="B516" s="96" t="s">
        <v>1799</v>
      </c>
      <c r="C516" s="96" t="s">
        <v>1800</v>
      </c>
      <c r="D516" s="104">
        <v>4.42</v>
      </c>
      <c r="E516" s="98"/>
      <c r="F516" s="112">
        <v>0.02</v>
      </c>
      <c r="G516" s="100">
        <f t="shared" si="2"/>
        <v>1541.05</v>
      </c>
    </row>
    <row r="517">
      <c r="A517" s="96" t="s">
        <v>378</v>
      </c>
      <c r="B517" s="96" t="s">
        <v>1801</v>
      </c>
      <c r="C517" s="96" t="s">
        <v>379</v>
      </c>
      <c r="D517" s="104">
        <v>3.21</v>
      </c>
      <c r="E517" s="98"/>
      <c r="F517" s="112">
        <v>0.0047</v>
      </c>
      <c r="G517" s="100">
        <f t="shared" si="2"/>
        <v>362.14675</v>
      </c>
    </row>
    <row r="518">
      <c r="A518" s="96" t="s">
        <v>382</v>
      </c>
      <c r="B518" s="96" t="s">
        <v>382</v>
      </c>
      <c r="C518" s="96" t="s">
        <v>383</v>
      </c>
      <c r="D518" s="104">
        <v>1.532</v>
      </c>
      <c r="E518" s="98"/>
      <c r="F518" s="112">
        <v>0.0063</v>
      </c>
      <c r="G518" s="100">
        <f t="shared" si="2"/>
        <v>485.43075</v>
      </c>
    </row>
    <row r="519">
      <c r="A519" s="96" t="s">
        <v>387</v>
      </c>
      <c r="B519" s="96" t="s">
        <v>387</v>
      </c>
      <c r="C519" s="96" t="s">
        <v>388</v>
      </c>
      <c r="D519" s="104">
        <v>2.12</v>
      </c>
      <c r="E519" s="98"/>
      <c r="F519" s="112">
        <v>0.009</v>
      </c>
      <c r="G519" s="100">
        <f t="shared" si="2"/>
        <v>693.4725</v>
      </c>
    </row>
    <row r="520">
      <c r="A520" s="96" t="s">
        <v>391</v>
      </c>
      <c r="B520" s="96" t="s">
        <v>1802</v>
      </c>
      <c r="C520" s="96" t="s">
        <v>392</v>
      </c>
      <c r="D520" s="104">
        <v>5.98</v>
      </c>
      <c r="E520" s="98"/>
      <c r="F520" s="112">
        <v>0.0088</v>
      </c>
      <c r="G520" s="100">
        <f t="shared" si="2"/>
        <v>678.062</v>
      </c>
    </row>
    <row r="521">
      <c r="A521" s="96" t="s">
        <v>395</v>
      </c>
      <c r="B521" s="96" t="s">
        <v>1803</v>
      </c>
      <c r="C521" s="96" t="s">
        <v>396</v>
      </c>
      <c r="D521" s="104">
        <v>5.1</v>
      </c>
      <c r="E521" s="98"/>
      <c r="F521" s="112">
        <v>0.0055</v>
      </c>
      <c r="G521" s="100">
        <f t="shared" si="2"/>
        <v>423.78875</v>
      </c>
    </row>
    <row r="522">
      <c r="A522" s="96" t="s">
        <v>1804</v>
      </c>
      <c r="B522" s="96" t="s">
        <v>1804</v>
      </c>
      <c r="C522" s="96" t="s">
        <v>1805</v>
      </c>
      <c r="D522" s="104">
        <v>11.5</v>
      </c>
      <c r="E522" s="98"/>
      <c r="F522" s="112">
        <v>0.0121</v>
      </c>
      <c r="G522" s="100">
        <f t="shared" si="2"/>
        <v>932.33525</v>
      </c>
    </row>
    <row r="523">
      <c r="G523" s="89"/>
    </row>
    <row r="524">
      <c r="G524" s="89"/>
    </row>
    <row r="525">
      <c r="G525" s="89"/>
    </row>
    <row r="526">
      <c r="G526" s="89"/>
    </row>
    <row r="527">
      <c r="G527" s="89"/>
    </row>
    <row r="528">
      <c r="G528" s="89"/>
    </row>
    <row r="529">
      <c r="G529" s="89"/>
    </row>
    <row r="530">
      <c r="G530" s="89"/>
    </row>
    <row r="531">
      <c r="G531" s="89"/>
    </row>
    <row r="532">
      <c r="G532" s="89"/>
    </row>
    <row r="533">
      <c r="G533" s="89"/>
    </row>
    <row r="534">
      <c r="G534" s="89"/>
    </row>
    <row r="535">
      <c r="G535" s="89"/>
    </row>
    <row r="536">
      <c r="G536" s="89"/>
    </row>
    <row r="537">
      <c r="G537" s="89"/>
    </row>
    <row r="538">
      <c r="G538" s="89"/>
    </row>
    <row r="539">
      <c r="G539" s="89"/>
    </row>
    <row r="540">
      <c r="G540" s="89"/>
    </row>
    <row r="541">
      <c r="G541" s="89"/>
    </row>
    <row r="542">
      <c r="G542" s="89"/>
    </row>
    <row r="543">
      <c r="G543" s="89"/>
    </row>
    <row r="544">
      <c r="G544" s="89"/>
    </row>
    <row r="545">
      <c r="G545" s="89"/>
    </row>
    <row r="546">
      <c r="G546" s="89"/>
    </row>
    <row r="547">
      <c r="G547" s="89"/>
    </row>
    <row r="548">
      <c r="G548" s="89"/>
    </row>
    <row r="549">
      <c r="G549" s="89"/>
    </row>
    <row r="550">
      <c r="G550" s="89"/>
    </row>
    <row r="551">
      <c r="G551" s="89"/>
    </row>
    <row r="552">
      <c r="G552" s="89"/>
    </row>
    <row r="553">
      <c r="G553" s="89"/>
    </row>
    <row r="554">
      <c r="G554" s="89"/>
    </row>
    <row r="555">
      <c r="G555" s="89"/>
    </row>
    <row r="556">
      <c r="G556" s="89"/>
    </row>
    <row r="557">
      <c r="G557" s="89"/>
    </row>
    <row r="558">
      <c r="G558" s="89"/>
    </row>
    <row r="559">
      <c r="G559" s="89"/>
    </row>
    <row r="560">
      <c r="G560" s="89"/>
    </row>
    <row r="561">
      <c r="G561" s="89"/>
    </row>
    <row r="562">
      <c r="G562" s="89"/>
    </row>
    <row r="563">
      <c r="G563" s="89"/>
    </row>
    <row r="564">
      <c r="G564" s="89"/>
    </row>
    <row r="565">
      <c r="G565" s="89"/>
    </row>
    <row r="566">
      <c r="G566" s="89"/>
    </row>
    <row r="567">
      <c r="G567" s="89"/>
    </row>
    <row r="568">
      <c r="G568" s="89"/>
    </row>
    <row r="569">
      <c r="G569" s="89"/>
    </row>
    <row r="570">
      <c r="G570" s="89"/>
    </row>
    <row r="571">
      <c r="G571" s="89"/>
    </row>
    <row r="572">
      <c r="G572" s="89"/>
    </row>
    <row r="573">
      <c r="G573" s="89"/>
    </row>
    <row r="574">
      <c r="G574" s="89"/>
    </row>
    <row r="575">
      <c r="G575" s="89"/>
    </row>
    <row r="576">
      <c r="G576" s="89"/>
    </row>
    <row r="577">
      <c r="G577" s="89"/>
    </row>
    <row r="578">
      <c r="G578" s="89"/>
    </row>
    <row r="579">
      <c r="G579" s="89"/>
    </row>
    <row r="580">
      <c r="G580" s="89"/>
    </row>
    <row r="581">
      <c r="G581" s="89"/>
    </row>
    <row r="582">
      <c r="G582" s="89"/>
    </row>
    <row r="583">
      <c r="G583" s="89"/>
    </row>
    <row r="584">
      <c r="G584" s="89"/>
    </row>
    <row r="585">
      <c r="G585" s="89"/>
    </row>
    <row r="586">
      <c r="G586" s="89"/>
    </row>
    <row r="587">
      <c r="G587" s="89"/>
    </row>
    <row r="588">
      <c r="G588" s="89"/>
    </row>
    <row r="589">
      <c r="G589" s="89"/>
    </row>
    <row r="590">
      <c r="G590" s="89"/>
    </row>
    <row r="591">
      <c r="G591" s="89"/>
    </row>
    <row r="592">
      <c r="G592" s="89"/>
    </row>
    <row r="593">
      <c r="G593" s="89"/>
    </row>
    <row r="594">
      <c r="G594" s="89"/>
    </row>
    <row r="595">
      <c r="G595" s="89"/>
    </row>
    <row r="596">
      <c r="G596" s="89"/>
    </row>
    <row r="597">
      <c r="G597" s="89"/>
    </row>
    <row r="598">
      <c r="G598" s="89"/>
    </row>
    <row r="599">
      <c r="G599" s="89"/>
    </row>
    <row r="600">
      <c r="G600" s="89"/>
    </row>
    <row r="601">
      <c r="G601" s="89"/>
    </row>
    <row r="602">
      <c r="G602" s="89"/>
    </row>
    <row r="603">
      <c r="G603" s="89"/>
    </row>
    <row r="604">
      <c r="G604" s="89"/>
    </row>
    <row r="605">
      <c r="G605" s="89"/>
    </row>
    <row r="606">
      <c r="G606" s="89"/>
    </row>
    <row r="607">
      <c r="G607" s="89"/>
    </row>
    <row r="608">
      <c r="G608" s="89"/>
    </row>
    <row r="609">
      <c r="G609" s="89"/>
    </row>
    <row r="610">
      <c r="G610" s="89"/>
    </row>
    <row r="611">
      <c r="G611" s="89"/>
    </row>
    <row r="612">
      <c r="G612" s="89"/>
    </row>
    <row r="613">
      <c r="G613" s="89"/>
    </row>
    <row r="614">
      <c r="G614" s="89"/>
    </row>
    <row r="615">
      <c r="G615" s="89"/>
    </row>
    <row r="616">
      <c r="G616" s="89"/>
    </row>
    <row r="617">
      <c r="G617" s="89"/>
    </row>
    <row r="618">
      <c r="G618" s="89"/>
    </row>
    <row r="619">
      <c r="G619" s="89"/>
    </row>
    <row r="620">
      <c r="G620" s="89"/>
    </row>
    <row r="621">
      <c r="G621" s="89"/>
    </row>
    <row r="622">
      <c r="G622" s="89"/>
    </row>
    <row r="623">
      <c r="G623" s="89"/>
    </row>
    <row r="624">
      <c r="G624" s="89"/>
    </row>
    <row r="625">
      <c r="G625" s="89"/>
    </row>
    <row r="626">
      <c r="G626" s="89"/>
    </row>
    <row r="627">
      <c r="G627" s="89"/>
    </row>
    <row r="628">
      <c r="G628" s="89"/>
    </row>
    <row r="629">
      <c r="G629" s="89"/>
    </row>
    <row r="630">
      <c r="G630" s="89"/>
    </row>
    <row r="631">
      <c r="G631" s="89"/>
    </row>
    <row r="632">
      <c r="G632" s="89"/>
    </row>
    <row r="633">
      <c r="G633" s="89"/>
    </row>
    <row r="634">
      <c r="G634" s="89"/>
    </row>
    <row r="635">
      <c r="G635" s="89"/>
    </row>
    <row r="636">
      <c r="G636" s="89"/>
    </row>
    <row r="637">
      <c r="G637" s="89"/>
    </row>
    <row r="638">
      <c r="G638" s="89"/>
    </row>
    <row r="639">
      <c r="G639" s="89"/>
    </row>
    <row r="640">
      <c r="G640" s="89"/>
    </row>
    <row r="641">
      <c r="G641" s="89"/>
    </row>
    <row r="642">
      <c r="G642" s="89"/>
    </row>
    <row r="643">
      <c r="G643" s="89"/>
    </row>
    <row r="644">
      <c r="G644" s="89"/>
    </row>
    <row r="645">
      <c r="G645" s="89"/>
    </row>
    <row r="646">
      <c r="G646" s="89"/>
    </row>
    <row r="647">
      <c r="G647" s="89"/>
    </row>
    <row r="648">
      <c r="G648" s="89"/>
    </row>
    <row r="649">
      <c r="G649" s="89"/>
    </row>
    <row r="650">
      <c r="G650" s="89"/>
    </row>
    <row r="651">
      <c r="G651" s="89"/>
    </row>
    <row r="652">
      <c r="G652" s="89"/>
    </row>
    <row r="653">
      <c r="G653" s="89"/>
    </row>
    <row r="654">
      <c r="G654" s="89"/>
    </row>
    <row r="655">
      <c r="G655" s="89"/>
    </row>
    <row r="656">
      <c r="G656" s="89"/>
    </row>
    <row r="657">
      <c r="G657" s="89"/>
    </row>
    <row r="658">
      <c r="G658" s="89"/>
    </row>
    <row r="659">
      <c r="G659" s="89"/>
    </row>
    <row r="660">
      <c r="G660" s="89"/>
    </row>
    <row r="661">
      <c r="G661" s="89"/>
    </row>
    <row r="662">
      <c r="G662" s="89"/>
    </row>
    <row r="663">
      <c r="G663" s="89"/>
    </row>
    <row r="664">
      <c r="G664" s="89"/>
    </row>
    <row r="665">
      <c r="G665" s="89"/>
    </row>
    <row r="666">
      <c r="G666" s="89"/>
    </row>
    <row r="667">
      <c r="G667" s="89"/>
    </row>
    <row r="668">
      <c r="G668" s="89"/>
    </row>
    <row r="669">
      <c r="G669" s="89"/>
    </row>
    <row r="670">
      <c r="G670" s="89"/>
    </row>
    <row r="671">
      <c r="G671" s="89"/>
    </row>
    <row r="672">
      <c r="G672" s="89"/>
    </row>
    <row r="673">
      <c r="G673" s="89"/>
    </row>
    <row r="674">
      <c r="G674" s="89"/>
    </row>
    <row r="675">
      <c r="G675" s="89"/>
    </row>
    <row r="676">
      <c r="G676" s="89"/>
    </row>
    <row r="677">
      <c r="G677" s="89"/>
    </row>
    <row r="678">
      <c r="G678" s="89"/>
    </row>
    <row r="679">
      <c r="G679" s="89"/>
    </row>
    <row r="680">
      <c r="G680" s="89"/>
    </row>
    <row r="681">
      <c r="G681" s="89"/>
    </row>
    <row r="682">
      <c r="G682" s="89"/>
    </row>
    <row r="683">
      <c r="G683" s="89"/>
    </row>
    <row r="684">
      <c r="G684" s="89"/>
    </row>
    <row r="685">
      <c r="G685" s="89"/>
    </row>
    <row r="686">
      <c r="G686" s="89"/>
    </row>
    <row r="687">
      <c r="G687" s="89"/>
    </row>
    <row r="688">
      <c r="G688" s="89"/>
    </row>
    <row r="689">
      <c r="G689" s="89"/>
    </row>
    <row r="690">
      <c r="G690" s="89"/>
    </row>
    <row r="691">
      <c r="G691" s="89"/>
    </row>
    <row r="692">
      <c r="G692" s="89"/>
    </row>
    <row r="693">
      <c r="G693" s="89"/>
    </row>
    <row r="694">
      <c r="G694" s="89"/>
    </row>
    <row r="695">
      <c r="G695" s="89"/>
    </row>
    <row r="696">
      <c r="G696" s="89"/>
    </row>
    <row r="697">
      <c r="G697" s="89"/>
    </row>
    <row r="698">
      <c r="G698" s="89"/>
    </row>
    <row r="699">
      <c r="G699" s="89"/>
    </row>
    <row r="700">
      <c r="G700" s="89"/>
    </row>
    <row r="701">
      <c r="G701" s="89"/>
    </row>
    <row r="702">
      <c r="G702" s="89"/>
    </row>
    <row r="703">
      <c r="G703" s="89"/>
    </row>
    <row r="704">
      <c r="G704" s="89"/>
    </row>
    <row r="705">
      <c r="G705" s="89"/>
    </row>
    <row r="706">
      <c r="G706" s="89"/>
    </row>
    <row r="707">
      <c r="G707" s="89"/>
    </row>
    <row r="708">
      <c r="G708" s="89"/>
    </row>
    <row r="709">
      <c r="G709" s="89"/>
    </row>
    <row r="710">
      <c r="G710" s="89"/>
    </row>
    <row r="711">
      <c r="G711" s="89"/>
    </row>
    <row r="712">
      <c r="G712" s="89"/>
    </row>
    <row r="713">
      <c r="G713" s="89"/>
    </row>
    <row r="714">
      <c r="G714" s="89"/>
    </row>
    <row r="715">
      <c r="G715" s="89"/>
    </row>
    <row r="716">
      <c r="G716" s="89"/>
    </row>
    <row r="717">
      <c r="G717" s="89"/>
    </row>
    <row r="718">
      <c r="G718" s="89"/>
    </row>
    <row r="719">
      <c r="G719" s="89"/>
    </row>
    <row r="720">
      <c r="G720" s="89"/>
    </row>
    <row r="721">
      <c r="G721" s="89"/>
    </row>
    <row r="722">
      <c r="G722" s="89"/>
    </row>
    <row r="723">
      <c r="G723" s="89"/>
    </row>
    <row r="724">
      <c r="G724" s="89"/>
    </row>
    <row r="725">
      <c r="G725" s="89"/>
    </row>
    <row r="726">
      <c r="G726" s="89"/>
    </row>
    <row r="727">
      <c r="G727" s="89"/>
    </row>
    <row r="728">
      <c r="G728" s="89"/>
    </row>
    <row r="729">
      <c r="G729" s="89"/>
    </row>
    <row r="730">
      <c r="G730" s="89"/>
    </row>
    <row r="731">
      <c r="G731" s="89"/>
    </row>
    <row r="732">
      <c r="G732" s="89"/>
    </row>
    <row r="733">
      <c r="G733" s="89"/>
    </row>
    <row r="734">
      <c r="G734" s="89"/>
    </row>
    <row r="735">
      <c r="G735" s="89"/>
    </row>
    <row r="736">
      <c r="G736" s="89"/>
    </row>
    <row r="737">
      <c r="G737" s="89"/>
    </row>
    <row r="738">
      <c r="G738" s="89"/>
    </row>
    <row r="739">
      <c r="G739" s="89"/>
    </row>
    <row r="740">
      <c r="G740" s="89"/>
    </row>
    <row r="741">
      <c r="G741" s="89"/>
    </row>
    <row r="742">
      <c r="G742" s="89"/>
    </row>
    <row r="743">
      <c r="G743" s="89"/>
    </row>
    <row r="744">
      <c r="G744" s="89"/>
    </row>
    <row r="745">
      <c r="G745" s="89"/>
    </row>
    <row r="746">
      <c r="G746" s="89"/>
    </row>
    <row r="747">
      <c r="G747" s="89"/>
    </row>
    <row r="748">
      <c r="G748" s="89"/>
    </row>
    <row r="749">
      <c r="G749" s="89"/>
    </row>
    <row r="750">
      <c r="G750" s="89"/>
    </row>
    <row r="751">
      <c r="G751" s="89"/>
    </row>
    <row r="752">
      <c r="G752" s="89"/>
    </row>
    <row r="753">
      <c r="G753" s="89"/>
    </row>
    <row r="754">
      <c r="G754" s="89"/>
    </row>
    <row r="755">
      <c r="G755" s="89"/>
    </row>
    <row r="756">
      <c r="G756" s="89"/>
    </row>
    <row r="757">
      <c r="G757" s="89"/>
    </row>
    <row r="758">
      <c r="G758" s="89"/>
    </row>
    <row r="759">
      <c r="G759" s="89"/>
    </row>
    <row r="760">
      <c r="G760" s="89"/>
    </row>
    <row r="761">
      <c r="G761" s="89"/>
    </row>
    <row r="762">
      <c r="G762" s="89"/>
    </row>
    <row r="763">
      <c r="G763" s="89"/>
    </row>
    <row r="764">
      <c r="G764" s="89"/>
    </row>
    <row r="765">
      <c r="G765" s="89"/>
    </row>
    <row r="766">
      <c r="G766" s="89"/>
    </row>
    <row r="767">
      <c r="G767" s="89"/>
    </row>
    <row r="768">
      <c r="G768" s="89"/>
    </row>
    <row r="769">
      <c r="G769" s="89"/>
    </row>
    <row r="770">
      <c r="G770" s="89"/>
    </row>
    <row r="771">
      <c r="G771" s="89"/>
    </row>
    <row r="772">
      <c r="G772" s="89"/>
    </row>
    <row r="773">
      <c r="G773" s="89"/>
    </row>
    <row r="774">
      <c r="G774" s="89"/>
    </row>
    <row r="775">
      <c r="G775" s="89"/>
    </row>
    <row r="776">
      <c r="G776" s="89"/>
    </row>
    <row r="777">
      <c r="G777" s="89"/>
    </row>
    <row r="778">
      <c r="G778" s="89"/>
    </row>
    <row r="779">
      <c r="G779" s="89"/>
    </row>
    <row r="780">
      <c r="G780" s="89"/>
    </row>
    <row r="781">
      <c r="G781" s="89"/>
    </row>
    <row r="782">
      <c r="G782" s="89"/>
    </row>
    <row r="783">
      <c r="G783" s="89"/>
    </row>
    <row r="784">
      <c r="G784" s="89"/>
    </row>
    <row r="785">
      <c r="G785" s="89"/>
    </row>
    <row r="786">
      <c r="G786" s="89"/>
    </row>
    <row r="787">
      <c r="G787" s="89"/>
    </row>
    <row r="788">
      <c r="G788" s="89"/>
    </row>
    <row r="789">
      <c r="G789" s="89"/>
    </row>
    <row r="790">
      <c r="G790" s="89"/>
    </row>
    <row r="791">
      <c r="G791" s="89"/>
    </row>
    <row r="792">
      <c r="G792" s="89"/>
    </row>
    <row r="793">
      <c r="G793" s="89"/>
    </row>
    <row r="794">
      <c r="G794" s="89"/>
    </row>
    <row r="795">
      <c r="G795" s="89"/>
    </row>
    <row r="796">
      <c r="G796" s="89"/>
    </row>
    <row r="797">
      <c r="G797" s="89"/>
    </row>
    <row r="798">
      <c r="G798" s="89"/>
    </row>
    <row r="799">
      <c r="G799" s="89"/>
    </row>
    <row r="800">
      <c r="G800" s="89"/>
    </row>
    <row r="801">
      <c r="G801" s="89"/>
    </row>
    <row r="802">
      <c r="G802" s="89"/>
    </row>
    <row r="803">
      <c r="G803" s="89"/>
    </row>
    <row r="804">
      <c r="G804" s="89"/>
    </row>
    <row r="805">
      <c r="G805" s="89"/>
    </row>
    <row r="806">
      <c r="G806" s="89"/>
    </row>
    <row r="807">
      <c r="G807" s="89"/>
    </row>
    <row r="808">
      <c r="G808" s="89"/>
    </row>
    <row r="809">
      <c r="G809" s="89"/>
    </row>
    <row r="810">
      <c r="G810" s="89"/>
    </row>
    <row r="811">
      <c r="G811" s="89"/>
    </row>
    <row r="812">
      <c r="G812" s="89"/>
    </row>
    <row r="813">
      <c r="G813" s="89"/>
    </row>
    <row r="814">
      <c r="G814" s="89"/>
    </row>
    <row r="815">
      <c r="G815" s="89"/>
    </row>
    <row r="816">
      <c r="G816" s="89"/>
    </row>
    <row r="817">
      <c r="G817" s="89"/>
    </row>
    <row r="818">
      <c r="G818" s="89"/>
    </row>
    <row r="819">
      <c r="G819" s="89"/>
    </row>
    <row r="820">
      <c r="G820" s="89"/>
    </row>
    <row r="821">
      <c r="G821" s="89"/>
    </row>
    <row r="822">
      <c r="G822" s="89"/>
    </row>
    <row r="823">
      <c r="G823" s="89"/>
    </row>
    <row r="824">
      <c r="G824" s="89"/>
    </row>
    <row r="825">
      <c r="G825" s="89"/>
    </row>
    <row r="826">
      <c r="G826" s="89"/>
    </row>
    <row r="827">
      <c r="G827" s="89"/>
    </row>
    <row r="828">
      <c r="G828" s="89"/>
    </row>
    <row r="829">
      <c r="G829" s="89"/>
    </row>
    <row r="830">
      <c r="G830" s="89"/>
    </row>
    <row r="831">
      <c r="G831" s="89"/>
    </row>
    <row r="832">
      <c r="G832" s="89"/>
    </row>
    <row r="833">
      <c r="G833" s="89"/>
    </row>
    <row r="834">
      <c r="G834" s="89"/>
    </row>
    <row r="835">
      <c r="G835" s="89"/>
    </row>
    <row r="836">
      <c r="G836" s="89"/>
    </row>
    <row r="837">
      <c r="G837" s="89"/>
    </row>
    <row r="838">
      <c r="G838" s="89"/>
    </row>
    <row r="839">
      <c r="G839" s="89"/>
    </row>
    <row r="840">
      <c r="G840" s="89"/>
    </row>
    <row r="841">
      <c r="G841" s="89"/>
    </row>
    <row r="842">
      <c r="G842" s="89"/>
    </row>
    <row r="843">
      <c r="G843" s="89"/>
    </row>
    <row r="844">
      <c r="G844" s="89"/>
    </row>
    <row r="845">
      <c r="G845" s="89"/>
    </row>
    <row r="846">
      <c r="G846" s="89"/>
    </row>
    <row r="847">
      <c r="G847" s="89"/>
    </row>
    <row r="848">
      <c r="G848" s="89"/>
    </row>
    <row r="849">
      <c r="G849" s="89"/>
    </row>
    <row r="850">
      <c r="G850" s="89"/>
    </row>
    <row r="851">
      <c r="G851" s="89"/>
    </row>
    <row r="852">
      <c r="G852" s="89"/>
    </row>
    <row r="853">
      <c r="G853" s="89"/>
    </row>
    <row r="854">
      <c r="G854" s="89"/>
    </row>
    <row r="855">
      <c r="G855" s="89"/>
    </row>
    <row r="856">
      <c r="G856" s="89"/>
    </row>
    <row r="857">
      <c r="G857" s="89"/>
    </row>
    <row r="858">
      <c r="G858" s="89"/>
    </row>
    <row r="859">
      <c r="G859" s="89"/>
    </row>
    <row r="860">
      <c r="G860" s="89"/>
    </row>
    <row r="861">
      <c r="G861" s="89"/>
    </row>
    <row r="862">
      <c r="G862" s="89"/>
    </row>
    <row r="863">
      <c r="G863" s="89"/>
    </row>
    <row r="864">
      <c r="G864" s="89"/>
    </row>
    <row r="865">
      <c r="G865" s="89"/>
    </row>
    <row r="866">
      <c r="G866" s="89"/>
    </row>
    <row r="867">
      <c r="G867" s="89"/>
    </row>
    <row r="868">
      <c r="G868" s="89"/>
    </row>
    <row r="869">
      <c r="G869" s="89"/>
    </row>
    <row r="870">
      <c r="G870" s="89"/>
    </row>
    <row r="871">
      <c r="G871" s="89"/>
    </row>
    <row r="872">
      <c r="G872" s="89"/>
    </row>
    <row r="873">
      <c r="G873" s="89"/>
    </row>
    <row r="874">
      <c r="G874" s="89"/>
    </row>
    <row r="875">
      <c r="G875" s="89"/>
    </row>
    <row r="876">
      <c r="G876" s="89"/>
    </row>
    <row r="877">
      <c r="G877" s="89"/>
    </row>
    <row r="878">
      <c r="G878" s="89"/>
    </row>
    <row r="879">
      <c r="G879" s="89"/>
    </row>
    <row r="880">
      <c r="G880" s="89"/>
    </row>
    <row r="881">
      <c r="G881" s="89"/>
    </row>
    <row r="882">
      <c r="G882" s="89"/>
    </row>
    <row r="883">
      <c r="G883" s="89"/>
    </row>
    <row r="884">
      <c r="G884" s="89"/>
    </row>
    <row r="885">
      <c r="G885" s="89"/>
    </row>
    <row r="886">
      <c r="G886" s="89"/>
    </row>
    <row r="887">
      <c r="G887" s="89"/>
    </row>
    <row r="888">
      <c r="G888" s="89"/>
    </row>
    <row r="889">
      <c r="G889" s="89"/>
    </row>
    <row r="890">
      <c r="G890" s="89"/>
    </row>
    <row r="891">
      <c r="G891" s="89"/>
    </row>
    <row r="892">
      <c r="G892" s="89"/>
    </row>
    <row r="893">
      <c r="G893" s="89"/>
    </row>
    <row r="894">
      <c r="G894" s="89"/>
    </row>
    <row r="895">
      <c r="G895" s="89"/>
    </row>
    <row r="896">
      <c r="G896" s="89"/>
    </row>
    <row r="897">
      <c r="G897" s="89"/>
    </row>
    <row r="898">
      <c r="G898" s="89"/>
    </row>
    <row r="899">
      <c r="G899" s="89"/>
    </row>
    <row r="900">
      <c r="G900" s="89"/>
    </row>
    <row r="901">
      <c r="G901" s="89"/>
    </row>
    <row r="902">
      <c r="G902" s="89"/>
    </row>
    <row r="903">
      <c r="G903" s="89"/>
    </row>
    <row r="904">
      <c r="G904" s="89"/>
    </row>
    <row r="905">
      <c r="G905" s="89"/>
    </row>
    <row r="906">
      <c r="G906" s="89"/>
    </row>
    <row r="907">
      <c r="G907" s="89"/>
    </row>
    <row r="908">
      <c r="G908" s="89"/>
    </row>
    <row r="909">
      <c r="G909" s="89"/>
    </row>
    <row r="910">
      <c r="G910" s="89"/>
    </row>
    <row r="911">
      <c r="G911" s="89"/>
    </row>
    <row r="912">
      <c r="G912" s="89"/>
    </row>
    <row r="913">
      <c r="G913" s="89"/>
    </row>
    <row r="914">
      <c r="G914" s="89"/>
    </row>
    <row r="915">
      <c r="G915" s="89"/>
    </row>
    <row r="916">
      <c r="G916" s="89"/>
    </row>
    <row r="917">
      <c r="G917" s="89"/>
    </row>
    <row r="918">
      <c r="G918" s="89"/>
    </row>
    <row r="919">
      <c r="G919" s="89"/>
    </row>
    <row r="920">
      <c r="G920" s="89"/>
    </row>
    <row r="921">
      <c r="G921" s="89"/>
    </row>
    <row r="922">
      <c r="G922" s="89"/>
    </row>
    <row r="923">
      <c r="G923" s="89"/>
    </row>
    <row r="924">
      <c r="G924" s="89"/>
    </row>
    <row r="925">
      <c r="G925" s="89"/>
    </row>
    <row r="926">
      <c r="G926" s="89"/>
    </row>
    <row r="927">
      <c r="G927" s="89"/>
    </row>
    <row r="928">
      <c r="G928" s="89"/>
    </row>
    <row r="929">
      <c r="G929" s="89"/>
    </row>
    <row r="930">
      <c r="G930" s="89"/>
    </row>
    <row r="931">
      <c r="G931" s="89"/>
    </row>
    <row r="932">
      <c r="G932" s="89"/>
    </row>
    <row r="933">
      <c r="G933" s="89"/>
    </row>
    <row r="934">
      <c r="G934" s="89"/>
    </row>
    <row r="935">
      <c r="G935" s="89"/>
    </row>
    <row r="936">
      <c r="G936" s="89"/>
    </row>
    <row r="937">
      <c r="G937" s="89"/>
    </row>
    <row r="938">
      <c r="G938" s="89"/>
    </row>
    <row r="939">
      <c r="G939" s="89"/>
    </row>
    <row r="940">
      <c r="G940" s="89"/>
    </row>
    <row r="941">
      <c r="G941" s="89"/>
    </row>
    <row r="942">
      <c r="G942" s="89"/>
    </row>
    <row r="943">
      <c r="G943" s="89"/>
    </row>
    <row r="944">
      <c r="G944" s="89"/>
    </row>
    <row r="945">
      <c r="G945" s="89"/>
    </row>
    <row r="946">
      <c r="G946" s="89"/>
    </row>
    <row r="947">
      <c r="G947" s="89"/>
    </row>
    <row r="948">
      <c r="G948" s="89"/>
    </row>
    <row r="949">
      <c r="G949" s="89"/>
    </row>
    <row r="950">
      <c r="G950" s="89"/>
    </row>
    <row r="951">
      <c r="G951" s="89"/>
    </row>
    <row r="952">
      <c r="G952" s="89"/>
    </row>
    <row r="953">
      <c r="G953" s="89"/>
    </row>
    <row r="954">
      <c r="G954" s="89"/>
    </row>
    <row r="955">
      <c r="G955" s="89"/>
    </row>
    <row r="956">
      <c r="G956" s="89"/>
    </row>
    <row r="957">
      <c r="G957" s="89"/>
    </row>
    <row r="958">
      <c r="G958" s="89"/>
    </row>
    <row r="959">
      <c r="G959" s="89"/>
    </row>
    <row r="960">
      <c r="G960" s="89"/>
    </row>
    <row r="961">
      <c r="G961" s="89"/>
    </row>
    <row r="962">
      <c r="G962" s="89"/>
    </row>
    <row r="963">
      <c r="G963" s="89"/>
    </row>
    <row r="964">
      <c r="G964" s="89"/>
    </row>
    <row r="965">
      <c r="G965" s="89"/>
    </row>
    <row r="966">
      <c r="G966" s="89"/>
    </row>
    <row r="967">
      <c r="G967" s="89"/>
    </row>
    <row r="968">
      <c r="G968" s="89"/>
    </row>
    <row r="969">
      <c r="G969" s="89"/>
    </row>
    <row r="970">
      <c r="G970" s="89"/>
    </row>
    <row r="971">
      <c r="G971" s="89"/>
    </row>
    <row r="972">
      <c r="G972" s="89"/>
    </row>
    <row r="973">
      <c r="G973" s="89"/>
    </row>
    <row r="974">
      <c r="G974" s="89"/>
    </row>
    <row r="975">
      <c r="G975" s="89"/>
    </row>
    <row r="976">
      <c r="G976" s="89"/>
    </row>
    <row r="977">
      <c r="G977" s="89"/>
    </row>
    <row r="978">
      <c r="G978" s="89"/>
    </row>
    <row r="979">
      <c r="G979" s="89"/>
    </row>
    <row r="980">
      <c r="G980" s="89"/>
    </row>
    <row r="981">
      <c r="G981" s="89"/>
    </row>
    <row r="982">
      <c r="G982" s="89"/>
    </row>
    <row r="983">
      <c r="G983" s="89"/>
    </row>
    <row r="984">
      <c r="G984" s="89"/>
    </row>
    <row r="985">
      <c r="G985" s="89"/>
    </row>
    <row r="986">
      <c r="G986" s="89"/>
    </row>
    <row r="987">
      <c r="G987" s="89"/>
    </row>
    <row r="988">
      <c r="G988" s="89"/>
    </row>
    <row r="989">
      <c r="G989" s="89"/>
    </row>
    <row r="990">
      <c r="G990" s="89"/>
    </row>
    <row r="991">
      <c r="G991" s="89"/>
    </row>
    <row r="992">
      <c r="G992" s="89"/>
    </row>
    <row r="993">
      <c r="G993" s="89"/>
    </row>
    <row r="994">
      <c r="G994" s="89"/>
    </row>
    <row r="995">
      <c r="G995" s="89"/>
    </row>
    <row r="996">
      <c r="G996" s="89"/>
    </row>
    <row r="997">
      <c r="G997" s="89"/>
    </row>
    <row r="998">
      <c r="G998" s="89"/>
    </row>
    <row r="999">
      <c r="G999" s="89"/>
    </row>
    <row r="1000">
      <c r="G1000" s="89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3" t="s">
        <v>1806</v>
      </c>
      <c r="B1" s="114" t="s">
        <v>1807</v>
      </c>
      <c r="C1" s="114" t="s">
        <v>1808</v>
      </c>
      <c r="D1" s="114" t="s">
        <v>1809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>
      <c r="A2" s="116">
        <v>0.3</v>
      </c>
      <c r="B2" s="117">
        <v>800.0</v>
      </c>
      <c r="C2" s="117">
        <v>1000.0</v>
      </c>
      <c r="D2" s="117">
        <v>3050.0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8">
        <v>0.5</v>
      </c>
      <c r="B3" s="119">
        <v>810.0</v>
      </c>
      <c r="C3" s="119">
        <v>1020.0</v>
      </c>
      <c r="D3" s="119">
        <v>3150.0</v>
      </c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16">
        <v>1.0</v>
      </c>
      <c r="B4" s="117">
        <v>830.0</v>
      </c>
      <c r="C4" s="117">
        <v>1040.0</v>
      </c>
      <c r="D4" s="117">
        <v>3250.0</v>
      </c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>
      <c r="A5" s="118">
        <v>1.5</v>
      </c>
      <c r="B5" s="119">
        <v>850.0</v>
      </c>
      <c r="C5" s="119">
        <v>1060.0</v>
      </c>
      <c r="D5" s="119">
        <v>3400.0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6">
        <v>2.0</v>
      </c>
      <c r="B6" s="117">
        <v>870.0</v>
      </c>
      <c r="C6" s="117">
        <v>1080.0</v>
      </c>
      <c r="D6" s="117">
        <v>3600.0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18">
        <v>3.0</v>
      </c>
      <c r="B7" s="119">
        <v>900.0</v>
      </c>
      <c r="C7" s="119">
        <v>1100.0</v>
      </c>
      <c r="D7" s="119">
        <v>3950.0</v>
      </c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16">
        <v>4.0</v>
      </c>
      <c r="B8" s="117">
        <v>1040.0</v>
      </c>
      <c r="C8" s="117">
        <v>1280.0</v>
      </c>
      <c r="D8" s="117">
        <v>4550.0</v>
      </c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18">
        <v>5.0</v>
      </c>
      <c r="B9" s="119">
        <v>1180.0</v>
      </c>
      <c r="C9" s="119">
        <v>1460.0</v>
      </c>
      <c r="D9" s="119">
        <v>4900.0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16">
        <v>6.0</v>
      </c>
      <c r="B10" s="117">
        <v>1330.0</v>
      </c>
      <c r="C10" s="117">
        <v>1640.0</v>
      </c>
      <c r="D10" s="117">
        <v>5200.0</v>
      </c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8">
        <v>8.0</v>
      </c>
      <c r="B11" s="119">
        <v>1470.0</v>
      </c>
      <c r="C11" s="119">
        <v>1820.0</v>
      </c>
      <c r="D11" s="119">
        <v>5800.0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16">
        <v>10.0</v>
      </c>
      <c r="B12" s="117">
        <v>1590.0</v>
      </c>
      <c r="C12" s="117">
        <v>1990.0</v>
      </c>
      <c r="D12" s="117">
        <v>6200.0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18">
        <v>15.0</v>
      </c>
      <c r="B13" s="119">
        <v>1740.0</v>
      </c>
      <c r="C13" s="119">
        <v>2290.0</v>
      </c>
      <c r="D13" s="119">
        <v>7200.0</v>
      </c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16">
        <v>20.0</v>
      </c>
      <c r="B14" s="117">
        <v>1890.0</v>
      </c>
      <c r="C14" s="117">
        <v>2590.0</v>
      </c>
      <c r="D14" s="117">
        <v>8500.0</v>
      </c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18">
        <v>25.0</v>
      </c>
      <c r="B15" s="119">
        <v>2040.0</v>
      </c>
      <c r="C15" s="119">
        <v>2890.0</v>
      </c>
      <c r="D15" s="119">
        <v>10000.0</v>
      </c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16">
        <v>30.0</v>
      </c>
      <c r="B16" s="117">
        <v>2190.0</v>
      </c>
      <c r="C16" s="117">
        <v>3190.0</v>
      </c>
      <c r="D16" s="117">
        <v>13050.0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18">
        <v>40.0</v>
      </c>
      <c r="B17" s="119">
        <v>2390.0</v>
      </c>
      <c r="C17" s="119">
        <v>3590.0</v>
      </c>
      <c r="D17" s="119">
        <v>15000.0</v>
      </c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16">
        <v>50.0</v>
      </c>
      <c r="B18" s="117">
        <v>2590.0</v>
      </c>
      <c r="C18" s="117">
        <v>3990.0</v>
      </c>
      <c r="D18" s="117">
        <v>17300.0</v>
      </c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18">
        <v>60.0</v>
      </c>
      <c r="B19" s="119">
        <v>2790.0</v>
      </c>
      <c r="C19" s="119">
        <v>4390.0</v>
      </c>
      <c r="D19" s="119">
        <v>19000.0</v>
      </c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16">
        <v>70.0</v>
      </c>
      <c r="B20" s="117">
        <v>2990.0</v>
      </c>
      <c r="C20" s="117">
        <v>4790.0</v>
      </c>
      <c r="D20" s="117">
        <v>20000.0</v>
      </c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18">
        <v>80.0</v>
      </c>
      <c r="B21" s="119">
        <v>3190.0</v>
      </c>
      <c r="C21" s="119">
        <v>5190.0</v>
      </c>
      <c r="D21" s="119">
        <v>22300.0</v>
      </c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16">
        <v>90.0</v>
      </c>
      <c r="B22" s="117">
        <v>3390.0</v>
      </c>
      <c r="C22" s="117">
        <v>5590.0</v>
      </c>
      <c r="D22" s="117">
        <v>24200.0</v>
      </c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>
        <v>100.0</v>
      </c>
      <c r="B23" s="119">
        <v>3590.0</v>
      </c>
      <c r="C23" s="119">
        <v>5990.0</v>
      </c>
      <c r="D23" s="119">
        <v>26300.0</v>
      </c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16">
        <v>110.0</v>
      </c>
      <c r="B24" s="117">
        <v>3790.0</v>
      </c>
      <c r="C24" s="117">
        <v>6390.0</v>
      </c>
      <c r="D24" s="117">
        <v>28400.0</v>
      </c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18">
        <v>120.0</v>
      </c>
      <c r="B25" s="119">
        <v>3990.0</v>
      </c>
      <c r="C25" s="119">
        <v>6790.0</v>
      </c>
      <c r="D25" s="119">
        <v>31600.0</v>
      </c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16">
        <v>130.0</v>
      </c>
      <c r="B26" s="117">
        <v>4190.0</v>
      </c>
      <c r="C26" s="117">
        <v>7190.0</v>
      </c>
      <c r="D26" s="117">
        <v>34900.0</v>
      </c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118">
        <v>140.0</v>
      </c>
      <c r="B27" s="119">
        <v>4390.0</v>
      </c>
      <c r="C27" s="119">
        <v>7590.0</v>
      </c>
      <c r="D27" s="119">
        <v>38400.0</v>
      </c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16">
        <v>150.0</v>
      </c>
      <c r="B28" s="117">
        <v>4590.0</v>
      </c>
      <c r="C28" s="117">
        <v>7990.0</v>
      </c>
      <c r="D28" s="117">
        <v>41600.0</v>
      </c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18">
        <v>175.0</v>
      </c>
      <c r="B29" s="119">
        <v>4790.0</v>
      </c>
      <c r="C29" s="119">
        <v>8390.0</v>
      </c>
      <c r="D29" s="119">
        <v>47400.0</v>
      </c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16">
        <v>200.0</v>
      </c>
      <c r="B30" s="117">
        <v>4990.0</v>
      </c>
      <c r="C30" s="117">
        <v>8790.0</v>
      </c>
      <c r="D30" s="117">
        <v>55600.0</v>
      </c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18">
        <v>225.0</v>
      </c>
      <c r="B31" s="119">
        <v>5190.0</v>
      </c>
      <c r="C31" s="119">
        <v>9190.0</v>
      </c>
      <c r="D31" s="119">
        <v>63900.0</v>
      </c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16">
        <v>250.0</v>
      </c>
      <c r="B32" s="117">
        <v>5390.0</v>
      </c>
      <c r="C32" s="117">
        <v>9590.0</v>
      </c>
      <c r="D32" s="117">
        <v>70900.0</v>
      </c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>
        <v>275.0</v>
      </c>
      <c r="B33" s="119">
        <v>5590.0</v>
      </c>
      <c r="C33" s="119">
        <v>9990.0</v>
      </c>
      <c r="D33" s="119">
        <v>78400.0</v>
      </c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16">
        <v>300.0</v>
      </c>
      <c r="B34" s="117">
        <v>5790.0</v>
      </c>
      <c r="C34" s="117">
        <v>10390.0</v>
      </c>
      <c r="D34" s="117">
        <v>85900.0</v>
      </c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8">
        <v>1000.0</v>
      </c>
      <c r="B35" s="119">
        <v>5990.0</v>
      </c>
      <c r="C35" s="119">
        <v>10990.0</v>
      </c>
      <c r="D35" s="119">
        <v>93400.0</v>
      </c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20" t="s">
        <v>1810</v>
      </c>
      <c r="E39" s="121" t="s">
        <v>1811</v>
      </c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3.63"/>
    <col customWidth="1" min="15" max="15" width="22.88"/>
  </cols>
  <sheetData>
    <row r="1">
      <c r="A1" s="122" t="s">
        <v>54</v>
      </c>
      <c r="B1" s="122" t="s">
        <v>1812</v>
      </c>
      <c r="C1" s="122" t="s">
        <v>1813</v>
      </c>
      <c r="D1" s="122" t="s">
        <v>1814</v>
      </c>
      <c r="E1" s="122" t="s">
        <v>1815</v>
      </c>
      <c r="F1" s="122" t="s">
        <v>1816</v>
      </c>
      <c r="G1" s="122" t="s">
        <v>1817</v>
      </c>
      <c r="H1" s="122" t="s">
        <v>1818</v>
      </c>
      <c r="I1" s="122" t="s">
        <v>1819</v>
      </c>
      <c r="J1" s="122" t="s">
        <v>1820</v>
      </c>
      <c r="K1" s="122" t="s">
        <v>1821</v>
      </c>
      <c r="L1" s="122" t="s">
        <v>1822</v>
      </c>
      <c r="N1" s="123" t="s">
        <v>1823</v>
      </c>
      <c r="O1" s="124" t="str">
        <f>LET(numSem, VALUE(RIGHT(J1, LEN(J1)-1)), fecha, DATE(2026, 1, 1) + (numSem * 7) - 7, CHOOSE(INT((DAY(fecha)-1)/7)+1, "Primera", "Segunda", "Tercera", "Cuarta", "Quinta") &amp; " semana de " &amp; TEXT(fecha, "mmmm"))</f>
        <v>Cuarta semana de abril</v>
      </c>
    </row>
    <row r="2">
      <c r="A2" s="122" t="s">
        <v>462</v>
      </c>
      <c r="B2" s="122" t="s">
        <v>464</v>
      </c>
      <c r="C2" s="122" t="s">
        <v>1824</v>
      </c>
      <c r="D2" s="125">
        <v>130.0</v>
      </c>
      <c r="E2" s="125">
        <v>90.0</v>
      </c>
      <c r="F2" s="125">
        <v>105.0</v>
      </c>
      <c r="G2" s="125">
        <v>151.0</v>
      </c>
      <c r="H2" s="125">
        <v>53.0</v>
      </c>
      <c r="I2" s="125">
        <v>92.0</v>
      </c>
      <c r="J2" s="125">
        <v>4.0</v>
      </c>
      <c r="K2" s="125">
        <v>98.0</v>
      </c>
      <c r="L2" s="125">
        <v>2238.0</v>
      </c>
    </row>
    <row r="3">
      <c r="A3" s="122" t="s">
        <v>897</v>
      </c>
      <c r="B3" s="122" t="s">
        <v>899</v>
      </c>
      <c r="C3" s="122" t="s">
        <v>1825</v>
      </c>
      <c r="D3" s="125">
        <v>30.0</v>
      </c>
      <c r="E3" s="125">
        <v>9.0</v>
      </c>
      <c r="F3" s="125">
        <v>21.0</v>
      </c>
      <c r="G3" s="125">
        <v>18.0</v>
      </c>
      <c r="H3" s="125">
        <v>18.0</v>
      </c>
      <c r="I3" s="125">
        <v>12.0</v>
      </c>
      <c r="J3" s="125">
        <v>0.0</v>
      </c>
      <c r="K3" s="125">
        <v>16.0</v>
      </c>
      <c r="L3" s="125">
        <v>468.0</v>
      </c>
      <c r="N3" s="2" t="s">
        <v>1826</v>
      </c>
      <c r="O3" s="2" t="s">
        <v>1827</v>
      </c>
    </row>
    <row r="4">
      <c r="A4" s="122" t="s">
        <v>804</v>
      </c>
      <c r="B4" s="122" t="s">
        <v>1828</v>
      </c>
      <c r="C4" s="122" t="s">
        <v>1829</v>
      </c>
      <c r="D4" s="125">
        <v>6.0</v>
      </c>
      <c r="E4" s="125">
        <v>0.0</v>
      </c>
      <c r="F4" s="125">
        <v>0.0</v>
      </c>
      <c r="G4" s="125">
        <v>0.0</v>
      </c>
      <c r="H4" s="125">
        <v>0.0</v>
      </c>
      <c r="I4" s="125">
        <v>0.0</v>
      </c>
      <c r="J4" s="125">
        <v>0.0</v>
      </c>
      <c r="K4" s="125">
        <v>0.0</v>
      </c>
      <c r="L4" s="125">
        <v>0.0</v>
      </c>
    </row>
    <row r="5">
      <c r="A5" s="122" t="s">
        <v>807</v>
      </c>
      <c r="B5" s="122" t="s">
        <v>1830</v>
      </c>
      <c r="C5" s="122" t="s">
        <v>1831</v>
      </c>
      <c r="D5" s="125">
        <v>5.0</v>
      </c>
      <c r="E5" s="125">
        <v>0.0</v>
      </c>
      <c r="F5" s="125">
        <v>0.0</v>
      </c>
      <c r="G5" s="125">
        <v>0.0</v>
      </c>
      <c r="H5" s="125">
        <v>0.0</v>
      </c>
      <c r="I5" s="125">
        <v>0.0</v>
      </c>
      <c r="J5" s="125">
        <v>0.0</v>
      </c>
      <c r="K5" s="125">
        <v>0.0</v>
      </c>
      <c r="L5" s="125">
        <v>0.0</v>
      </c>
    </row>
    <row r="6">
      <c r="A6" s="122" t="s">
        <v>759</v>
      </c>
      <c r="B6" s="122" t="s">
        <v>761</v>
      </c>
      <c r="C6" s="122" t="s">
        <v>1825</v>
      </c>
      <c r="D6" s="125">
        <v>4.0</v>
      </c>
      <c r="E6" s="125">
        <v>4.0</v>
      </c>
      <c r="F6" s="125">
        <v>2.0</v>
      </c>
      <c r="G6" s="125">
        <v>2.0</v>
      </c>
      <c r="H6" s="125">
        <v>2.0</v>
      </c>
      <c r="I6" s="125">
        <v>0.0</v>
      </c>
      <c r="J6" s="125">
        <v>0.0</v>
      </c>
      <c r="K6" s="125">
        <v>2.0</v>
      </c>
      <c r="L6" s="125">
        <v>88.0</v>
      </c>
    </row>
    <row r="7">
      <c r="A7" s="122" t="s">
        <v>1148</v>
      </c>
      <c r="B7" s="122" t="s">
        <v>1832</v>
      </c>
      <c r="C7" s="122" t="s">
        <v>1824</v>
      </c>
      <c r="D7" s="125">
        <v>200.0</v>
      </c>
      <c r="E7" s="125">
        <v>171.0</v>
      </c>
      <c r="F7" s="125">
        <v>231.0</v>
      </c>
      <c r="G7" s="125">
        <v>251.0</v>
      </c>
      <c r="H7" s="125">
        <v>327.0</v>
      </c>
      <c r="I7" s="125">
        <v>202.0</v>
      </c>
      <c r="J7" s="125">
        <v>10.0</v>
      </c>
      <c r="K7" s="125">
        <v>236.0</v>
      </c>
      <c r="L7" s="125">
        <v>194.0</v>
      </c>
    </row>
    <row r="8">
      <c r="A8" s="122" t="s">
        <v>542</v>
      </c>
      <c r="B8" s="122" t="s">
        <v>544</v>
      </c>
      <c r="C8" s="122" t="s">
        <v>1825</v>
      </c>
      <c r="D8" s="125">
        <v>2.0</v>
      </c>
      <c r="E8" s="125">
        <v>1.0</v>
      </c>
      <c r="F8" s="125">
        <v>1.0</v>
      </c>
      <c r="G8" s="125">
        <v>1.0</v>
      </c>
      <c r="H8" s="125">
        <v>4.0</v>
      </c>
      <c r="I8" s="125">
        <v>4.0</v>
      </c>
      <c r="J8" s="125">
        <v>0.0</v>
      </c>
      <c r="K8" s="125">
        <v>2.0</v>
      </c>
      <c r="L8" s="125">
        <v>3.0</v>
      </c>
    </row>
    <row r="9">
      <c r="A9" s="122" t="s">
        <v>530</v>
      </c>
      <c r="B9" s="122" t="s">
        <v>1833</v>
      </c>
      <c r="C9" s="122" t="s">
        <v>1825</v>
      </c>
      <c r="D9" s="125">
        <v>10.0</v>
      </c>
      <c r="E9" s="125">
        <v>5.0</v>
      </c>
      <c r="F9" s="125">
        <v>8.0</v>
      </c>
      <c r="G9" s="125">
        <v>15.0</v>
      </c>
      <c r="H9" s="125">
        <v>22.0</v>
      </c>
      <c r="I9" s="125">
        <v>20.0</v>
      </c>
      <c r="J9" s="125">
        <v>1.0</v>
      </c>
      <c r="K9" s="125">
        <v>14.0</v>
      </c>
      <c r="L9" s="125">
        <v>170.0</v>
      </c>
    </row>
    <row r="10">
      <c r="A10" s="122" t="s">
        <v>1095</v>
      </c>
      <c r="B10" s="122" t="s">
        <v>1834</v>
      </c>
      <c r="C10" s="122" t="s">
        <v>1831</v>
      </c>
      <c r="D10" s="125">
        <v>7.0</v>
      </c>
      <c r="E10" s="125">
        <v>5.0</v>
      </c>
      <c r="F10" s="125">
        <v>2.0</v>
      </c>
      <c r="G10" s="125">
        <v>2.0</v>
      </c>
      <c r="H10" s="125">
        <v>5.0</v>
      </c>
      <c r="I10" s="125">
        <v>3.0</v>
      </c>
      <c r="J10" s="125">
        <v>0.0</v>
      </c>
      <c r="K10" s="125">
        <v>3.0</v>
      </c>
      <c r="L10" s="125">
        <v>481.0</v>
      </c>
    </row>
    <row r="11">
      <c r="A11" s="122" t="s">
        <v>743</v>
      </c>
      <c r="B11" s="122" t="s">
        <v>1835</v>
      </c>
      <c r="C11" s="122" t="s">
        <v>1824</v>
      </c>
      <c r="D11" s="125">
        <v>8.0</v>
      </c>
      <c r="E11" s="125">
        <v>7.0</v>
      </c>
      <c r="F11" s="125">
        <v>12.0</v>
      </c>
      <c r="G11" s="125">
        <v>7.0</v>
      </c>
      <c r="H11" s="125">
        <v>4.0</v>
      </c>
      <c r="I11" s="125">
        <v>3.0</v>
      </c>
      <c r="J11" s="125">
        <v>0.0</v>
      </c>
      <c r="K11" s="125">
        <v>7.0</v>
      </c>
      <c r="L11" s="125">
        <v>304.0</v>
      </c>
    </row>
    <row r="12">
      <c r="A12" s="122" t="s">
        <v>736</v>
      </c>
      <c r="B12" s="122" t="s">
        <v>1835</v>
      </c>
      <c r="C12" s="122" t="s">
        <v>1824</v>
      </c>
      <c r="D12" s="125">
        <v>8.0</v>
      </c>
      <c r="E12" s="125">
        <v>8.0</v>
      </c>
      <c r="F12" s="125">
        <v>7.0</v>
      </c>
      <c r="G12" s="125">
        <v>10.0</v>
      </c>
      <c r="H12" s="125">
        <v>5.0</v>
      </c>
      <c r="I12" s="125">
        <v>5.0</v>
      </c>
      <c r="J12" s="125">
        <v>0.0</v>
      </c>
      <c r="K12" s="125">
        <v>7.0</v>
      </c>
      <c r="L12" s="125">
        <v>239.0</v>
      </c>
    </row>
    <row r="13">
      <c r="A13" s="122" t="s">
        <v>934</v>
      </c>
      <c r="B13" s="122" t="s">
        <v>936</v>
      </c>
      <c r="C13" s="122" t="s">
        <v>1825</v>
      </c>
      <c r="D13" s="125">
        <v>40.0</v>
      </c>
      <c r="E13" s="125">
        <v>25.0</v>
      </c>
      <c r="F13" s="125">
        <v>14.0</v>
      </c>
      <c r="G13" s="125">
        <v>28.0</v>
      </c>
      <c r="H13" s="125">
        <v>30.0</v>
      </c>
      <c r="I13" s="125">
        <v>31.0</v>
      </c>
      <c r="J13" s="125">
        <v>3.0</v>
      </c>
      <c r="K13" s="125">
        <v>26.0</v>
      </c>
      <c r="L13" s="125">
        <v>929.0</v>
      </c>
    </row>
    <row r="14">
      <c r="A14" s="122" t="s">
        <v>1071</v>
      </c>
      <c r="B14" s="122" t="s">
        <v>1836</v>
      </c>
      <c r="C14" s="122" t="s">
        <v>1825</v>
      </c>
      <c r="D14" s="125">
        <v>30.0</v>
      </c>
      <c r="E14" s="125">
        <v>49.0</v>
      </c>
      <c r="F14" s="125">
        <v>64.0</v>
      </c>
      <c r="G14" s="125">
        <v>80.0</v>
      </c>
      <c r="H14" s="125">
        <v>5.0</v>
      </c>
      <c r="I14" s="125">
        <v>0.0</v>
      </c>
      <c r="J14" s="125">
        <v>0.0</v>
      </c>
      <c r="K14" s="125">
        <v>40.0</v>
      </c>
      <c r="L14" s="125">
        <v>0.0</v>
      </c>
    </row>
    <row r="15">
      <c r="A15" s="122" t="s">
        <v>1074</v>
      </c>
      <c r="B15" s="122" t="s">
        <v>1837</v>
      </c>
      <c r="C15" s="122" t="s">
        <v>1825</v>
      </c>
      <c r="D15" s="125">
        <v>25.0</v>
      </c>
      <c r="E15" s="125">
        <v>28.0</v>
      </c>
      <c r="F15" s="125">
        <v>30.0</v>
      </c>
      <c r="G15" s="125">
        <v>42.0</v>
      </c>
      <c r="H15" s="125">
        <v>38.0</v>
      </c>
      <c r="I15" s="125">
        <v>51.0</v>
      </c>
      <c r="J15" s="125">
        <v>1.0</v>
      </c>
      <c r="K15" s="125">
        <v>38.0</v>
      </c>
      <c r="L15" s="125">
        <v>43.0</v>
      </c>
    </row>
    <row r="16">
      <c r="A16" s="122" t="s">
        <v>1077</v>
      </c>
      <c r="B16" s="122" t="s">
        <v>1838</v>
      </c>
      <c r="C16" s="122" t="s">
        <v>1825</v>
      </c>
      <c r="D16" s="125">
        <v>8.0</v>
      </c>
      <c r="E16" s="125">
        <v>3.0</v>
      </c>
      <c r="F16" s="125">
        <v>4.0</v>
      </c>
      <c r="G16" s="125">
        <v>4.0</v>
      </c>
      <c r="H16" s="125">
        <v>4.0</v>
      </c>
      <c r="I16" s="125">
        <v>6.0</v>
      </c>
      <c r="J16" s="125">
        <v>0.0</v>
      </c>
      <c r="K16" s="125">
        <v>4.0</v>
      </c>
      <c r="L16" s="125">
        <v>93.0</v>
      </c>
    </row>
    <row r="17">
      <c r="A17" s="122" t="s">
        <v>600</v>
      </c>
      <c r="B17" s="122" t="s">
        <v>602</v>
      </c>
      <c r="C17" s="122" t="s">
        <v>1824</v>
      </c>
      <c r="D17" s="125">
        <v>35.0</v>
      </c>
      <c r="E17" s="125">
        <v>27.0</v>
      </c>
      <c r="F17" s="125">
        <v>15.0</v>
      </c>
      <c r="G17" s="125">
        <v>5.0</v>
      </c>
      <c r="H17" s="125">
        <v>11.0</v>
      </c>
      <c r="I17" s="125">
        <v>9.0</v>
      </c>
      <c r="J17" s="125">
        <v>0.0</v>
      </c>
      <c r="K17" s="125">
        <v>13.0</v>
      </c>
      <c r="L17" s="125">
        <v>552.0</v>
      </c>
    </row>
    <row r="18">
      <c r="A18" s="122" t="s">
        <v>496</v>
      </c>
      <c r="B18" s="122" t="s">
        <v>1839</v>
      </c>
      <c r="C18" s="122" t="s">
        <v>1824</v>
      </c>
      <c r="D18" s="125">
        <v>30.0</v>
      </c>
      <c r="E18" s="125">
        <v>26.0</v>
      </c>
      <c r="F18" s="125">
        <v>12.0</v>
      </c>
      <c r="G18" s="125">
        <v>42.0</v>
      </c>
      <c r="H18" s="125">
        <v>17.0</v>
      </c>
      <c r="I18" s="125">
        <v>22.0</v>
      </c>
      <c r="J18" s="125">
        <v>2.0</v>
      </c>
      <c r="K18" s="125">
        <v>24.0</v>
      </c>
      <c r="L18" s="125">
        <v>799.0</v>
      </c>
    </row>
    <row r="19">
      <c r="A19" s="122" t="s">
        <v>1154</v>
      </c>
      <c r="B19" s="122" t="s">
        <v>1840</v>
      </c>
      <c r="C19" s="122" t="s">
        <v>1825</v>
      </c>
      <c r="D19" s="125">
        <v>10.0</v>
      </c>
      <c r="E19" s="125">
        <v>4.0</v>
      </c>
      <c r="F19" s="125">
        <v>9.0</v>
      </c>
      <c r="G19" s="125">
        <v>7.0</v>
      </c>
      <c r="H19" s="125">
        <v>2.0</v>
      </c>
      <c r="I19" s="125">
        <v>6.0</v>
      </c>
      <c r="J19" s="125">
        <v>0.0</v>
      </c>
      <c r="K19" s="125">
        <v>6.0</v>
      </c>
      <c r="L19" s="125">
        <v>346.0</v>
      </c>
    </row>
    <row r="20">
      <c r="A20" s="122" t="s">
        <v>701</v>
      </c>
      <c r="B20" s="122" t="s">
        <v>703</v>
      </c>
      <c r="C20" s="122" t="s">
        <v>1825</v>
      </c>
      <c r="D20" s="125">
        <v>20.0</v>
      </c>
      <c r="E20" s="125">
        <v>32.0</v>
      </c>
      <c r="F20" s="125">
        <v>23.0</v>
      </c>
      <c r="G20" s="125">
        <v>14.0</v>
      </c>
      <c r="H20" s="125">
        <v>6.0</v>
      </c>
      <c r="I20" s="125">
        <v>25.0</v>
      </c>
      <c r="J20" s="125">
        <v>4.0</v>
      </c>
      <c r="K20" s="125">
        <v>20.0</v>
      </c>
      <c r="L20" s="125">
        <v>10.0</v>
      </c>
    </row>
    <row r="21">
      <c r="A21" s="122" t="s">
        <v>1098</v>
      </c>
      <c r="B21" s="122" t="s">
        <v>1841</v>
      </c>
      <c r="C21" s="122" t="s">
        <v>1831</v>
      </c>
      <c r="D21" s="125">
        <v>10.0</v>
      </c>
      <c r="E21" s="125">
        <v>0.0</v>
      </c>
      <c r="F21" s="125">
        <v>0.0</v>
      </c>
      <c r="G21" s="125">
        <v>6.0</v>
      </c>
      <c r="H21" s="125">
        <v>5.0</v>
      </c>
      <c r="I21" s="125">
        <v>8.0</v>
      </c>
      <c r="J21" s="125">
        <v>0.0</v>
      </c>
      <c r="K21" s="125">
        <v>4.0</v>
      </c>
      <c r="L21" s="125">
        <v>131.0</v>
      </c>
    </row>
    <row r="22">
      <c r="A22" s="122" t="s">
        <v>1092</v>
      </c>
      <c r="B22" s="122" t="s">
        <v>1842</v>
      </c>
      <c r="C22" s="122" t="s">
        <v>1825</v>
      </c>
      <c r="D22" s="125">
        <v>10.0</v>
      </c>
      <c r="E22" s="125">
        <v>5.0</v>
      </c>
      <c r="F22" s="125">
        <v>11.0</v>
      </c>
      <c r="G22" s="125">
        <v>16.0</v>
      </c>
      <c r="H22" s="125">
        <v>9.0</v>
      </c>
      <c r="I22" s="125">
        <v>6.0</v>
      </c>
      <c r="J22" s="125">
        <v>0.0</v>
      </c>
      <c r="K22" s="125">
        <v>9.0</v>
      </c>
      <c r="L22" s="125">
        <v>29.0</v>
      </c>
    </row>
    <row r="23">
      <c r="A23" s="122" t="s">
        <v>644</v>
      </c>
      <c r="B23" s="122" t="s">
        <v>646</v>
      </c>
      <c r="C23" s="122" t="s">
        <v>1825</v>
      </c>
      <c r="D23" s="125">
        <v>25.0</v>
      </c>
      <c r="E23" s="125">
        <v>12.0</v>
      </c>
      <c r="F23" s="125">
        <v>17.0</v>
      </c>
      <c r="G23" s="125">
        <v>13.0</v>
      </c>
      <c r="H23" s="125">
        <v>13.0</v>
      </c>
      <c r="I23" s="125">
        <v>9.0</v>
      </c>
      <c r="J23" s="125">
        <v>3.0</v>
      </c>
      <c r="K23" s="125">
        <v>13.0</v>
      </c>
      <c r="L23" s="125">
        <v>146.0</v>
      </c>
    </row>
    <row r="24">
      <c r="A24" s="122" t="s">
        <v>638</v>
      </c>
      <c r="B24" s="122" t="s">
        <v>1843</v>
      </c>
      <c r="C24" s="122" t="s">
        <v>1831</v>
      </c>
      <c r="D24" s="125">
        <v>7.0</v>
      </c>
      <c r="E24" s="125">
        <v>0.0</v>
      </c>
      <c r="F24" s="125">
        <v>0.0</v>
      </c>
      <c r="G24" s="125">
        <v>1.0</v>
      </c>
      <c r="H24" s="125">
        <v>6.0</v>
      </c>
      <c r="I24" s="125">
        <v>4.0</v>
      </c>
      <c r="J24" s="125">
        <v>1.0</v>
      </c>
      <c r="K24" s="125">
        <v>2.0</v>
      </c>
      <c r="L24" s="125">
        <v>141.0</v>
      </c>
    </row>
    <row r="25">
      <c r="A25" s="122" t="s">
        <v>650</v>
      </c>
      <c r="B25" s="122" t="s">
        <v>652</v>
      </c>
      <c r="C25" s="122" t="s">
        <v>1825</v>
      </c>
      <c r="D25" s="125">
        <v>25.0</v>
      </c>
      <c r="E25" s="125">
        <v>6.0</v>
      </c>
      <c r="F25" s="125">
        <v>16.0</v>
      </c>
      <c r="G25" s="125">
        <v>15.0</v>
      </c>
      <c r="H25" s="125">
        <v>12.0</v>
      </c>
      <c r="I25" s="125">
        <v>17.0</v>
      </c>
      <c r="J25" s="125">
        <v>1.0</v>
      </c>
      <c r="K25" s="125">
        <v>13.0</v>
      </c>
      <c r="L25" s="125">
        <v>782.0</v>
      </c>
    </row>
    <row r="26">
      <c r="A26" s="122" t="s">
        <v>653</v>
      </c>
      <c r="B26" s="122" t="s">
        <v>655</v>
      </c>
      <c r="C26" s="122" t="s">
        <v>1825</v>
      </c>
      <c r="D26" s="125">
        <v>15.0</v>
      </c>
      <c r="E26" s="125">
        <v>5.0</v>
      </c>
      <c r="F26" s="125">
        <v>1.0</v>
      </c>
      <c r="G26" s="125">
        <v>7.0</v>
      </c>
      <c r="H26" s="125">
        <v>5.0</v>
      </c>
      <c r="I26" s="125">
        <v>8.0</v>
      </c>
      <c r="J26" s="125">
        <v>0.0</v>
      </c>
      <c r="K26" s="125">
        <v>5.0</v>
      </c>
      <c r="L26" s="125">
        <v>569.0</v>
      </c>
    </row>
    <row r="27">
      <c r="A27" s="122" t="s">
        <v>830</v>
      </c>
      <c r="B27" s="122" t="s">
        <v>832</v>
      </c>
      <c r="C27" s="122" t="s">
        <v>1831</v>
      </c>
      <c r="D27" s="125">
        <v>5.0</v>
      </c>
      <c r="E27" s="125">
        <v>0.0</v>
      </c>
      <c r="F27" s="125">
        <v>0.0</v>
      </c>
      <c r="G27" s="125">
        <v>0.0</v>
      </c>
      <c r="H27" s="125">
        <v>2.0</v>
      </c>
      <c r="I27" s="125">
        <v>0.0</v>
      </c>
      <c r="J27" s="125">
        <v>0.0</v>
      </c>
      <c r="K27" s="125">
        <v>0.0</v>
      </c>
      <c r="L27" s="125">
        <v>152.0</v>
      </c>
    </row>
    <row r="28">
      <c r="A28" s="122" t="s">
        <v>833</v>
      </c>
      <c r="B28" s="122" t="s">
        <v>835</v>
      </c>
      <c r="C28" s="122" t="s">
        <v>1831</v>
      </c>
      <c r="D28" s="125">
        <v>5.0</v>
      </c>
      <c r="E28" s="125">
        <v>0.0</v>
      </c>
      <c r="F28" s="125">
        <v>0.0</v>
      </c>
      <c r="G28" s="125">
        <v>0.0</v>
      </c>
      <c r="H28" s="125">
        <v>0.0</v>
      </c>
      <c r="I28" s="125">
        <v>0.0</v>
      </c>
      <c r="J28" s="125">
        <v>0.0</v>
      </c>
      <c r="K28" s="125">
        <v>0.0</v>
      </c>
      <c r="L28" s="125">
        <v>227.0</v>
      </c>
    </row>
    <row r="29">
      <c r="A29" s="122" t="s">
        <v>900</v>
      </c>
      <c r="B29" s="122" t="s">
        <v>1844</v>
      </c>
      <c r="C29" s="122" t="s">
        <v>1831</v>
      </c>
      <c r="D29" s="125">
        <v>2.0</v>
      </c>
      <c r="E29" s="125">
        <v>0.0</v>
      </c>
      <c r="F29" s="125">
        <v>1.0</v>
      </c>
      <c r="G29" s="125">
        <v>3.0</v>
      </c>
      <c r="H29" s="125">
        <v>1.0</v>
      </c>
      <c r="I29" s="125">
        <v>2.0</v>
      </c>
      <c r="J29" s="125">
        <v>0.0</v>
      </c>
      <c r="K29" s="125">
        <v>1.0</v>
      </c>
      <c r="L29" s="125">
        <v>30.0</v>
      </c>
    </row>
    <row r="30">
      <c r="A30" s="122" t="s">
        <v>516</v>
      </c>
      <c r="B30" s="122" t="s">
        <v>518</v>
      </c>
      <c r="C30" s="122" t="s">
        <v>1825</v>
      </c>
      <c r="D30" s="125">
        <v>6.0</v>
      </c>
      <c r="E30" s="125">
        <v>6.0</v>
      </c>
      <c r="F30" s="125">
        <v>4.0</v>
      </c>
      <c r="G30" s="125">
        <v>11.0</v>
      </c>
      <c r="H30" s="125">
        <v>5.0</v>
      </c>
      <c r="I30" s="125">
        <v>5.0</v>
      </c>
      <c r="J30" s="125">
        <v>0.0</v>
      </c>
      <c r="K30" s="125">
        <v>6.0</v>
      </c>
      <c r="L30" s="125">
        <v>107.0</v>
      </c>
    </row>
    <row r="31">
      <c r="A31" s="122" t="s">
        <v>551</v>
      </c>
      <c r="B31" s="122" t="s">
        <v>1845</v>
      </c>
      <c r="C31" s="122" t="s">
        <v>1825</v>
      </c>
      <c r="D31" s="125">
        <v>5.0</v>
      </c>
      <c r="E31" s="125">
        <v>5.0</v>
      </c>
      <c r="F31" s="125">
        <v>1.0</v>
      </c>
      <c r="G31" s="125">
        <v>4.0</v>
      </c>
      <c r="H31" s="125">
        <v>7.0</v>
      </c>
      <c r="I31" s="125">
        <v>2.0</v>
      </c>
      <c r="J31" s="125">
        <v>0.0</v>
      </c>
      <c r="K31" s="125">
        <v>4.0</v>
      </c>
      <c r="L31" s="125">
        <v>127.0</v>
      </c>
    </row>
    <row r="32">
      <c r="A32" s="122" t="s">
        <v>1130</v>
      </c>
      <c r="B32" s="122" t="s">
        <v>1846</v>
      </c>
      <c r="C32" s="122" t="s">
        <v>1831</v>
      </c>
      <c r="D32" s="125">
        <v>2.0</v>
      </c>
      <c r="E32" s="125">
        <v>3.0</v>
      </c>
      <c r="F32" s="125">
        <v>2.0</v>
      </c>
      <c r="G32" s="125">
        <v>4.0</v>
      </c>
      <c r="H32" s="125">
        <v>5.0</v>
      </c>
      <c r="I32" s="125">
        <v>1.0</v>
      </c>
      <c r="J32" s="125">
        <v>0.0</v>
      </c>
      <c r="K32" s="125">
        <v>3.0</v>
      </c>
      <c r="L32" s="125">
        <v>69.0</v>
      </c>
    </row>
    <row r="33">
      <c r="A33" s="122" t="s">
        <v>1133</v>
      </c>
      <c r="B33" s="122" t="s">
        <v>1847</v>
      </c>
      <c r="C33" s="122" t="s">
        <v>1829</v>
      </c>
      <c r="D33" s="125">
        <v>2.0</v>
      </c>
      <c r="E33" s="125">
        <v>0.0</v>
      </c>
      <c r="F33" s="125">
        <v>0.0</v>
      </c>
      <c r="G33" s="125">
        <v>0.0</v>
      </c>
      <c r="H33" s="125">
        <v>0.0</v>
      </c>
      <c r="I33" s="125">
        <v>0.0</v>
      </c>
      <c r="J33" s="125">
        <v>0.0</v>
      </c>
      <c r="K33" s="125">
        <v>0.0</v>
      </c>
      <c r="L33" s="125">
        <v>0.0</v>
      </c>
    </row>
    <row r="34">
      <c r="A34" s="122" t="s">
        <v>1136</v>
      </c>
      <c r="B34" s="122" t="s">
        <v>1848</v>
      </c>
      <c r="C34" s="122" t="s">
        <v>1831</v>
      </c>
      <c r="D34" s="125">
        <v>7.0</v>
      </c>
      <c r="E34" s="125">
        <v>7.0</v>
      </c>
      <c r="F34" s="125">
        <v>5.0</v>
      </c>
      <c r="G34" s="125">
        <v>8.0</v>
      </c>
      <c r="H34" s="125">
        <v>1.0</v>
      </c>
      <c r="I34" s="125">
        <v>7.0</v>
      </c>
      <c r="J34" s="125">
        <v>1.0</v>
      </c>
      <c r="K34" s="125">
        <v>6.0</v>
      </c>
      <c r="L34" s="125">
        <v>3.0</v>
      </c>
    </row>
    <row r="35">
      <c r="A35" s="122" t="s">
        <v>554</v>
      </c>
      <c r="B35" s="122" t="s">
        <v>1849</v>
      </c>
      <c r="C35" s="122" t="s">
        <v>1824</v>
      </c>
      <c r="D35" s="125">
        <v>350.0</v>
      </c>
      <c r="E35" s="125">
        <v>259.0</v>
      </c>
      <c r="F35" s="125">
        <v>343.0</v>
      </c>
      <c r="G35" s="125">
        <v>320.0</v>
      </c>
      <c r="H35" s="125">
        <v>243.0</v>
      </c>
      <c r="I35" s="125">
        <v>263.0</v>
      </c>
      <c r="J35" s="125">
        <v>8.0</v>
      </c>
      <c r="K35" s="125">
        <v>286.0</v>
      </c>
      <c r="L35" s="125">
        <v>1466.0</v>
      </c>
    </row>
    <row r="36">
      <c r="A36" s="122" t="s">
        <v>851</v>
      </c>
      <c r="B36" s="122" t="s">
        <v>853</v>
      </c>
      <c r="C36" s="122" t="s">
        <v>1824</v>
      </c>
      <c r="D36" s="125">
        <v>200.0</v>
      </c>
      <c r="E36" s="125">
        <v>126.0</v>
      </c>
      <c r="F36" s="125">
        <v>77.0</v>
      </c>
      <c r="G36" s="125">
        <v>164.0</v>
      </c>
      <c r="H36" s="125">
        <v>202.0</v>
      </c>
      <c r="I36" s="125">
        <v>149.0</v>
      </c>
      <c r="J36" s="125">
        <v>10.0</v>
      </c>
      <c r="K36" s="125">
        <v>144.0</v>
      </c>
      <c r="L36" s="125">
        <v>4586.0</v>
      </c>
    </row>
    <row r="37">
      <c r="A37" s="122" t="s">
        <v>856</v>
      </c>
      <c r="B37" s="122" t="s">
        <v>858</v>
      </c>
      <c r="C37" s="122" t="s">
        <v>1825</v>
      </c>
      <c r="D37" s="125">
        <v>45.0</v>
      </c>
      <c r="E37" s="125">
        <v>0.0</v>
      </c>
      <c r="F37" s="125">
        <v>2.0</v>
      </c>
      <c r="G37" s="125">
        <v>18.0</v>
      </c>
      <c r="H37" s="125">
        <v>19.0</v>
      </c>
      <c r="I37" s="125">
        <v>24.0</v>
      </c>
      <c r="J37" s="125">
        <v>1.0</v>
      </c>
      <c r="K37" s="125">
        <v>13.0</v>
      </c>
      <c r="L37" s="125">
        <v>331.0</v>
      </c>
    </row>
    <row r="38">
      <c r="A38" s="122" t="s">
        <v>1023</v>
      </c>
      <c r="B38" s="122" t="s">
        <v>1850</v>
      </c>
      <c r="C38" s="122" t="s">
        <v>1824</v>
      </c>
      <c r="D38" s="125">
        <v>25.0</v>
      </c>
      <c r="E38" s="125">
        <v>6.0</v>
      </c>
      <c r="F38" s="125">
        <v>17.0</v>
      </c>
      <c r="G38" s="125">
        <v>8.0</v>
      </c>
      <c r="H38" s="125">
        <v>15.0</v>
      </c>
      <c r="I38" s="125">
        <v>1.0</v>
      </c>
      <c r="J38" s="125">
        <v>0.0</v>
      </c>
      <c r="K38" s="125">
        <v>9.0</v>
      </c>
      <c r="L38" s="125">
        <v>242.0</v>
      </c>
    </row>
    <row r="39">
      <c r="A39" s="122" t="s">
        <v>668</v>
      </c>
      <c r="B39" s="122" t="s">
        <v>670</v>
      </c>
      <c r="C39" s="122" t="s">
        <v>1831</v>
      </c>
      <c r="D39" s="125">
        <v>8.0</v>
      </c>
      <c r="E39" s="125">
        <v>4.0</v>
      </c>
      <c r="F39" s="125">
        <v>4.0</v>
      </c>
      <c r="G39" s="125">
        <v>7.0</v>
      </c>
      <c r="H39" s="125">
        <v>3.0</v>
      </c>
      <c r="I39" s="125">
        <v>4.0</v>
      </c>
      <c r="J39" s="125">
        <v>0.0</v>
      </c>
      <c r="K39" s="125">
        <v>4.0</v>
      </c>
      <c r="L39" s="125">
        <v>105.0</v>
      </c>
    </row>
    <row r="40">
      <c r="A40" s="122" t="s">
        <v>671</v>
      </c>
      <c r="B40" s="122" t="s">
        <v>673</v>
      </c>
      <c r="C40" s="122" t="s">
        <v>1831</v>
      </c>
      <c r="D40" s="125">
        <v>8.0</v>
      </c>
      <c r="E40" s="125">
        <v>7.0</v>
      </c>
      <c r="F40" s="125">
        <v>4.0</v>
      </c>
      <c r="G40" s="125">
        <v>7.0</v>
      </c>
      <c r="H40" s="125">
        <v>4.0</v>
      </c>
      <c r="I40" s="125">
        <v>4.0</v>
      </c>
      <c r="J40" s="125">
        <v>1.0</v>
      </c>
      <c r="K40" s="125">
        <v>5.0</v>
      </c>
      <c r="L40" s="125">
        <v>85.0</v>
      </c>
    </row>
    <row r="41">
      <c r="A41" s="122" t="s">
        <v>674</v>
      </c>
      <c r="B41" s="122" t="s">
        <v>676</v>
      </c>
      <c r="C41" s="122" t="s">
        <v>1825</v>
      </c>
      <c r="D41" s="125">
        <v>15.0</v>
      </c>
      <c r="E41" s="125">
        <v>3.0</v>
      </c>
      <c r="F41" s="125">
        <v>4.0</v>
      </c>
      <c r="G41" s="125">
        <v>3.0</v>
      </c>
      <c r="H41" s="125">
        <v>0.0</v>
      </c>
      <c r="I41" s="125">
        <v>1.0</v>
      </c>
      <c r="J41" s="125">
        <v>0.0</v>
      </c>
      <c r="K41" s="125">
        <v>2.0</v>
      </c>
      <c r="L41" s="125">
        <v>276.0</v>
      </c>
    </row>
    <row r="42">
      <c r="A42" s="122" t="s">
        <v>988</v>
      </c>
      <c r="B42" s="122" t="s">
        <v>990</v>
      </c>
      <c r="C42" s="122" t="s">
        <v>1825</v>
      </c>
      <c r="D42" s="125">
        <v>25.0</v>
      </c>
      <c r="E42" s="125">
        <v>39.0</v>
      </c>
      <c r="F42" s="125">
        <v>35.0</v>
      </c>
      <c r="G42" s="125">
        <v>38.0</v>
      </c>
      <c r="H42" s="125">
        <v>12.0</v>
      </c>
      <c r="I42" s="125">
        <v>2.0</v>
      </c>
      <c r="J42" s="125">
        <v>0.0</v>
      </c>
      <c r="K42" s="125">
        <v>25.0</v>
      </c>
      <c r="L42" s="125">
        <v>0.0</v>
      </c>
    </row>
    <row r="43">
      <c r="A43" s="122" t="s">
        <v>683</v>
      </c>
      <c r="B43" s="122" t="s">
        <v>685</v>
      </c>
      <c r="C43" s="122" t="s">
        <v>1824</v>
      </c>
      <c r="D43" s="125">
        <v>25.0</v>
      </c>
      <c r="E43" s="125">
        <v>23.0</v>
      </c>
      <c r="F43" s="125">
        <v>11.0</v>
      </c>
      <c r="G43" s="125">
        <v>17.0</v>
      </c>
      <c r="H43" s="125">
        <v>13.0</v>
      </c>
      <c r="I43" s="125">
        <v>36.0</v>
      </c>
      <c r="J43" s="125">
        <v>5.0</v>
      </c>
      <c r="K43" s="125">
        <v>20.0</v>
      </c>
      <c r="L43" s="125">
        <v>549.0</v>
      </c>
    </row>
    <row r="44">
      <c r="A44" s="122" t="s">
        <v>740</v>
      </c>
      <c r="B44" s="122" t="s">
        <v>1851</v>
      </c>
      <c r="C44" s="122" t="s">
        <v>1824</v>
      </c>
      <c r="D44" s="125">
        <v>20.0</v>
      </c>
      <c r="E44" s="125">
        <v>10.0</v>
      </c>
      <c r="F44" s="125">
        <v>9.0</v>
      </c>
      <c r="G44" s="125">
        <v>20.0</v>
      </c>
      <c r="H44" s="125">
        <v>16.0</v>
      </c>
      <c r="I44" s="125">
        <v>22.0</v>
      </c>
      <c r="J44" s="125">
        <v>0.0</v>
      </c>
      <c r="K44" s="125">
        <v>15.0</v>
      </c>
      <c r="L44" s="125">
        <v>284.0</v>
      </c>
    </row>
    <row r="45">
      <c r="A45" s="122" t="s">
        <v>715</v>
      </c>
      <c r="B45" s="122" t="s">
        <v>1852</v>
      </c>
      <c r="C45" s="122" t="s">
        <v>1825</v>
      </c>
      <c r="D45" s="125">
        <v>7.0</v>
      </c>
      <c r="E45" s="125">
        <v>8.0</v>
      </c>
      <c r="F45" s="125">
        <v>12.0</v>
      </c>
      <c r="G45" s="125">
        <v>7.0</v>
      </c>
      <c r="H45" s="125">
        <v>10.0</v>
      </c>
      <c r="I45" s="125">
        <v>16.0</v>
      </c>
      <c r="J45" s="125">
        <v>1.0</v>
      </c>
      <c r="K45" s="125">
        <v>11.0</v>
      </c>
      <c r="L45" s="125">
        <v>167.0</v>
      </c>
    </row>
    <row r="46">
      <c r="A46" s="122" t="s">
        <v>479</v>
      </c>
      <c r="B46" s="122" t="s">
        <v>481</v>
      </c>
      <c r="C46" s="122" t="s">
        <v>1824</v>
      </c>
      <c r="D46" s="125">
        <v>20.0</v>
      </c>
      <c r="E46" s="125">
        <v>13.0</v>
      </c>
      <c r="F46" s="125">
        <v>9.0</v>
      </c>
      <c r="G46" s="125">
        <v>28.0</v>
      </c>
      <c r="H46" s="125">
        <v>23.0</v>
      </c>
      <c r="I46" s="125">
        <v>17.0</v>
      </c>
      <c r="J46" s="125">
        <v>2.0</v>
      </c>
      <c r="K46" s="125">
        <v>18.0</v>
      </c>
      <c r="L46" s="125">
        <v>222.0</v>
      </c>
    </row>
    <row r="47">
      <c r="A47" s="122" t="s">
        <v>487</v>
      </c>
      <c r="B47" s="122" t="s">
        <v>489</v>
      </c>
      <c r="C47" s="122" t="s">
        <v>1825</v>
      </c>
      <c r="D47" s="125">
        <v>4.0</v>
      </c>
      <c r="E47" s="125">
        <v>5.0</v>
      </c>
      <c r="F47" s="125">
        <v>4.0</v>
      </c>
      <c r="G47" s="125">
        <v>19.0</v>
      </c>
      <c r="H47" s="125">
        <v>9.0</v>
      </c>
      <c r="I47" s="125">
        <v>6.0</v>
      </c>
      <c r="J47" s="125">
        <v>1.0</v>
      </c>
      <c r="K47" s="125">
        <v>9.0</v>
      </c>
      <c r="L47" s="125">
        <v>13.0</v>
      </c>
    </row>
    <row r="48">
      <c r="A48" s="122" t="s">
        <v>559</v>
      </c>
      <c r="B48" s="122" t="s">
        <v>1853</v>
      </c>
      <c r="C48" s="122" t="s">
        <v>1825</v>
      </c>
      <c r="D48" s="125">
        <v>18.0</v>
      </c>
      <c r="E48" s="125">
        <v>15.0</v>
      </c>
      <c r="F48" s="125">
        <v>31.0</v>
      </c>
      <c r="G48" s="125">
        <v>20.0</v>
      </c>
      <c r="H48" s="125">
        <v>36.0</v>
      </c>
      <c r="I48" s="125">
        <v>29.0</v>
      </c>
      <c r="J48" s="125">
        <v>2.0</v>
      </c>
      <c r="K48" s="125">
        <v>26.0</v>
      </c>
      <c r="L48" s="125">
        <v>301.0</v>
      </c>
    </row>
    <row r="49">
      <c r="A49" s="122" t="s">
        <v>565</v>
      </c>
      <c r="B49" s="122" t="s">
        <v>1854</v>
      </c>
      <c r="C49" s="122" t="s">
        <v>1824</v>
      </c>
      <c r="D49" s="125">
        <v>30.0</v>
      </c>
      <c r="E49" s="125">
        <v>17.0</v>
      </c>
      <c r="F49" s="125">
        <v>21.0</v>
      </c>
      <c r="G49" s="125">
        <v>15.0</v>
      </c>
      <c r="H49" s="125">
        <v>12.0</v>
      </c>
      <c r="I49" s="125">
        <v>15.0</v>
      </c>
      <c r="J49" s="125">
        <v>5.0</v>
      </c>
      <c r="K49" s="125">
        <v>16.0</v>
      </c>
      <c r="L49" s="125">
        <v>465.0</v>
      </c>
    </row>
    <row r="50">
      <c r="A50" s="122" t="s">
        <v>727</v>
      </c>
      <c r="B50" s="122" t="s">
        <v>729</v>
      </c>
      <c r="C50" s="122" t="s">
        <v>1825</v>
      </c>
      <c r="D50" s="125">
        <v>30.0</v>
      </c>
      <c r="E50" s="125">
        <v>46.0</v>
      </c>
      <c r="F50" s="125">
        <v>46.0</v>
      </c>
      <c r="G50" s="125">
        <v>59.0</v>
      </c>
      <c r="H50" s="125">
        <v>28.0</v>
      </c>
      <c r="I50" s="125">
        <v>32.0</v>
      </c>
      <c r="J50" s="125">
        <v>3.0</v>
      </c>
      <c r="K50" s="125">
        <v>42.0</v>
      </c>
      <c r="L50" s="125">
        <v>347.0</v>
      </c>
    </row>
    <row r="51">
      <c r="A51" s="122" t="s">
        <v>979</v>
      </c>
      <c r="B51" s="122" t="s">
        <v>1855</v>
      </c>
      <c r="C51" s="122" t="s">
        <v>1824</v>
      </c>
      <c r="D51" s="125">
        <v>50.0</v>
      </c>
      <c r="E51" s="125">
        <v>16.0</v>
      </c>
      <c r="F51" s="125">
        <v>89.0</v>
      </c>
      <c r="G51" s="125">
        <v>100.0</v>
      </c>
      <c r="H51" s="125">
        <v>0.0</v>
      </c>
      <c r="I51" s="125">
        <v>0.0</v>
      </c>
      <c r="J51" s="125">
        <v>0.0</v>
      </c>
      <c r="K51" s="125">
        <v>41.0</v>
      </c>
      <c r="L51" s="125">
        <v>0.0</v>
      </c>
    </row>
    <row r="52">
      <c r="A52" s="122" t="s">
        <v>712</v>
      </c>
      <c r="B52" s="122" t="s">
        <v>714</v>
      </c>
      <c r="C52" s="122" t="s">
        <v>1825</v>
      </c>
      <c r="D52" s="125">
        <v>15.0</v>
      </c>
      <c r="E52" s="125">
        <v>16.0</v>
      </c>
      <c r="F52" s="125">
        <v>10.0</v>
      </c>
      <c r="G52" s="125">
        <v>15.0</v>
      </c>
      <c r="H52" s="125">
        <v>17.0</v>
      </c>
      <c r="I52" s="125">
        <v>19.0</v>
      </c>
      <c r="J52" s="125">
        <v>4.0</v>
      </c>
      <c r="K52" s="125">
        <v>15.0</v>
      </c>
      <c r="L52" s="125">
        <v>188.0</v>
      </c>
    </row>
    <row r="53">
      <c r="A53" s="122" t="s">
        <v>1006</v>
      </c>
      <c r="B53" s="122" t="s">
        <v>1856</v>
      </c>
      <c r="C53" s="122" t="s">
        <v>1825</v>
      </c>
      <c r="D53" s="125">
        <v>3.0</v>
      </c>
      <c r="E53" s="125">
        <v>1.0</v>
      </c>
      <c r="F53" s="125">
        <v>0.0</v>
      </c>
      <c r="G53" s="125">
        <v>0.0</v>
      </c>
      <c r="H53" s="125">
        <v>2.0</v>
      </c>
      <c r="I53" s="125">
        <v>1.0</v>
      </c>
      <c r="J53" s="125">
        <v>1.0</v>
      </c>
      <c r="K53" s="125">
        <v>1.0</v>
      </c>
      <c r="L53" s="125">
        <v>27.0</v>
      </c>
    </row>
    <row r="54">
      <c r="A54" s="122" t="s">
        <v>626</v>
      </c>
      <c r="B54" s="122" t="s">
        <v>1857</v>
      </c>
      <c r="C54" s="122" t="s">
        <v>1831</v>
      </c>
      <c r="D54" s="125">
        <v>4.0</v>
      </c>
      <c r="E54" s="125">
        <v>0.0</v>
      </c>
      <c r="F54" s="125">
        <v>0.0</v>
      </c>
      <c r="G54" s="125">
        <v>0.0</v>
      </c>
      <c r="H54" s="125">
        <v>0.0</v>
      </c>
      <c r="I54" s="125">
        <v>3.0</v>
      </c>
      <c r="J54" s="125">
        <v>0.0</v>
      </c>
      <c r="K54" s="125">
        <v>1.0</v>
      </c>
      <c r="L54" s="125">
        <v>97.0</v>
      </c>
    </row>
    <row r="55">
      <c r="A55" s="122" t="s">
        <v>629</v>
      </c>
      <c r="B55" s="122" t="s">
        <v>1858</v>
      </c>
      <c r="C55" s="122" t="s">
        <v>1825</v>
      </c>
      <c r="D55" s="125">
        <v>11.0</v>
      </c>
      <c r="E55" s="125">
        <v>2.0</v>
      </c>
      <c r="F55" s="125">
        <v>4.0</v>
      </c>
      <c r="G55" s="125">
        <v>5.0</v>
      </c>
      <c r="H55" s="125">
        <v>5.0</v>
      </c>
      <c r="I55" s="125">
        <v>2.0</v>
      </c>
      <c r="J55" s="125">
        <v>1.0</v>
      </c>
      <c r="K55" s="125">
        <v>4.0</v>
      </c>
      <c r="L55" s="125">
        <v>141.0</v>
      </c>
    </row>
    <row r="56">
      <c r="A56" s="122" t="s">
        <v>1003</v>
      </c>
      <c r="B56" s="122" t="s">
        <v>1859</v>
      </c>
      <c r="C56" s="122" t="s">
        <v>1829</v>
      </c>
      <c r="D56" s="125">
        <v>2.0</v>
      </c>
      <c r="E56" s="125">
        <v>0.0</v>
      </c>
      <c r="F56" s="125">
        <v>0.0</v>
      </c>
      <c r="G56" s="125">
        <v>0.0</v>
      </c>
      <c r="H56" s="125">
        <v>1.0</v>
      </c>
      <c r="I56" s="125">
        <v>0.0</v>
      </c>
      <c r="J56" s="125">
        <v>0.0</v>
      </c>
      <c r="K56" s="125">
        <v>0.0</v>
      </c>
      <c r="L56" s="125">
        <v>0.0</v>
      </c>
    </row>
    <row r="57">
      <c r="A57" s="122" t="s">
        <v>470</v>
      </c>
      <c r="B57" s="122" t="s">
        <v>1860</v>
      </c>
      <c r="C57" s="122" t="s">
        <v>1824</v>
      </c>
      <c r="D57" s="125">
        <v>150.0</v>
      </c>
      <c r="E57" s="125">
        <v>247.0</v>
      </c>
      <c r="F57" s="125">
        <v>225.0</v>
      </c>
      <c r="G57" s="125">
        <v>274.0</v>
      </c>
      <c r="H57" s="125">
        <v>163.0</v>
      </c>
      <c r="I57" s="125">
        <v>174.0</v>
      </c>
      <c r="J57" s="125">
        <v>12.0</v>
      </c>
      <c r="K57" s="125">
        <v>217.0</v>
      </c>
      <c r="L57" s="125">
        <v>1559.0</v>
      </c>
    </row>
    <row r="58">
      <c r="A58" s="122" t="s">
        <v>1014</v>
      </c>
      <c r="B58" s="122" t="s">
        <v>1861</v>
      </c>
      <c r="C58" s="122" t="s">
        <v>1831</v>
      </c>
      <c r="D58" s="125">
        <v>14.0</v>
      </c>
      <c r="E58" s="125">
        <v>14.0</v>
      </c>
      <c r="F58" s="125">
        <v>12.0</v>
      </c>
      <c r="G58" s="125">
        <v>14.0</v>
      </c>
      <c r="H58" s="125">
        <v>4.0</v>
      </c>
      <c r="I58" s="125">
        <v>7.0</v>
      </c>
      <c r="J58" s="125">
        <v>0.0</v>
      </c>
      <c r="K58" s="125">
        <v>10.0</v>
      </c>
      <c r="L58" s="125">
        <v>92.0</v>
      </c>
    </row>
    <row r="59">
      <c r="A59" s="122" t="s">
        <v>1000</v>
      </c>
      <c r="B59" s="122" t="s">
        <v>1862</v>
      </c>
      <c r="C59" s="122" t="s">
        <v>1824</v>
      </c>
      <c r="D59" s="125">
        <v>2.0</v>
      </c>
      <c r="E59" s="125">
        <v>9.0</v>
      </c>
      <c r="F59" s="125">
        <v>12.0</v>
      </c>
      <c r="G59" s="125">
        <v>11.0</v>
      </c>
      <c r="H59" s="125">
        <v>7.0</v>
      </c>
      <c r="I59" s="125">
        <v>6.0</v>
      </c>
      <c r="J59" s="125">
        <v>0.0</v>
      </c>
      <c r="K59" s="125">
        <v>9.0</v>
      </c>
      <c r="L59" s="125">
        <v>67.0</v>
      </c>
    </row>
    <row r="60">
      <c r="A60" s="122" t="s">
        <v>747</v>
      </c>
      <c r="B60" s="122" t="s">
        <v>749</v>
      </c>
      <c r="C60" s="122" t="s">
        <v>1824</v>
      </c>
      <c r="D60" s="125">
        <v>2.0</v>
      </c>
      <c r="E60" s="125">
        <v>4.0</v>
      </c>
      <c r="F60" s="125">
        <v>17.0</v>
      </c>
      <c r="G60" s="125">
        <v>14.0</v>
      </c>
      <c r="H60" s="125">
        <v>10.0</v>
      </c>
      <c r="I60" s="125">
        <v>8.0</v>
      </c>
      <c r="J60" s="125">
        <v>0.0</v>
      </c>
      <c r="K60" s="125">
        <v>11.0</v>
      </c>
      <c r="L60" s="125">
        <v>52.0</v>
      </c>
    </row>
    <row r="61">
      <c r="A61" s="122" t="s">
        <v>756</v>
      </c>
      <c r="B61" s="122" t="s">
        <v>1863</v>
      </c>
      <c r="C61" s="122" t="s">
        <v>1825</v>
      </c>
      <c r="D61" s="125">
        <v>30.0</v>
      </c>
      <c r="E61" s="125">
        <v>32.0</v>
      </c>
      <c r="F61" s="125">
        <v>38.0</v>
      </c>
      <c r="G61" s="125">
        <v>37.0</v>
      </c>
      <c r="H61" s="125">
        <v>37.0</v>
      </c>
      <c r="I61" s="125">
        <v>38.0</v>
      </c>
      <c r="J61" s="125">
        <v>7.0</v>
      </c>
      <c r="K61" s="125">
        <v>36.0</v>
      </c>
      <c r="L61" s="125">
        <v>312.0</v>
      </c>
    </row>
    <row r="62">
      <c r="A62" s="122" t="s">
        <v>753</v>
      </c>
      <c r="B62" s="122" t="s">
        <v>1864</v>
      </c>
      <c r="C62" s="122" t="s">
        <v>1825</v>
      </c>
      <c r="D62" s="125">
        <v>7.0</v>
      </c>
      <c r="E62" s="125">
        <v>3.0</v>
      </c>
      <c r="F62" s="125">
        <v>7.0</v>
      </c>
      <c r="G62" s="125">
        <v>16.0</v>
      </c>
      <c r="H62" s="125">
        <v>21.0</v>
      </c>
      <c r="I62" s="125">
        <v>12.0</v>
      </c>
      <c r="J62" s="125">
        <v>0.0</v>
      </c>
      <c r="K62" s="125">
        <v>12.0</v>
      </c>
      <c r="L62" s="125">
        <v>160.0</v>
      </c>
    </row>
    <row r="63">
      <c r="A63" s="122" t="s">
        <v>750</v>
      </c>
      <c r="B63" s="122" t="s">
        <v>1865</v>
      </c>
      <c r="C63" s="122" t="s">
        <v>1825</v>
      </c>
      <c r="D63" s="125">
        <v>15.0</v>
      </c>
      <c r="E63" s="125">
        <v>2.0</v>
      </c>
      <c r="F63" s="125">
        <v>0.0</v>
      </c>
      <c r="G63" s="125">
        <v>7.0</v>
      </c>
      <c r="H63" s="125">
        <v>28.0</v>
      </c>
      <c r="I63" s="125">
        <v>13.0</v>
      </c>
      <c r="J63" s="125">
        <v>3.0</v>
      </c>
      <c r="K63" s="125">
        <v>10.0</v>
      </c>
      <c r="L63" s="125">
        <v>265.0</v>
      </c>
    </row>
    <row r="64">
      <c r="A64" s="122" t="s">
        <v>945</v>
      </c>
      <c r="B64" s="122" t="s">
        <v>1866</v>
      </c>
      <c r="C64" s="122" t="s">
        <v>1829</v>
      </c>
      <c r="D64" s="125">
        <v>20.0</v>
      </c>
      <c r="E64" s="125">
        <v>0.0</v>
      </c>
      <c r="F64" s="125">
        <v>0.0</v>
      </c>
      <c r="G64" s="125">
        <v>0.0</v>
      </c>
      <c r="H64" s="125">
        <v>0.0</v>
      </c>
      <c r="I64" s="125">
        <v>0.0</v>
      </c>
      <c r="J64" s="125">
        <v>0.0</v>
      </c>
      <c r="K64" s="125">
        <v>0.0</v>
      </c>
      <c r="L64" s="125">
        <v>0.0</v>
      </c>
    </row>
    <row r="65">
      <c r="A65" s="122" t="s">
        <v>568</v>
      </c>
      <c r="B65" s="122" t="s">
        <v>1867</v>
      </c>
      <c r="C65" s="122" t="s">
        <v>1825</v>
      </c>
      <c r="D65" s="125">
        <v>7.0</v>
      </c>
      <c r="E65" s="125">
        <v>0.0</v>
      </c>
      <c r="F65" s="125">
        <v>0.0</v>
      </c>
      <c r="G65" s="125">
        <v>0.0</v>
      </c>
      <c r="H65" s="125">
        <v>0.0</v>
      </c>
      <c r="I65" s="125">
        <v>0.0</v>
      </c>
      <c r="J65" s="125">
        <v>0.0</v>
      </c>
      <c r="K65" s="125">
        <v>0.0</v>
      </c>
      <c r="L65" s="125">
        <v>0.0</v>
      </c>
    </row>
    <row r="66">
      <c r="A66" s="122" t="s">
        <v>813</v>
      </c>
      <c r="B66" s="122" t="s">
        <v>812</v>
      </c>
      <c r="C66" s="122" t="s">
        <v>1829</v>
      </c>
      <c r="D66" s="125">
        <v>5.0</v>
      </c>
      <c r="E66" s="125">
        <v>0.0</v>
      </c>
      <c r="F66" s="125">
        <v>0.0</v>
      </c>
      <c r="G66" s="125">
        <v>0.0</v>
      </c>
      <c r="H66" s="125">
        <v>0.0</v>
      </c>
      <c r="I66" s="125">
        <v>0.0</v>
      </c>
      <c r="J66" s="125">
        <v>0.0</v>
      </c>
      <c r="K66" s="125">
        <v>0.0</v>
      </c>
      <c r="L66" s="125">
        <v>0.0</v>
      </c>
    </row>
    <row r="67">
      <c r="A67" s="122" t="s">
        <v>817</v>
      </c>
      <c r="B67" s="122" t="s">
        <v>812</v>
      </c>
      <c r="C67" s="122" t="s">
        <v>1829</v>
      </c>
      <c r="D67" s="125">
        <v>5.0</v>
      </c>
      <c r="E67" s="125">
        <v>0.0</v>
      </c>
      <c r="F67" s="125">
        <v>0.0</v>
      </c>
      <c r="G67" s="125">
        <v>0.0</v>
      </c>
      <c r="H67" s="125">
        <v>0.0</v>
      </c>
      <c r="I67" s="125">
        <v>0.0</v>
      </c>
      <c r="J67" s="125">
        <v>0.0</v>
      </c>
      <c r="K67" s="125">
        <v>0.0</v>
      </c>
      <c r="L67" s="125">
        <v>0.0</v>
      </c>
    </row>
    <row r="68">
      <c r="A68" s="122" t="s">
        <v>810</v>
      </c>
      <c r="B68" s="122" t="s">
        <v>1868</v>
      </c>
      <c r="C68" s="122" t="s">
        <v>1829</v>
      </c>
      <c r="D68" s="125">
        <v>5.0</v>
      </c>
      <c r="E68" s="125">
        <v>0.0</v>
      </c>
      <c r="F68" s="125">
        <v>0.0</v>
      </c>
      <c r="G68" s="125">
        <v>0.0</v>
      </c>
      <c r="H68" s="125">
        <v>0.0</v>
      </c>
      <c r="I68" s="125">
        <v>0.0</v>
      </c>
      <c r="J68" s="125">
        <v>0.0</v>
      </c>
      <c r="K68" s="125">
        <v>0.0</v>
      </c>
      <c r="L68" s="125">
        <v>0.0</v>
      </c>
    </row>
    <row r="69">
      <c r="A69" s="122" t="s">
        <v>815</v>
      </c>
      <c r="B69" s="122" t="s">
        <v>812</v>
      </c>
      <c r="C69" s="122" t="s">
        <v>1829</v>
      </c>
      <c r="D69" s="125">
        <v>0.0</v>
      </c>
      <c r="E69" s="125">
        <v>0.0</v>
      </c>
      <c r="F69" s="125">
        <v>0.0</v>
      </c>
      <c r="G69" s="125">
        <v>0.0</v>
      </c>
      <c r="H69" s="125">
        <v>0.0</v>
      </c>
      <c r="I69" s="125">
        <v>0.0</v>
      </c>
      <c r="J69" s="125">
        <v>0.0</v>
      </c>
      <c r="K69" s="125">
        <v>0.0</v>
      </c>
      <c r="L69" s="125">
        <v>0.0</v>
      </c>
    </row>
    <row r="70">
      <c r="A70" s="122" t="s">
        <v>819</v>
      </c>
      <c r="B70" s="122" t="s">
        <v>812</v>
      </c>
      <c r="C70" s="122" t="s">
        <v>1831</v>
      </c>
      <c r="D70" s="125">
        <v>5.0</v>
      </c>
      <c r="E70" s="125">
        <v>0.0</v>
      </c>
      <c r="F70" s="125">
        <v>0.0</v>
      </c>
      <c r="G70" s="125">
        <v>0.0</v>
      </c>
      <c r="H70" s="125">
        <v>0.0</v>
      </c>
      <c r="I70" s="125">
        <v>0.0</v>
      </c>
      <c r="J70" s="125">
        <v>0.0</v>
      </c>
      <c r="K70" s="125">
        <v>0.0</v>
      </c>
      <c r="L70" s="125">
        <v>34.0</v>
      </c>
    </row>
    <row r="71">
      <c r="A71" s="122" t="s">
        <v>894</v>
      </c>
      <c r="B71" s="122" t="s">
        <v>1869</v>
      </c>
      <c r="C71" s="122" t="s">
        <v>1829</v>
      </c>
      <c r="D71" s="125">
        <v>5.0</v>
      </c>
      <c r="E71" s="125">
        <v>0.0</v>
      </c>
      <c r="F71" s="125">
        <v>0.0</v>
      </c>
      <c r="G71" s="125">
        <v>0.0</v>
      </c>
      <c r="H71" s="125">
        <v>0.0</v>
      </c>
      <c r="I71" s="125">
        <v>0.0</v>
      </c>
      <c r="J71" s="125">
        <v>0.0</v>
      </c>
      <c r="K71" s="125">
        <v>0.0</v>
      </c>
      <c r="L71" s="125">
        <v>0.0</v>
      </c>
    </row>
    <row r="72">
      <c r="A72" s="122" t="s">
        <v>891</v>
      </c>
      <c r="B72" s="122" t="s">
        <v>1870</v>
      </c>
      <c r="C72" s="122" t="s">
        <v>1831</v>
      </c>
      <c r="D72" s="125">
        <v>5.0</v>
      </c>
      <c r="E72" s="125">
        <v>1.0</v>
      </c>
      <c r="F72" s="125">
        <v>4.0</v>
      </c>
      <c r="G72" s="125">
        <v>1.0</v>
      </c>
      <c r="H72" s="125">
        <v>0.0</v>
      </c>
      <c r="I72" s="125">
        <v>0.0</v>
      </c>
      <c r="J72" s="125">
        <v>0.0</v>
      </c>
      <c r="K72" s="125">
        <v>1.0</v>
      </c>
      <c r="L72" s="125">
        <v>74.0</v>
      </c>
    </row>
    <row r="73">
      <c r="A73" s="122" t="s">
        <v>951</v>
      </c>
      <c r="B73" s="122" t="s">
        <v>1871</v>
      </c>
      <c r="C73" s="122" t="s">
        <v>1831</v>
      </c>
      <c r="D73" s="125">
        <v>10.0</v>
      </c>
      <c r="E73" s="125">
        <v>3.0</v>
      </c>
      <c r="F73" s="125">
        <v>5.0</v>
      </c>
      <c r="G73" s="125">
        <v>6.0</v>
      </c>
      <c r="H73" s="125">
        <v>8.0</v>
      </c>
      <c r="I73" s="125">
        <v>5.0</v>
      </c>
      <c r="J73" s="125">
        <v>3.0</v>
      </c>
      <c r="K73" s="125">
        <v>5.0</v>
      </c>
      <c r="L73" s="125">
        <v>152.0</v>
      </c>
    </row>
    <row r="74">
      <c r="A74" s="122" t="s">
        <v>948</v>
      </c>
      <c r="B74" s="122" t="s">
        <v>1872</v>
      </c>
      <c r="C74" s="122" t="s">
        <v>1831</v>
      </c>
      <c r="D74" s="125">
        <v>10.0</v>
      </c>
      <c r="E74" s="125">
        <v>12.0</v>
      </c>
      <c r="F74" s="125">
        <v>12.0</v>
      </c>
      <c r="G74" s="125">
        <v>12.0</v>
      </c>
      <c r="H74" s="125">
        <v>7.0</v>
      </c>
      <c r="I74" s="125">
        <v>11.0</v>
      </c>
      <c r="J74" s="125">
        <v>2.0</v>
      </c>
      <c r="K74" s="125">
        <v>11.0</v>
      </c>
      <c r="L74" s="125">
        <v>195.0</v>
      </c>
    </row>
    <row r="75">
      <c r="A75" s="122" t="s">
        <v>959</v>
      </c>
      <c r="B75" s="122" t="s">
        <v>1873</v>
      </c>
      <c r="C75" s="122" t="s">
        <v>1825</v>
      </c>
      <c r="D75" s="125">
        <v>12.0</v>
      </c>
      <c r="E75" s="125">
        <v>26.0</v>
      </c>
      <c r="F75" s="125">
        <v>17.0</v>
      </c>
      <c r="G75" s="125">
        <v>10.0</v>
      </c>
      <c r="H75" s="125">
        <v>15.0</v>
      </c>
      <c r="I75" s="125">
        <v>12.0</v>
      </c>
      <c r="J75" s="125">
        <v>1.0</v>
      </c>
      <c r="K75" s="125">
        <v>16.0</v>
      </c>
      <c r="L75" s="125">
        <v>218.0</v>
      </c>
    </row>
    <row r="76">
      <c r="A76" s="122" t="s">
        <v>954</v>
      </c>
      <c r="B76" s="122" t="s">
        <v>956</v>
      </c>
      <c r="C76" s="122" t="s">
        <v>1831</v>
      </c>
      <c r="D76" s="125">
        <v>3.0</v>
      </c>
      <c r="E76" s="125">
        <v>6.0</v>
      </c>
      <c r="F76" s="125">
        <v>0.0</v>
      </c>
      <c r="G76" s="125">
        <v>7.0</v>
      </c>
      <c r="H76" s="125">
        <v>3.0</v>
      </c>
      <c r="I76" s="125">
        <v>2.0</v>
      </c>
      <c r="J76" s="125">
        <v>0.0</v>
      </c>
      <c r="K76" s="125">
        <v>4.0</v>
      </c>
      <c r="L76" s="125">
        <v>15.0</v>
      </c>
    </row>
    <row r="77">
      <c r="A77" s="122" t="s">
        <v>957</v>
      </c>
      <c r="B77" s="122" t="s">
        <v>956</v>
      </c>
      <c r="C77" s="122" t="s">
        <v>1831</v>
      </c>
      <c r="D77" s="125">
        <v>5.0</v>
      </c>
      <c r="E77" s="125">
        <v>3.0</v>
      </c>
      <c r="F77" s="125">
        <v>5.0</v>
      </c>
      <c r="G77" s="125">
        <v>4.0</v>
      </c>
      <c r="H77" s="125">
        <v>1.0</v>
      </c>
      <c r="I77" s="125">
        <v>3.0</v>
      </c>
      <c r="J77" s="125">
        <v>0.0</v>
      </c>
      <c r="K77" s="125">
        <v>3.0</v>
      </c>
      <c r="L77" s="125">
        <v>114.0</v>
      </c>
    </row>
    <row r="78">
      <c r="A78" s="122" t="s">
        <v>1109</v>
      </c>
      <c r="B78" s="122" t="s">
        <v>1874</v>
      </c>
      <c r="C78" s="122" t="s">
        <v>1829</v>
      </c>
      <c r="D78" s="125">
        <v>3.0</v>
      </c>
      <c r="E78" s="125">
        <v>0.0</v>
      </c>
      <c r="F78" s="125">
        <v>0.0</v>
      </c>
      <c r="G78" s="125">
        <v>0.0</v>
      </c>
      <c r="H78" s="125">
        <v>0.0</v>
      </c>
      <c r="I78" s="125">
        <v>0.0</v>
      </c>
      <c r="J78" s="125">
        <v>0.0</v>
      </c>
      <c r="K78" s="125">
        <v>0.0</v>
      </c>
      <c r="L78" s="125">
        <v>0.0</v>
      </c>
    </row>
    <row r="79">
      <c r="A79" s="122" t="s">
        <v>1112</v>
      </c>
      <c r="B79" s="122" t="s">
        <v>1875</v>
      </c>
      <c r="C79" s="122" t="s">
        <v>1829</v>
      </c>
      <c r="D79" s="125">
        <v>3.0</v>
      </c>
      <c r="E79" s="125">
        <v>0.0</v>
      </c>
      <c r="F79" s="125">
        <v>0.0</v>
      </c>
      <c r="G79" s="125">
        <v>0.0</v>
      </c>
      <c r="H79" s="125">
        <v>0.0</v>
      </c>
      <c r="I79" s="125">
        <v>0.0</v>
      </c>
      <c r="J79" s="125">
        <v>0.0</v>
      </c>
      <c r="K79" s="125">
        <v>0.0</v>
      </c>
      <c r="L79" s="125">
        <v>0.0</v>
      </c>
    </row>
    <row r="80">
      <c r="A80" s="122" t="s">
        <v>1106</v>
      </c>
      <c r="B80" s="122" t="s">
        <v>1876</v>
      </c>
      <c r="C80" s="122" t="s">
        <v>1829</v>
      </c>
      <c r="D80" s="125">
        <v>3.0</v>
      </c>
      <c r="E80" s="125">
        <v>0.0</v>
      </c>
      <c r="F80" s="125">
        <v>0.0</v>
      </c>
      <c r="G80" s="125">
        <v>0.0</v>
      </c>
      <c r="H80" s="125">
        <v>0.0</v>
      </c>
      <c r="I80" s="125">
        <v>0.0</v>
      </c>
      <c r="J80" s="125">
        <v>0.0</v>
      </c>
      <c r="K80" s="125">
        <v>0.0</v>
      </c>
      <c r="L80" s="125">
        <v>0.0</v>
      </c>
    </row>
    <row r="81">
      <c r="A81" s="122" t="s">
        <v>1118</v>
      </c>
      <c r="B81" s="122" t="s">
        <v>1877</v>
      </c>
      <c r="C81" s="122" t="s">
        <v>1829</v>
      </c>
      <c r="D81" s="125">
        <v>3.0</v>
      </c>
      <c r="E81" s="125">
        <v>0.0</v>
      </c>
      <c r="F81" s="125">
        <v>0.0</v>
      </c>
      <c r="G81" s="125">
        <v>0.0</v>
      </c>
      <c r="H81" s="125">
        <v>0.0</v>
      </c>
      <c r="I81" s="125">
        <v>0.0</v>
      </c>
      <c r="J81" s="125">
        <v>0.0</v>
      </c>
      <c r="K81" s="125">
        <v>0.0</v>
      </c>
      <c r="L81" s="125">
        <v>0.0</v>
      </c>
    </row>
    <row r="82">
      <c r="A82" s="122" t="s">
        <v>1121</v>
      </c>
      <c r="B82" s="122" t="s">
        <v>1878</v>
      </c>
      <c r="C82" s="122" t="s">
        <v>1829</v>
      </c>
      <c r="D82" s="125">
        <v>3.0</v>
      </c>
      <c r="E82" s="125">
        <v>0.0</v>
      </c>
      <c r="F82" s="125">
        <v>0.0</v>
      </c>
      <c r="G82" s="125">
        <v>0.0</v>
      </c>
      <c r="H82" s="125">
        <v>0.0</v>
      </c>
      <c r="I82" s="125">
        <v>0.0</v>
      </c>
      <c r="J82" s="125">
        <v>0.0</v>
      </c>
      <c r="K82" s="125">
        <v>0.0</v>
      </c>
      <c r="L82" s="125">
        <v>0.0</v>
      </c>
    </row>
    <row r="83">
      <c r="A83" s="122" t="s">
        <v>1115</v>
      </c>
      <c r="B83" s="122" t="s">
        <v>1879</v>
      </c>
      <c r="C83" s="122" t="s">
        <v>1829</v>
      </c>
      <c r="D83" s="125">
        <v>3.0</v>
      </c>
      <c r="E83" s="125">
        <v>0.0</v>
      </c>
      <c r="F83" s="125">
        <v>0.0</v>
      </c>
      <c r="G83" s="125">
        <v>0.0</v>
      </c>
      <c r="H83" s="125">
        <v>0.0</v>
      </c>
      <c r="I83" s="125">
        <v>0.0</v>
      </c>
      <c r="J83" s="125">
        <v>0.0</v>
      </c>
      <c r="K83" s="125">
        <v>0.0</v>
      </c>
      <c r="L83" s="125">
        <v>0.0</v>
      </c>
    </row>
    <row r="84">
      <c r="A84" s="122" t="s">
        <v>493</v>
      </c>
      <c r="B84" s="122" t="s">
        <v>495</v>
      </c>
      <c r="C84" s="122" t="s">
        <v>1825</v>
      </c>
      <c r="D84" s="125">
        <v>20.0</v>
      </c>
      <c r="E84" s="125">
        <v>68.0</v>
      </c>
      <c r="F84" s="125">
        <v>51.0</v>
      </c>
      <c r="G84" s="125">
        <v>28.0</v>
      </c>
      <c r="H84" s="125">
        <v>0.0</v>
      </c>
      <c r="I84" s="125">
        <v>3.0</v>
      </c>
      <c r="J84" s="125">
        <v>0.0</v>
      </c>
      <c r="K84" s="125">
        <v>30.0</v>
      </c>
      <c r="L84" s="125">
        <v>55.0</v>
      </c>
    </row>
    <row r="85">
      <c r="A85" s="122" t="s">
        <v>533</v>
      </c>
      <c r="B85" s="122" t="s">
        <v>1880</v>
      </c>
      <c r="C85" s="122" t="s">
        <v>1825</v>
      </c>
      <c r="D85" s="125">
        <v>10.0</v>
      </c>
      <c r="E85" s="125">
        <v>12.0</v>
      </c>
      <c r="F85" s="125">
        <v>21.0</v>
      </c>
      <c r="G85" s="125">
        <v>20.0</v>
      </c>
      <c r="H85" s="125">
        <v>25.0</v>
      </c>
      <c r="I85" s="125">
        <v>27.0</v>
      </c>
      <c r="J85" s="125">
        <v>1.0</v>
      </c>
      <c r="K85" s="125">
        <v>21.0</v>
      </c>
      <c r="L85" s="125">
        <v>478.0</v>
      </c>
    </row>
    <row r="86">
      <c r="A86" s="122" t="s">
        <v>502</v>
      </c>
      <c r="B86" s="122" t="s">
        <v>504</v>
      </c>
      <c r="C86" s="122" t="s">
        <v>1824</v>
      </c>
      <c r="D86" s="125">
        <v>50.0</v>
      </c>
      <c r="E86" s="125">
        <v>8.0</v>
      </c>
      <c r="F86" s="125">
        <v>38.0</v>
      </c>
      <c r="G86" s="125">
        <v>46.0</v>
      </c>
      <c r="H86" s="125">
        <v>49.0</v>
      </c>
      <c r="I86" s="125">
        <v>34.0</v>
      </c>
      <c r="J86" s="125">
        <v>1.0</v>
      </c>
      <c r="K86" s="125">
        <v>35.0</v>
      </c>
      <c r="L86" s="125">
        <v>989.0</v>
      </c>
    </row>
    <row r="87">
      <c r="A87" s="122" t="s">
        <v>505</v>
      </c>
      <c r="B87" s="122" t="s">
        <v>504</v>
      </c>
      <c r="C87" s="122" t="s">
        <v>1824</v>
      </c>
      <c r="D87" s="125">
        <v>10.0</v>
      </c>
      <c r="E87" s="125">
        <v>31.0</v>
      </c>
      <c r="F87" s="125">
        <v>17.0</v>
      </c>
      <c r="G87" s="125">
        <v>20.0</v>
      </c>
      <c r="H87" s="125">
        <v>27.0</v>
      </c>
      <c r="I87" s="125">
        <v>23.0</v>
      </c>
      <c r="J87" s="125">
        <v>0.0</v>
      </c>
      <c r="K87" s="125">
        <v>24.0</v>
      </c>
      <c r="L87" s="125">
        <v>144.0</v>
      </c>
    </row>
    <row r="88">
      <c r="A88" s="122" t="s">
        <v>659</v>
      </c>
      <c r="B88" s="122" t="s">
        <v>1881</v>
      </c>
      <c r="C88" s="122" t="s">
        <v>1824</v>
      </c>
      <c r="D88" s="125">
        <v>10.0</v>
      </c>
      <c r="E88" s="125">
        <v>6.0</v>
      </c>
      <c r="F88" s="125">
        <v>9.0</v>
      </c>
      <c r="G88" s="125">
        <v>9.0</v>
      </c>
      <c r="H88" s="125">
        <v>4.0</v>
      </c>
      <c r="I88" s="125">
        <v>7.0</v>
      </c>
      <c r="J88" s="125">
        <v>1.0</v>
      </c>
      <c r="K88" s="125">
        <v>7.0</v>
      </c>
      <c r="L88" s="125">
        <v>197.0</v>
      </c>
    </row>
    <row r="89">
      <c r="A89" s="122" t="s">
        <v>937</v>
      </c>
      <c r="B89" s="122" t="s">
        <v>939</v>
      </c>
      <c r="C89" s="122" t="s">
        <v>1824</v>
      </c>
      <c r="D89" s="125">
        <v>9.0</v>
      </c>
      <c r="E89" s="125">
        <v>1.0</v>
      </c>
      <c r="F89" s="125">
        <v>6.0</v>
      </c>
      <c r="G89" s="125">
        <v>13.0</v>
      </c>
      <c r="H89" s="125">
        <v>4.0</v>
      </c>
      <c r="I89" s="125">
        <v>9.0</v>
      </c>
      <c r="J89" s="125">
        <v>0.0</v>
      </c>
      <c r="K89" s="125">
        <v>7.0</v>
      </c>
      <c r="L89" s="125">
        <v>197.0</v>
      </c>
    </row>
    <row r="90">
      <c r="A90" s="122" t="s">
        <v>942</v>
      </c>
      <c r="B90" s="122" t="s">
        <v>944</v>
      </c>
      <c r="C90" s="122" t="s">
        <v>1829</v>
      </c>
      <c r="D90" s="125">
        <v>3.0</v>
      </c>
      <c r="E90" s="125">
        <v>0.0</v>
      </c>
      <c r="F90" s="125">
        <v>0.0</v>
      </c>
      <c r="G90" s="125">
        <v>0.0</v>
      </c>
      <c r="H90" s="125">
        <v>0.0</v>
      </c>
      <c r="I90" s="125">
        <v>0.0</v>
      </c>
      <c r="J90" s="125">
        <v>0.0</v>
      </c>
      <c r="K90" s="125">
        <v>0.0</v>
      </c>
      <c r="L90" s="125">
        <v>0.0</v>
      </c>
    </row>
    <row r="91">
      <c r="A91" s="122" t="s">
        <v>611</v>
      </c>
      <c r="B91" s="122" t="s">
        <v>613</v>
      </c>
      <c r="C91" s="122" t="s">
        <v>1824</v>
      </c>
      <c r="D91" s="125">
        <v>70.0</v>
      </c>
      <c r="E91" s="125">
        <v>67.0</v>
      </c>
      <c r="F91" s="125">
        <v>53.0</v>
      </c>
      <c r="G91" s="125">
        <v>73.0</v>
      </c>
      <c r="H91" s="125">
        <v>54.0</v>
      </c>
      <c r="I91" s="125">
        <v>55.0</v>
      </c>
      <c r="J91" s="125">
        <v>3.0</v>
      </c>
      <c r="K91" s="125">
        <v>60.0</v>
      </c>
      <c r="L91" s="125">
        <v>974.0</v>
      </c>
    </row>
    <row r="92">
      <c r="A92" s="122" t="s">
        <v>606</v>
      </c>
      <c r="B92" s="122" t="s">
        <v>608</v>
      </c>
      <c r="C92" s="122" t="s">
        <v>1824</v>
      </c>
      <c r="D92" s="125">
        <v>40.0</v>
      </c>
      <c r="E92" s="125">
        <v>5.0</v>
      </c>
      <c r="F92" s="125">
        <v>4.0</v>
      </c>
      <c r="G92" s="125">
        <v>7.0</v>
      </c>
      <c r="H92" s="125">
        <v>10.0</v>
      </c>
      <c r="I92" s="125">
        <v>12.0</v>
      </c>
      <c r="J92" s="125">
        <v>0.0</v>
      </c>
      <c r="K92" s="125">
        <v>8.0</v>
      </c>
      <c r="L92" s="125">
        <v>616.0</v>
      </c>
    </row>
    <row r="93">
      <c r="A93" s="122" t="s">
        <v>459</v>
      </c>
      <c r="B93" s="122" t="s">
        <v>461</v>
      </c>
      <c r="C93" s="122" t="s">
        <v>1824</v>
      </c>
      <c r="D93" s="125">
        <v>40.0</v>
      </c>
      <c r="E93" s="125">
        <v>55.0</v>
      </c>
      <c r="F93" s="125">
        <v>47.0</v>
      </c>
      <c r="G93" s="125">
        <v>49.0</v>
      </c>
      <c r="H93" s="125">
        <v>34.0</v>
      </c>
      <c r="I93" s="125">
        <v>58.0</v>
      </c>
      <c r="J93" s="125">
        <v>7.0</v>
      </c>
      <c r="K93" s="125">
        <v>49.0</v>
      </c>
      <c r="L93" s="125">
        <v>462.0</v>
      </c>
    </row>
    <row r="94">
      <c r="A94" s="122" t="s">
        <v>476</v>
      </c>
      <c r="B94" s="122" t="s">
        <v>478</v>
      </c>
      <c r="C94" s="122" t="s">
        <v>1824</v>
      </c>
      <c r="D94" s="125">
        <v>15.0</v>
      </c>
      <c r="E94" s="125">
        <v>12.0</v>
      </c>
      <c r="F94" s="125">
        <v>7.0</v>
      </c>
      <c r="G94" s="125">
        <v>11.0</v>
      </c>
      <c r="H94" s="125">
        <v>29.0</v>
      </c>
      <c r="I94" s="125">
        <v>16.0</v>
      </c>
      <c r="J94" s="125">
        <v>2.0</v>
      </c>
      <c r="K94" s="125">
        <v>15.0</v>
      </c>
      <c r="L94" s="125">
        <v>211.0</v>
      </c>
    </row>
    <row r="95">
      <c r="A95" s="122" t="s">
        <v>490</v>
      </c>
      <c r="B95" s="122" t="s">
        <v>492</v>
      </c>
      <c r="C95" s="122" t="s">
        <v>1824</v>
      </c>
      <c r="D95" s="125">
        <v>15.0</v>
      </c>
      <c r="E95" s="125">
        <v>9.0</v>
      </c>
      <c r="F95" s="125">
        <v>15.0</v>
      </c>
      <c r="G95" s="125">
        <v>26.0</v>
      </c>
      <c r="H95" s="125">
        <v>6.0</v>
      </c>
      <c r="I95" s="125">
        <v>7.0</v>
      </c>
      <c r="J95" s="125">
        <v>1.0</v>
      </c>
      <c r="K95" s="125">
        <v>13.0</v>
      </c>
      <c r="L95" s="125">
        <v>203.0</v>
      </c>
    </row>
    <row r="96">
      <c r="A96" s="122" t="s">
        <v>571</v>
      </c>
      <c r="B96" s="122" t="s">
        <v>1882</v>
      </c>
      <c r="C96" s="122" t="s">
        <v>1825</v>
      </c>
      <c r="D96" s="125">
        <v>10.0</v>
      </c>
      <c r="E96" s="125">
        <v>5.0</v>
      </c>
      <c r="F96" s="125">
        <v>8.0</v>
      </c>
      <c r="G96" s="125">
        <v>13.0</v>
      </c>
      <c r="H96" s="125">
        <v>10.0</v>
      </c>
      <c r="I96" s="125">
        <v>11.0</v>
      </c>
      <c r="J96" s="125">
        <v>1.0</v>
      </c>
      <c r="K96" s="125">
        <v>9.0</v>
      </c>
      <c r="L96" s="125">
        <v>135.0</v>
      </c>
    </row>
    <row r="97">
      <c r="A97" s="122" t="s">
        <v>689</v>
      </c>
      <c r="B97" s="122" t="s">
        <v>691</v>
      </c>
      <c r="C97" s="122" t="s">
        <v>1824</v>
      </c>
      <c r="D97" s="125">
        <v>14.0</v>
      </c>
      <c r="E97" s="125">
        <v>1.0</v>
      </c>
      <c r="F97" s="125">
        <v>4.0</v>
      </c>
      <c r="G97" s="125">
        <v>4.0</v>
      </c>
      <c r="H97" s="125">
        <v>3.0</v>
      </c>
      <c r="I97" s="125">
        <v>0.0</v>
      </c>
      <c r="J97" s="125">
        <v>0.0</v>
      </c>
      <c r="K97" s="125">
        <v>2.0</v>
      </c>
      <c r="L97" s="125">
        <v>193.0</v>
      </c>
    </row>
    <row r="98">
      <c r="A98" s="122" t="s">
        <v>522</v>
      </c>
      <c r="B98" s="122" t="s">
        <v>524</v>
      </c>
      <c r="C98" s="122" t="s">
        <v>1824</v>
      </c>
      <c r="D98" s="125">
        <v>60.0</v>
      </c>
      <c r="E98" s="125">
        <v>57.0</v>
      </c>
      <c r="F98" s="125">
        <v>57.0</v>
      </c>
      <c r="G98" s="125">
        <v>45.0</v>
      </c>
      <c r="H98" s="125">
        <v>53.0</v>
      </c>
      <c r="I98" s="125">
        <v>66.0</v>
      </c>
      <c r="J98" s="125">
        <v>4.0</v>
      </c>
      <c r="K98" s="125">
        <v>56.0</v>
      </c>
      <c r="L98" s="125">
        <v>462.0</v>
      </c>
    </row>
    <row r="99">
      <c r="A99" s="122" t="s">
        <v>873</v>
      </c>
      <c r="B99" s="122" t="s">
        <v>875</v>
      </c>
      <c r="C99" s="122" t="s">
        <v>1831</v>
      </c>
      <c r="D99" s="125">
        <v>10.0</v>
      </c>
      <c r="E99" s="125">
        <v>12.0</v>
      </c>
      <c r="F99" s="125">
        <v>15.0</v>
      </c>
      <c r="G99" s="125">
        <v>21.0</v>
      </c>
      <c r="H99" s="125">
        <v>15.0</v>
      </c>
      <c r="I99" s="125">
        <v>17.0</v>
      </c>
      <c r="J99" s="125">
        <v>0.0</v>
      </c>
      <c r="K99" s="125">
        <v>16.0</v>
      </c>
      <c r="L99" s="125">
        <v>241.0</v>
      </c>
    </row>
    <row r="100">
      <c r="A100" s="122" t="s">
        <v>1026</v>
      </c>
      <c r="B100" s="122" t="s">
        <v>1883</v>
      </c>
      <c r="C100" s="122" t="s">
        <v>1825</v>
      </c>
      <c r="D100" s="125">
        <v>35.0</v>
      </c>
      <c r="E100" s="125">
        <v>30.0</v>
      </c>
      <c r="F100" s="125">
        <v>52.0</v>
      </c>
      <c r="G100" s="125">
        <v>78.0</v>
      </c>
      <c r="H100" s="125">
        <v>70.0</v>
      </c>
      <c r="I100" s="125">
        <v>58.0</v>
      </c>
      <c r="J100" s="125">
        <v>2.0</v>
      </c>
      <c r="K100" s="125">
        <v>58.0</v>
      </c>
      <c r="L100" s="125">
        <v>338.0</v>
      </c>
    </row>
    <row r="101">
      <c r="A101" s="122" t="s">
        <v>848</v>
      </c>
      <c r="B101" s="122" t="s">
        <v>1884</v>
      </c>
      <c r="C101" s="122" t="s">
        <v>1825</v>
      </c>
      <c r="D101" s="125">
        <v>10.0</v>
      </c>
      <c r="E101" s="125">
        <v>1.0</v>
      </c>
      <c r="F101" s="125">
        <v>2.0</v>
      </c>
      <c r="G101" s="125">
        <v>2.0</v>
      </c>
      <c r="H101" s="125">
        <v>1.0</v>
      </c>
      <c r="I101" s="125">
        <v>3.0</v>
      </c>
      <c r="J101" s="125">
        <v>0.0</v>
      </c>
      <c r="K101" s="125">
        <v>2.0</v>
      </c>
      <c r="L101" s="125">
        <v>14.0</v>
      </c>
    </row>
    <row r="102">
      <c r="A102" s="122" t="s">
        <v>910</v>
      </c>
      <c r="B102" s="122" t="s">
        <v>912</v>
      </c>
      <c r="C102" s="122" t="s">
        <v>1825</v>
      </c>
      <c r="D102" s="125">
        <v>5.0</v>
      </c>
      <c r="E102" s="125">
        <v>2.0</v>
      </c>
      <c r="F102" s="125">
        <v>5.0</v>
      </c>
      <c r="G102" s="125">
        <v>5.0</v>
      </c>
      <c r="H102" s="125">
        <v>6.0</v>
      </c>
      <c r="I102" s="125">
        <v>0.0</v>
      </c>
      <c r="J102" s="125">
        <v>1.0</v>
      </c>
      <c r="K102" s="125">
        <v>4.0</v>
      </c>
      <c r="L102" s="125">
        <v>147.0</v>
      </c>
    </row>
    <row r="103">
      <c r="A103" s="122" t="s">
        <v>961</v>
      </c>
      <c r="B103" s="122" t="s">
        <v>1885</v>
      </c>
      <c r="C103" s="122" t="s">
        <v>1829</v>
      </c>
      <c r="D103" s="125">
        <v>0.0</v>
      </c>
      <c r="E103" s="125">
        <v>0.0</v>
      </c>
      <c r="F103" s="125">
        <v>0.0</v>
      </c>
      <c r="G103" s="125">
        <v>0.0</v>
      </c>
      <c r="H103" s="125">
        <v>0.0</v>
      </c>
      <c r="I103" s="125">
        <v>0.0</v>
      </c>
      <c r="J103" s="125">
        <v>0.0</v>
      </c>
      <c r="K103" s="125">
        <v>0.0</v>
      </c>
      <c r="L103" s="125">
        <v>0.0</v>
      </c>
    </row>
    <row r="104">
      <c r="A104" s="122" t="s">
        <v>928</v>
      </c>
      <c r="B104" s="122" t="s">
        <v>1886</v>
      </c>
      <c r="C104" s="122" t="s">
        <v>1824</v>
      </c>
      <c r="D104" s="125">
        <v>50.0</v>
      </c>
      <c r="E104" s="125">
        <v>38.0</v>
      </c>
      <c r="F104" s="125">
        <v>37.0</v>
      </c>
      <c r="G104" s="125">
        <v>52.0</v>
      </c>
      <c r="H104" s="125">
        <v>36.0</v>
      </c>
      <c r="I104" s="125">
        <v>44.0</v>
      </c>
      <c r="J104" s="125">
        <v>2.0</v>
      </c>
      <c r="K104" s="125">
        <v>41.0</v>
      </c>
      <c r="L104" s="125">
        <v>786.0</v>
      </c>
    </row>
    <row r="105">
      <c r="A105" s="122" t="s">
        <v>456</v>
      </c>
      <c r="B105" s="122" t="s">
        <v>458</v>
      </c>
      <c r="C105" s="122" t="s">
        <v>1825</v>
      </c>
      <c r="D105" s="125">
        <v>20.0</v>
      </c>
      <c r="E105" s="125">
        <v>4.0</v>
      </c>
      <c r="F105" s="125">
        <v>9.0</v>
      </c>
      <c r="G105" s="125">
        <v>13.0</v>
      </c>
      <c r="H105" s="125">
        <v>8.0</v>
      </c>
      <c r="I105" s="125">
        <v>35.0</v>
      </c>
      <c r="J105" s="125">
        <v>0.0</v>
      </c>
      <c r="K105" s="125">
        <v>14.0</v>
      </c>
      <c r="L105" s="125">
        <v>355.0</v>
      </c>
    </row>
    <row r="106">
      <c r="A106" s="122" t="s">
        <v>964</v>
      </c>
      <c r="B106" s="122" t="s">
        <v>1887</v>
      </c>
      <c r="C106" s="122" t="s">
        <v>1825</v>
      </c>
      <c r="D106" s="125">
        <v>10.0</v>
      </c>
      <c r="E106" s="125">
        <v>22.0</v>
      </c>
      <c r="F106" s="125">
        <v>22.0</v>
      </c>
      <c r="G106" s="125">
        <v>24.0</v>
      </c>
      <c r="H106" s="125">
        <v>19.0</v>
      </c>
      <c r="I106" s="125">
        <v>16.0</v>
      </c>
      <c r="J106" s="125">
        <v>1.0</v>
      </c>
      <c r="K106" s="125">
        <v>21.0</v>
      </c>
      <c r="L106" s="125">
        <v>100.0</v>
      </c>
    </row>
    <row r="107">
      <c r="A107" s="122" t="s">
        <v>441</v>
      </c>
      <c r="B107" s="122" t="s">
        <v>443</v>
      </c>
      <c r="C107" s="122" t="s">
        <v>1824</v>
      </c>
      <c r="D107" s="125">
        <v>300.0</v>
      </c>
      <c r="E107" s="125">
        <v>399.0</v>
      </c>
      <c r="F107" s="125">
        <v>317.0</v>
      </c>
      <c r="G107" s="125">
        <v>853.0</v>
      </c>
      <c r="H107" s="125">
        <v>666.0</v>
      </c>
      <c r="I107" s="125">
        <v>487.0</v>
      </c>
      <c r="J107" s="125">
        <v>39.0</v>
      </c>
      <c r="K107" s="125">
        <v>544.0</v>
      </c>
      <c r="L107" s="125">
        <v>1105.0</v>
      </c>
    </row>
    <row r="108">
      <c r="A108" s="122" t="s">
        <v>967</v>
      </c>
      <c r="B108" s="122" t="s">
        <v>1888</v>
      </c>
      <c r="C108" s="122" t="s">
        <v>1824</v>
      </c>
      <c r="D108" s="125">
        <v>30.0</v>
      </c>
      <c r="E108" s="125">
        <v>0.0</v>
      </c>
      <c r="F108" s="125">
        <v>3.0</v>
      </c>
      <c r="G108" s="125">
        <v>5.0</v>
      </c>
      <c r="H108" s="125">
        <v>4.0</v>
      </c>
      <c r="I108" s="125">
        <v>10.0</v>
      </c>
      <c r="J108" s="125">
        <v>0.0</v>
      </c>
      <c r="K108" s="125">
        <v>4.0</v>
      </c>
      <c r="L108" s="125">
        <v>539.0</v>
      </c>
    </row>
    <row r="109">
      <c r="A109" s="122" t="s">
        <v>836</v>
      </c>
      <c r="B109" s="122" t="s">
        <v>838</v>
      </c>
      <c r="C109" s="122" t="s">
        <v>1825</v>
      </c>
      <c r="D109" s="125">
        <v>15.0</v>
      </c>
      <c r="E109" s="125">
        <v>8.0</v>
      </c>
      <c r="F109" s="125">
        <v>11.0</v>
      </c>
      <c r="G109" s="125">
        <v>7.0</v>
      </c>
      <c r="H109" s="125">
        <v>10.0</v>
      </c>
      <c r="I109" s="125">
        <v>8.0</v>
      </c>
      <c r="J109" s="125">
        <v>3.0</v>
      </c>
      <c r="K109" s="125">
        <v>9.0</v>
      </c>
      <c r="L109" s="125">
        <v>74.0</v>
      </c>
    </row>
    <row r="110">
      <c r="A110" s="122" t="s">
        <v>513</v>
      </c>
      <c r="B110" s="122" t="s">
        <v>515</v>
      </c>
      <c r="C110" s="122" t="s">
        <v>1824</v>
      </c>
      <c r="D110" s="125">
        <v>30.0</v>
      </c>
      <c r="E110" s="125">
        <v>28.0</v>
      </c>
      <c r="F110" s="125">
        <v>4.0</v>
      </c>
      <c r="G110" s="125">
        <v>33.0</v>
      </c>
      <c r="H110" s="125">
        <v>14.0</v>
      </c>
      <c r="I110" s="125">
        <v>15.0</v>
      </c>
      <c r="J110" s="125">
        <v>0.0</v>
      </c>
      <c r="K110" s="125">
        <v>19.0</v>
      </c>
      <c r="L110" s="125">
        <v>451.0</v>
      </c>
    </row>
    <row r="111">
      <c r="A111" s="122" t="s">
        <v>1145</v>
      </c>
      <c r="B111" s="122" t="s">
        <v>1889</v>
      </c>
      <c r="C111" s="122" t="s">
        <v>1825</v>
      </c>
      <c r="D111" s="125">
        <v>30.0</v>
      </c>
      <c r="E111" s="125">
        <v>34.0</v>
      </c>
      <c r="F111" s="125">
        <v>30.0</v>
      </c>
      <c r="G111" s="125">
        <v>29.0</v>
      </c>
      <c r="H111" s="125">
        <v>39.0</v>
      </c>
      <c r="I111" s="125">
        <v>25.0</v>
      </c>
      <c r="J111" s="125">
        <v>2.0</v>
      </c>
      <c r="K111" s="125">
        <v>31.0</v>
      </c>
      <c r="L111" s="125">
        <v>138.0</v>
      </c>
    </row>
    <row r="112">
      <c r="A112" s="122" t="s">
        <v>510</v>
      </c>
      <c r="B112" s="122" t="s">
        <v>512</v>
      </c>
      <c r="C112" s="122" t="s">
        <v>1824</v>
      </c>
      <c r="D112" s="125">
        <v>30.0</v>
      </c>
      <c r="E112" s="125">
        <v>21.0</v>
      </c>
      <c r="F112" s="125">
        <v>34.0</v>
      </c>
      <c r="G112" s="125">
        <v>61.0</v>
      </c>
      <c r="H112" s="125">
        <v>28.0</v>
      </c>
      <c r="I112" s="125">
        <v>29.0</v>
      </c>
      <c r="J112" s="125">
        <v>0.0</v>
      </c>
      <c r="K112" s="125">
        <v>35.0</v>
      </c>
      <c r="L112" s="125">
        <v>426.0</v>
      </c>
    </row>
    <row r="113">
      <c r="A113" s="122" t="s">
        <v>931</v>
      </c>
      <c r="B113" s="122" t="s">
        <v>1890</v>
      </c>
      <c r="C113" s="122" t="s">
        <v>1824</v>
      </c>
      <c r="D113" s="125">
        <v>70.0</v>
      </c>
      <c r="E113" s="125">
        <v>80.0</v>
      </c>
      <c r="F113" s="125">
        <v>46.0</v>
      </c>
      <c r="G113" s="125">
        <v>73.0</v>
      </c>
      <c r="H113" s="125">
        <v>81.0</v>
      </c>
      <c r="I113" s="125">
        <v>62.0</v>
      </c>
      <c r="J113" s="125">
        <v>9.0</v>
      </c>
      <c r="K113" s="125">
        <v>68.0</v>
      </c>
      <c r="L113" s="125">
        <v>774.0</v>
      </c>
    </row>
    <row r="114">
      <c r="A114" s="122" t="s">
        <v>686</v>
      </c>
      <c r="B114" s="122" t="s">
        <v>688</v>
      </c>
      <c r="C114" s="122" t="s">
        <v>1825</v>
      </c>
      <c r="D114" s="125">
        <v>12.0</v>
      </c>
      <c r="E114" s="125">
        <v>0.0</v>
      </c>
      <c r="F114" s="125">
        <v>0.0</v>
      </c>
      <c r="G114" s="125">
        <v>0.0</v>
      </c>
      <c r="H114" s="125">
        <v>0.0</v>
      </c>
      <c r="I114" s="125">
        <v>0.0</v>
      </c>
      <c r="J114" s="125">
        <v>0.0</v>
      </c>
      <c r="K114" s="125">
        <v>0.0</v>
      </c>
      <c r="L114" s="125">
        <v>3.0</v>
      </c>
    </row>
    <row r="115">
      <c r="A115" s="122" t="s">
        <v>839</v>
      </c>
      <c r="B115" s="122" t="s">
        <v>1891</v>
      </c>
      <c r="C115" s="122" t="s">
        <v>1825</v>
      </c>
      <c r="D115" s="125">
        <v>30.0</v>
      </c>
      <c r="E115" s="125">
        <v>0.0</v>
      </c>
      <c r="F115" s="125">
        <v>0.0</v>
      </c>
      <c r="G115" s="125">
        <v>15.0</v>
      </c>
      <c r="H115" s="125">
        <v>18.0</v>
      </c>
      <c r="I115" s="125">
        <v>28.0</v>
      </c>
      <c r="J115" s="125">
        <v>4.0</v>
      </c>
      <c r="K115" s="125">
        <v>12.0</v>
      </c>
      <c r="L115" s="125">
        <v>331.0</v>
      </c>
    </row>
    <row r="116">
      <c r="A116" s="122" t="s">
        <v>842</v>
      </c>
      <c r="B116" s="122" t="s">
        <v>1892</v>
      </c>
      <c r="C116" s="122" t="s">
        <v>1825</v>
      </c>
      <c r="D116" s="125">
        <v>40.0</v>
      </c>
      <c r="E116" s="125">
        <v>1.0</v>
      </c>
      <c r="F116" s="125">
        <v>2.0</v>
      </c>
      <c r="G116" s="125">
        <v>18.0</v>
      </c>
      <c r="H116" s="125">
        <v>33.0</v>
      </c>
      <c r="I116" s="125">
        <v>36.0</v>
      </c>
      <c r="J116" s="125">
        <v>2.0</v>
      </c>
      <c r="K116" s="125">
        <v>18.0</v>
      </c>
      <c r="L116" s="125">
        <v>707.0</v>
      </c>
    </row>
    <row r="117">
      <c r="A117" s="122" t="s">
        <v>473</v>
      </c>
      <c r="B117" s="122" t="s">
        <v>475</v>
      </c>
      <c r="C117" s="122" t="s">
        <v>1825</v>
      </c>
      <c r="D117" s="125">
        <v>5.0</v>
      </c>
      <c r="E117" s="125">
        <v>1.0</v>
      </c>
      <c r="F117" s="125">
        <v>3.0</v>
      </c>
      <c r="G117" s="125">
        <v>7.0</v>
      </c>
      <c r="H117" s="125">
        <v>7.0</v>
      </c>
      <c r="I117" s="125">
        <v>9.0</v>
      </c>
      <c r="J117" s="125">
        <v>2.0</v>
      </c>
      <c r="K117" s="125">
        <v>5.0</v>
      </c>
      <c r="L117" s="125">
        <v>290.0</v>
      </c>
    </row>
    <row r="118">
      <c r="A118" s="122" t="s">
        <v>583</v>
      </c>
      <c r="B118" s="122" t="s">
        <v>1893</v>
      </c>
      <c r="C118" s="122" t="s">
        <v>1825</v>
      </c>
      <c r="D118" s="125">
        <v>5.0</v>
      </c>
      <c r="E118" s="125">
        <v>4.0</v>
      </c>
      <c r="F118" s="125">
        <v>8.0</v>
      </c>
      <c r="G118" s="125">
        <v>8.0</v>
      </c>
      <c r="H118" s="125">
        <v>4.0</v>
      </c>
      <c r="I118" s="125">
        <v>7.0</v>
      </c>
      <c r="J118" s="125">
        <v>1.0</v>
      </c>
      <c r="K118" s="125">
        <v>6.0</v>
      </c>
      <c r="L118" s="125">
        <v>232.0</v>
      </c>
    </row>
    <row r="119">
      <c r="A119" s="122" t="s">
        <v>586</v>
      </c>
      <c r="B119" s="122" t="s">
        <v>1894</v>
      </c>
      <c r="C119" s="122" t="s">
        <v>1825</v>
      </c>
      <c r="D119" s="125">
        <v>5.0</v>
      </c>
      <c r="E119" s="125">
        <v>0.0</v>
      </c>
      <c r="F119" s="125">
        <v>6.0</v>
      </c>
      <c r="G119" s="125">
        <v>1.0</v>
      </c>
      <c r="H119" s="125">
        <v>3.0</v>
      </c>
      <c r="I119" s="125">
        <v>5.0</v>
      </c>
      <c r="J119" s="125">
        <v>0.0</v>
      </c>
      <c r="K119" s="125">
        <v>3.0</v>
      </c>
      <c r="L119" s="125">
        <v>72.0</v>
      </c>
    </row>
    <row r="120">
      <c r="A120" s="122" t="s">
        <v>451</v>
      </c>
      <c r="B120" s="122" t="s">
        <v>453</v>
      </c>
      <c r="C120" s="122" t="s">
        <v>1824</v>
      </c>
      <c r="D120" s="125">
        <v>70.0</v>
      </c>
      <c r="E120" s="125">
        <v>73.0</v>
      </c>
      <c r="F120" s="125">
        <v>78.0</v>
      </c>
      <c r="G120" s="125">
        <v>109.0</v>
      </c>
      <c r="H120" s="125">
        <v>82.0</v>
      </c>
      <c r="I120" s="125">
        <v>84.0</v>
      </c>
      <c r="J120" s="125">
        <v>9.0</v>
      </c>
      <c r="K120" s="125">
        <v>85.0</v>
      </c>
      <c r="L120" s="125">
        <v>702.0</v>
      </c>
    </row>
    <row r="121">
      <c r="A121" s="122" t="s">
        <v>468</v>
      </c>
      <c r="B121" s="122" t="s">
        <v>469</v>
      </c>
      <c r="C121" s="122" t="s">
        <v>1825</v>
      </c>
      <c r="D121" s="125">
        <v>13.0</v>
      </c>
      <c r="E121" s="125">
        <v>11.0</v>
      </c>
      <c r="F121" s="125">
        <v>11.0</v>
      </c>
      <c r="G121" s="125">
        <v>19.0</v>
      </c>
      <c r="H121" s="125">
        <v>8.0</v>
      </c>
      <c r="I121" s="125">
        <v>12.0</v>
      </c>
      <c r="J121" s="125">
        <v>0.0</v>
      </c>
      <c r="K121" s="125">
        <v>12.0</v>
      </c>
      <c r="L121" s="125">
        <v>494.0</v>
      </c>
    </row>
    <row r="122">
      <c r="A122" s="122" t="s">
        <v>485</v>
      </c>
      <c r="B122" s="122" t="s">
        <v>486</v>
      </c>
      <c r="C122" s="122" t="s">
        <v>1824</v>
      </c>
      <c r="D122" s="125">
        <v>40.0</v>
      </c>
      <c r="E122" s="125">
        <v>15.0</v>
      </c>
      <c r="F122" s="125">
        <v>9.0</v>
      </c>
      <c r="G122" s="125">
        <v>11.0</v>
      </c>
      <c r="H122" s="125">
        <v>21.0</v>
      </c>
      <c r="I122" s="125">
        <v>27.0</v>
      </c>
      <c r="J122" s="125">
        <v>2.0</v>
      </c>
      <c r="K122" s="125">
        <v>17.0</v>
      </c>
      <c r="L122" s="125">
        <v>850.0</v>
      </c>
    </row>
    <row r="123">
      <c r="A123" s="122" t="s">
        <v>913</v>
      </c>
      <c r="B123" s="122" t="s">
        <v>915</v>
      </c>
      <c r="C123" s="122" t="s">
        <v>1825</v>
      </c>
      <c r="D123" s="125">
        <v>7.0</v>
      </c>
      <c r="E123" s="125">
        <v>2.0</v>
      </c>
      <c r="F123" s="125">
        <v>2.0</v>
      </c>
      <c r="G123" s="125">
        <v>4.0</v>
      </c>
      <c r="H123" s="125">
        <v>3.0</v>
      </c>
      <c r="I123" s="125">
        <v>3.0</v>
      </c>
      <c r="J123" s="125">
        <v>0.0</v>
      </c>
      <c r="K123" s="125">
        <v>3.0</v>
      </c>
      <c r="L123" s="125">
        <v>238.0</v>
      </c>
    </row>
    <row r="124">
      <c r="A124" s="122" t="s">
        <v>1086</v>
      </c>
      <c r="B124" s="122" t="s">
        <v>1895</v>
      </c>
      <c r="C124" s="122" t="s">
        <v>1825</v>
      </c>
      <c r="D124" s="125">
        <v>15.0</v>
      </c>
      <c r="E124" s="125">
        <v>19.0</v>
      </c>
      <c r="F124" s="125">
        <v>26.0</v>
      </c>
      <c r="G124" s="125">
        <v>18.0</v>
      </c>
      <c r="H124" s="125">
        <v>17.0</v>
      </c>
      <c r="I124" s="125">
        <v>12.0</v>
      </c>
      <c r="J124" s="125">
        <v>0.0</v>
      </c>
      <c r="K124" s="125">
        <v>18.0</v>
      </c>
      <c r="L124" s="125">
        <v>93.0</v>
      </c>
    </row>
    <row r="125">
      <c r="A125" s="122" t="s">
        <v>1089</v>
      </c>
      <c r="B125" s="122" t="s">
        <v>1896</v>
      </c>
      <c r="C125" s="122" t="s">
        <v>1825</v>
      </c>
      <c r="D125" s="125">
        <v>15.0</v>
      </c>
      <c r="E125" s="125">
        <v>14.0</v>
      </c>
      <c r="F125" s="125">
        <v>22.0</v>
      </c>
      <c r="G125" s="125">
        <v>9.0</v>
      </c>
      <c r="H125" s="125">
        <v>12.0</v>
      </c>
      <c r="I125" s="125">
        <v>6.0</v>
      </c>
      <c r="J125" s="125">
        <v>0.0</v>
      </c>
      <c r="K125" s="125">
        <v>13.0</v>
      </c>
      <c r="L125" s="125">
        <v>89.0</v>
      </c>
    </row>
    <row r="126">
      <c r="A126" s="122" t="s">
        <v>824</v>
      </c>
      <c r="B126" s="122" t="s">
        <v>1897</v>
      </c>
      <c r="C126" s="122" t="s">
        <v>1829</v>
      </c>
      <c r="D126" s="125">
        <v>5.0</v>
      </c>
      <c r="E126" s="125">
        <v>0.0</v>
      </c>
      <c r="F126" s="125">
        <v>0.0</v>
      </c>
      <c r="G126" s="125">
        <v>0.0</v>
      </c>
      <c r="H126" s="125">
        <v>1.0</v>
      </c>
      <c r="I126" s="125">
        <v>0.0</v>
      </c>
      <c r="J126" s="125">
        <v>0.0</v>
      </c>
      <c r="K126" s="125">
        <v>0.0</v>
      </c>
      <c r="L126" s="125">
        <v>11.0</v>
      </c>
    </row>
    <row r="127">
      <c r="A127" s="122" t="s">
        <v>709</v>
      </c>
      <c r="B127" s="122" t="s">
        <v>711</v>
      </c>
      <c r="C127" s="122" t="s">
        <v>1825</v>
      </c>
      <c r="D127" s="125">
        <v>150.0</v>
      </c>
      <c r="E127" s="125">
        <v>195.0</v>
      </c>
      <c r="F127" s="125">
        <v>183.0</v>
      </c>
      <c r="G127" s="125">
        <v>201.0</v>
      </c>
      <c r="H127" s="125">
        <v>183.0</v>
      </c>
      <c r="I127" s="125">
        <v>261.0</v>
      </c>
      <c r="J127" s="125">
        <v>26.0</v>
      </c>
      <c r="K127" s="125">
        <v>205.0</v>
      </c>
      <c r="L127" s="125">
        <v>825.0</v>
      </c>
    </row>
    <row r="128">
      <c r="A128" s="122" t="s">
        <v>695</v>
      </c>
      <c r="B128" s="122" t="s">
        <v>697</v>
      </c>
      <c r="C128" s="122" t="s">
        <v>1829</v>
      </c>
      <c r="D128" s="125">
        <v>2.0</v>
      </c>
      <c r="E128" s="125">
        <v>0.0</v>
      </c>
      <c r="F128" s="125">
        <v>0.0</v>
      </c>
      <c r="G128" s="125">
        <v>0.0</v>
      </c>
      <c r="H128" s="125">
        <v>0.0</v>
      </c>
      <c r="I128" s="125">
        <v>0.0</v>
      </c>
      <c r="J128" s="125">
        <v>0.0</v>
      </c>
      <c r="K128" s="125">
        <v>0.0</v>
      </c>
      <c r="L128" s="125">
        <v>0.0</v>
      </c>
    </row>
    <row r="129">
      <c r="A129" s="122" t="s">
        <v>765</v>
      </c>
      <c r="B129" s="122" t="s">
        <v>767</v>
      </c>
      <c r="C129" s="122" t="s">
        <v>1829</v>
      </c>
      <c r="D129" s="125">
        <v>0.0</v>
      </c>
      <c r="E129" s="125">
        <v>0.0</v>
      </c>
      <c r="F129" s="125">
        <v>0.0</v>
      </c>
      <c r="G129" s="125">
        <v>0.0</v>
      </c>
      <c r="H129" s="125">
        <v>0.0</v>
      </c>
      <c r="I129" s="125">
        <v>0.0</v>
      </c>
      <c r="J129" s="125">
        <v>0.0</v>
      </c>
      <c r="K129" s="125">
        <v>0.0</v>
      </c>
      <c r="L129" s="125">
        <v>0.0</v>
      </c>
    </row>
    <row r="130">
      <c r="A130" s="122" t="s">
        <v>768</v>
      </c>
      <c r="B130" s="122" t="s">
        <v>770</v>
      </c>
      <c r="C130" s="122" t="s">
        <v>1831</v>
      </c>
      <c r="D130" s="125">
        <v>5.0</v>
      </c>
      <c r="E130" s="125">
        <v>1.0</v>
      </c>
      <c r="F130" s="125">
        <v>0.0</v>
      </c>
      <c r="G130" s="125">
        <v>0.0</v>
      </c>
      <c r="H130" s="125">
        <v>1.0</v>
      </c>
      <c r="I130" s="125">
        <v>0.0</v>
      </c>
      <c r="J130" s="125">
        <v>0.0</v>
      </c>
      <c r="K130" s="125">
        <v>0.0</v>
      </c>
      <c r="L130" s="125">
        <v>51.0</v>
      </c>
    </row>
    <row r="131">
      <c r="A131" s="122" t="s">
        <v>762</v>
      </c>
      <c r="B131" s="122" t="s">
        <v>764</v>
      </c>
      <c r="C131" s="122" t="s">
        <v>1831</v>
      </c>
      <c r="D131" s="125">
        <v>5.0</v>
      </c>
      <c r="E131" s="125">
        <v>0.0</v>
      </c>
      <c r="F131" s="125">
        <v>0.0</v>
      </c>
      <c r="G131" s="125">
        <v>0.0</v>
      </c>
      <c r="H131" s="125">
        <v>0.0</v>
      </c>
      <c r="I131" s="125">
        <v>0.0</v>
      </c>
      <c r="J131" s="125">
        <v>0.0</v>
      </c>
      <c r="K131" s="125">
        <v>0.0</v>
      </c>
      <c r="L131" s="125">
        <v>8.0</v>
      </c>
    </row>
    <row r="132">
      <c r="A132" s="122" t="s">
        <v>632</v>
      </c>
      <c r="B132" s="122" t="s">
        <v>634</v>
      </c>
      <c r="C132" s="122" t="s">
        <v>1829</v>
      </c>
      <c r="D132" s="125">
        <v>3.0</v>
      </c>
      <c r="E132" s="125">
        <v>0.0</v>
      </c>
      <c r="F132" s="125">
        <v>0.0</v>
      </c>
      <c r="G132" s="125">
        <v>0.0</v>
      </c>
      <c r="H132" s="125">
        <v>0.0</v>
      </c>
      <c r="I132" s="125">
        <v>0.0</v>
      </c>
      <c r="J132" s="125">
        <v>0.0</v>
      </c>
      <c r="K132" s="125">
        <v>0.0</v>
      </c>
      <c r="L132" s="125">
        <v>0.0</v>
      </c>
    </row>
    <row r="133">
      <c r="A133" s="122" t="s">
        <v>635</v>
      </c>
      <c r="B133" s="122" t="s">
        <v>637</v>
      </c>
      <c r="C133" s="122" t="s">
        <v>1829</v>
      </c>
      <c r="D133" s="125">
        <v>6.0</v>
      </c>
      <c r="E133" s="125">
        <v>0.0</v>
      </c>
      <c r="F133" s="125">
        <v>0.0</v>
      </c>
      <c r="G133" s="125">
        <v>0.0</v>
      </c>
      <c r="H133" s="125">
        <v>0.0</v>
      </c>
      <c r="I133" s="125">
        <v>0.0</v>
      </c>
      <c r="J133" s="125">
        <v>0.0</v>
      </c>
      <c r="K133" s="125">
        <v>0.0</v>
      </c>
      <c r="L133" s="125">
        <v>0.0</v>
      </c>
    </row>
    <row r="134">
      <c r="A134" s="122" t="s">
        <v>776</v>
      </c>
      <c r="B134" s="122" t="s">
        <v>1898</v>
      </c>
      <c r="C134" s="122" t="s">
        <v>1829</v>
      </c>
      <c r="D134" s="125">
        <v>10.0</v>
      </c>
      <c r="E134" s="125">
        <v>0.0</v>
      </c>
      <c r="F134" s="125">
        <v>0.0</v>
      </c>
      <c r="G134" s="125">
        <v>0.0</v>
      </c>
      <c r="H134" s="125">
        <v>0.0</v>
      </c>
      <c r="I134" s="125">
        <v>0.0</v>
      </c>
      <c r="J134" s="125">
        <v>0.0</v>
      </c>
      <c r="K134" s="125">
        <v>0.0</v>
      </c>
      <c r="L134" s="125">
        <v>0.0</v>
      </c>
    </row>
    <row r="135">
      <c r="A135" s="122" t="s">
        <v>778</v>
      </c>
      <c r="B135" s="122" t="s">
        <v>779</v>
      </c>
      <c r="C135" s="122" t="s">
        <v>1825</v>
      </c>
      <c r="D135" s="125">
        <v>15.0</v>
      </c>
      <c r="E135" s="125">
        <v>13.0</v>
      </c>
      <c r="F135" s="125">
        <v>10.0</v>
      </c>
      <c r="G135" s="125">
        <v>22.0</v>
      </c>
      <c r="H135" s="125">
        <v>21.0</v>
      </c>
      <c r="I135" s="125">
        <v>15.0</v>
      </c>
      <c r="J135" s="125">
        <v>3.0</v>
      </c>
      <c r="K135" s="125">
        <v>16.0</v>
      </c>
      <c r="L135" s="125">
        <v>231.0</v>
      </c>
    </row>
    <row r="136">
      <c r="A136" s="122" t="s">
        <v>784</v>
      </c>
      <c r="B136" s="122" t="s">
        <v>785</v>
      </c>
      <c r="C136" s="122" t="s">
        <v>1829</v>
      </c>
      <c r="D136" s="125">
        <v>2.0</v>
      </c>
      <c r="E136" s="125">
        <v>0.0</v>
      </c>
      <c r="F136" s="125">
        <v>0.0</v>
      </c>
      <c r="G136" s="125">
        <v>0.0</v>
      </c>
      <c r="H136" s="125">
        <v>0.0</v>
      </c>
      <c r="I136" s="125">
        <v>0.0</v>
      </c>
      <c r="J136" s="125">
        <v>0.0</v>
      </c>
      <c r="K136" s="125">
        <v>0.0</v>
      </c>
      <c r="L136" s="125">
        <v>0.0</v>
      </c>
    </row>
    <row r="137">
      <c r="A137" s="122" t="s">
        <v>780</v>
      </c>
      <c r="B137" s="122" t="s">
        <v>1899</v>
      </c>
      <c r="C137" s="122" t="s">
        <v>1829</v>
      </c>
      <c r="D137" s="125">
        <v>2.0</v>
      </c>
      <c r="E137" s="125">
        <v>0.0</v>
      </c>
      <c r="F137" s="125">
        <v>0.0</v>
      </c>
      <c r="G137" s="125">
        <v>0.0</v>
      </c>
      <c r="H137" s="125">
        <v>0.0</v>
      </c>
      <c r="I137" s="125">
        <v>0.0</v>
      </c>
      <c r="J137" s="125">
        <v>0.0</v>
      </c>
      <c r="K137" s="125">
        <v>0.0</v>
      </c>
      <c r="L137" s="125">
        <v>0.0</v>
      </c>
    </row>
    <row r="138">
      <c r="A138" s="122" t="s">
        <v>782</v>
      </c>
      <c r="B138" s="122" t="s">
        <v>783</v>
      </c>
      <c r="C138" s="122" t="s">
        <v>1831</v>
      </c>
      <c r="D138" s="125">
        <v>5.0</v>
      </c>
      <c r="E138" s="125">
        <v>1.0</v>
      </c>
      <c r="F138" s="125">
        <v>4.0</v>
      </c>
      <c r="G138" s="125">
        <v>7.0</v>
      </c>
      <c r="H138" s="125">
        <v>14.0</v>
      </c>
      <c r="I138" s="125">
        <v>15.0</v>
      </c>
      <c r="J138" s="125">
        <v>0.0</v>
      </c>
      <c r="K138" s="125">
        <v>8.0</v>
      </c>
      <c r="L138" s="125">
        <v>58.0</v>
      </c>
    </row>
    <row r="139">
      <c r="A139" s="122" t="s">
        <v>903</v>
      </c>
      <c r="B139" s="122" t="s">
        <v>904</v>
      </c>
      <c r="C139" s="122" t="s">
        <v>1831</v>
      </c>
      <c r="D139" s="125">
        <v>5.0</v>
      </c>
      <c r="E139" s="125">
        <v>4.0</v>
      </c>
      <c r="F139" s="125">
        <v>7.0</v>
      </c>
      <c r="G139" s="125">
        <v>5.0</v>
      </c>
      <c r="H139" s="125">
        <v>3.0</v>
      </c>
      <c r="I139" s="125">
        <v>3.0</v>
      </c>
      <c r="J139" s="125">
        <v>1.0</v>
      </c>
      <c r="K139" s="125">
        <v>4.0</v>
      </c>
      <c r="L139" s="125">
        <v>58.0</v>
      </c>
    </row>
    <row r="140">
      <c r="A140" s="122" t="s">
        <v>905</v>
      </c>
      <c r="B140" s="122" t="s">
        <v>907</v>
      </c>
      <c r="C140" s="122" t="s">
        <v>1831</v>
      </c>
      <c r="D140" s="125">
        <v>10.0</v>
      </c>
      <c r="E140" s="125">
        <v>5.0</v>
      </c>
      <c r="F140" s="125">
        <v>5.0</v>
      </c>
      <c r="G140" s="125">
        <v>13.0</v>
      </c>
      <c r="H140" s="125">
        <v>7.0</v>
      </c>
      <c r="I140" s="125">
        <v>10.0</v>
      </c>
      <c r="J140" s="125">
        <v>0.0</v>
      </c>
      <c r="K140" s="125">
        <v>8.0</v>
      </c>
      <c r="L140" s="125">
        <v>82.0</v>
      </c>
    </row>
    <row r="141">
      <c r="A141" s="122" t="s">
        <v>908</v>
      </c>
      <c r="B141" s="122" t="s">
        <v>909</v>
      </c>
      <c r="C141" s="122" t="s">
        <v>1831</v>
      </c>
      <c r="D141" s="125">
        <v>10.0</v>
      </c>
      <c r="E141" s="125">
        <v>3.0</v>
      </c>
      <c r="F141" s="125">
        <v>3.0</v>
      </c>
      <c r="G141" s="125">
        <v>7.0</v>
      </c>
      <c r="H141" s="125">
        <v>4.0</v>
      </c>
      <c r="I141" s="125">
        <v>3.0</v>
      </c>
      <c r="J141" s="125">
        <v>0.0</v>
      </c>
      <c r="K141" s="125">
        <v>4.0</v>
      </c>
      <c r="L141" s="125">
        <v>132.0</v>
      </c>
    </row>
    <row r="142">
      <c r="A142" s="122" t="s">
        <v>1068</v>
      </c>
      <c r="B142" s="122" t="s">
        <v>1900</v>
      </c>
      <c r="C142" s="122" t="s">
        <v>1829</v>
      </c>
      <c r="D142" s="125">
        <v>2.0</v>
      </c>
      <c r="E142" s="125">
        <v>0.0</v>
      </c>
      <c r="F142" s="125">
        <v>3.0</v>
      </c>
      <c r="G142" s="125">
        <v>0.0</v>
      </c>
      <c r="H142" s="125">
        <v>0.0</v>
      </c>
      <c r="I142" s="125">
        <v>0.0</v>
      </c>
      <c r="J142" s="125">
        <v>0.0</v>
      </c>
      <c r="K142" s="125">
        <v>1.0</v>
      </c>
      <c r="L142" s="125">
        <v>0.0</v>
      </c>
    </row>
    <row r="143">
      <c r="A143" s="122" t="s">
        <v>1124</v>
      </c>
      <c r="B143" s="122" t="s">
        <v>1901</v>
      </c>
      <c r="C143" s="122" t="s">
        <v>1825</v>
      </c>
      <c r="D143" s="125">
        <v>15.0</v>
      </c>
      <c r="E143" s="125">
        <v>20.0</v>
      </c>
      <c r="F143" s="125">
        <v>5.0</v>
      </c>
      <c r="G143" s="125">
        <v>9.0</v>
      </c>
      <c r="H143" s="125">
        <v>3.0</v>
      </c>
      <c r="I143" s="125">
        <v>13.0</v>
      </c>
      <c r="J143" s="125">
        <v>0.0</v>
      </c>
      <c r="K143" s="125">
        <v>10.0</v>
      </c>
      <c r="L143" s="125">
        <v>646.0</v>
      </c>
    </row>
    <row r="144">
      <c r="A144" s="122" t="s">
        <v>867</v>
      </c>
      <c r="B144" s="122" t="s">
        <v>869</v>
      </c>
      <c r="C144" s="122" t="s">
        <v>1824</v>
      </c>
      <c r="D144" s="125">
        <v>40.0</v>
      </c>
      <c r="E144" s="125">
        <v>55.0</v>
      </c>
      <c r="F144" s="125">
        <v>97.0</v>
      </c>
      <c r="G144" s="125">
        <v>82.0</v>
      </c>
      <c r="H144" s="125">
        <v>0.0</v>
      </c>
      <c r="I144" s="125">
        <v>0.0</v>
      </c>
      <c r="J144" s="125">
        <v>0.0</v>
      </c>
      <c r="K144" s="125">
        <v>47.0</v>
      </c>
      <c r="L144" s="125">
        <v>1.0</v>
      </c>
    </row>
    <row r="145">
      <c r="A145" s="122" t="s">
        <v>864</v>
      </c>
      <c r="B145" s="122" t="s">
        <v>1902</v>
      </c>
      <c r="C145" s="122" t="s">
        <v>1831</v>
      </c>
      <c r="D145" s="125">
        <v>3.0</v>
      </c>
      <c r="E145" s="125">
        <v>0.0</v>
      </c>
      <c r="F145" s="125">
        <v>0.0</v>
      </c>
      <c r="G145" s="125">
        <v>0.0</v>
      </c>
      <c r="H145" s="125">
        <v>1.0</v>
      </c>
      <c r="I145" s="125">
        <v>3.0</v>
      </c>
      <c r="J145" s="125">
        <v>0.0</v>
      </c>
      <c r="K145" s="125">
        <v>1.0</v>
      </c>
      <c r="L145" s="125">
        <v>2.0</v>
      </c>
    </row>
    <row r="146">
      <c r="A146" s="122" t="s">
        <v>861</v>
      </c>
      <c r="B146" s="122" t="s">
        <v>863</v>
      </c>
      <c r="C146" s="122" t="s">
        <v>1824</v>
      </c>
      <c r="D146" s="125">
        <v>15.0</v>
      </c>
      <c r="E146" s="125">
        <v>3.0</v>
      </c>
      <c r="F146" s="125">
        <v>7.0</v>
      </c>
      <c r="G146" s="125">
        <v>18.0</v>
      </c>
      <c r="H146" s="125">
        <v>8.0</v>
      </c>
      <c r="I146" s="125">
        <v>7.0</v>
      </c>
      <c r="J146" s="125">
        <v>1.0</v>
      </c>
      <c r="K146" s="125">
        <v>9.0</v>
      </c>
      <c r="L146" s="125">
        <v>534.0</v>
      </c>
    </row>
    <row r="147">
      <c r="A147" s="122" t="s">
        <v>730</v>
      </c>
      <c r="B147" s="122" t="s">
        <v>1903</v>
      </c>
      <c r="C147" s="122" t="s">
        <v>1829</v>
      </c>
      <c r="D147" s="125">
        <v>2.0</v>
      </c>
      <c r="E147" s="125">
        <v>0.0</v>
      </c>
      <c r="F147" s="125">
        <v>0.0</v>
      </c>
      <c r="G147" s="125">
        <v>0.0</v>
      </c>
      <c r="H147" s="125">
        <v>0.0</v>
      </c>
      <c r="I147" s="125">
        <v>0.0</v>
      </c>
      <c r="J147" s="125">
        <v>0.0</v>
      </c>
      <c r="K147" s="125">
        <v>0.0</v>
      </c>
      <c r="L147" s="125">
        <v>0.0</v>
      </c>
    </row>
    <row r="148">
      <c r="A148" s="122" t="s">
        <v>919</v>
      </c>
      <c r="B148" s="122" t="s">
        <v>1904</v>
      </c>
      <c r="C148" s="122" t="s">
        <v>1829</v>
      </c>
      <c r="D148" s="125">
        <v>2.0</v>
      </c>
      <c r="E148" s="125">
        <v>0.0</v>
      </c>
      <c r="F148" s="125">
        <v>0.0</v>
      </c>
      <c r="G148" s="125">
        <v>0.0</v>
      </c>
      <c r="H148" s="125">
        <v>0.0</v>
      </c>
      <c r="I148" s="125">
        <v>0.0</v>
      </c>
      <c r="J148" s="125">
        <v>0.0</v>
      </c>
      <c r="K148" s="125">
        <v>0.0</v>
      </c>
      <c r="L148" s="125">
        <v>0.0</v>
      </c>
    </row>
    <row r="149">
      <c r="A149" s="122" t="s">
        <v>922</v>
      </c>
      <c r="B149" s="122" t="s">
        <v>1905</v>
      </c>
      <c r="C149" s="122" t="s">
        <v>1829</v>
      </c>
      <c r="D149" s="125">
        <v>2.0</v>
      </c>
      <c r="E149" s="125">
        <v>0.0</v>
      </c>
      <c r="F149" s="125">
        <v>0.0</v>
      </c>
      <c r="G149" s="125">
        <v>0.0</v>
      </c>
      <c r="H149" s="125">
        <v>0.0</v>
      </c>
      <c r="I149" s="125">
        <v>0.0</v>
      </c>
      <c r="J149" s="125">
        <v>0.0</v>
      </c>
      <c r="K149" s="125">
        <v>0.0</v>
      </c>
      <c r="L149" s="125">
        <v>0.0</v>
      </c>
    </row>
    <row r="150">
      <c r="A150" s="122" t="s">
        <v>925</v>
      </c>
      <c r="B150" s="122" t="s">
        <v>1906</v>
      </c>
      <c r="C150" s="122" t="s">
        <v>1831</v>
      </c>
      <c r="D150" s="125">
        <v>2.0</v>
      </c>
      <c r="E150" s="125">
        <v>1.0</v>
      </c>
      <c r="F150" s="125">
        <v>1.0</v>
      </c>
      <c r="G150" s="125">
        <v>1.0</v>
      </c>
      <c r="H150" s="125">
        <v>2.0</v>
      </c>
      <c r="I150" s="125">
        <v>0.0</v>
      </c>
      <c r="J150" s="125">
        <v>0.0</v>
      </c>
      <c r="K150" s="125">
        <v>1.0</v>
      </c>
      <c r="L150" s="125">
        <v>125.0</v>
      </c>
    </row>
    <row r="151">
      <c r="A151" s="122" t="s">
        <v>592</v>
      </c>
      <c r="B151" s="122" t="s">
        <v>1907</v>
      </c>
      <c r="C151" s="122" t="s">
        <v>1824</v>
      </c>
      <c r="D151" s="125">
        <v>15.0</v>
      </c>
      <c r="E151" s="125">
        <v>14.0</v>
      </c>
      <c r="F151" s="125">
        <v>25.0</v>
      </c>
      <c r="G151" s="125">
        <v>38.0</v>
      </c>
      <c r="H151" s="125">
        <v>10.0</v>
      </c>
      <c r="I151" s="125">
        <v>9.0</v>
      </c>
      <c r="J151" s="125">
        <v>1.0</v>
      </c>
      <c r="K151" s="125">
        <v>19.0</v>
      </c>
      <c r="L151" s="125">
        <v>214.0</v>
      </c>
    </row>
    <row r="152">
      <c r="A152" s="122" t="s">
        <v>1047</v>
      </c>
      <c r="B152" s="122" t="s">
        <v>1908</v>
      </c>
      <c r="C152" s="122" t="s">
        <v>1824</v>
      </c>
      <c r="D152" s="125">
        <v>15.0</v>
      </c>
      <c r="E152" s="125">
        <v>3.0</v>
      </c>
      <c r="F152" s="125">
        <v>10.0</v>
      </c>
      <c r="G152" s="125">
        <v>24.0</v>
      </c>
      <c r="H152" s="125">
        <v>12.0</v>
      </c>
      <c r="I152" s="125">
        <v>11.0</v>
      </c>
      <c r="J152" s="125">
        <v>0.0</v>
      </c>
      <c r="K152" s="125">
        <v>12.0</v>
      </c>
      <c r="L152" s="125">
        <v>300.0</v>
      </c>
    </row>
    <row r="153">
      <c r="A153" s="122" t="s">
        <v>1009</v>
      </c>
      <c r="B153" s="122" t="s">
        <v>1909</v>
      </c>
      <c r="C153" s="122" t="s">
        <v>1824</v>
      </c>
      <c r="D153" s="125">
        <v>25.0</v>
      </c>
      <c r="E153" s="125">
        <v>10.0</v>
      </c>
      <c r="F153" s="125">
        <v>22.0</v>
      </c>
      <c r="G153" s="125">
        <v>38.0</v>
      </c>
      <c r="H153" s="125">
        <v>41.0</v>
      </c>
      <c r="I153" s="125">
        <v>37.0</v>
      </c>
      <c r="J153" s="125">
        <v>4.0</v>
      </c>
      <c r="K153" s="125">
        <v>30.0</v>
      </c>
      <c r="L153" s="125">
        <v>816.0</v>
      </c>
    </row>
    <row r="154">
      <c r="A154" s="122" t="s">
        <v>982</v>
      </c>
      <c r="B154" s="122" t="s">
        <v>1910</v>
      </c>
      <c r="C154" s="122" t="s">
        <v>1825</v>
      </c>
      <c r="D154" s="125">
        <v>10.0</v>
      </c>
      <c r="E154" s="125">
        <v>0.0</v>
      </c>
      <c r="F154" s="125">
        <v>0.0</v>
      </c>
      <c r="G154" s="125">
        <v>10.0</v>
      </c>
      <c r="H154" s="125">
        <v>15.0</v>
      </c>
      <c r="I154" s="125">
        <v>17.0</v>
      </c>
      <c r="J154" s="125">
        <v>0.0</v>
      </c>
      <c r="K154" s="125">
        <v>8.0</v>
      </c>
      <c r="L154" s="125">
        <v>268.0</v>
      </c>
    </row>
    <row r="155">
      <c r="A155" s="122" t="s">
        <v>985</v>
      </c>
      <c r="B155" s="122" t="s">
        <v>1911</v>
      </c>
      <c r="C155" s="122" t="s">
        <v>1824</v>
      </c>
      <c r="D155" s="125">
        <v>25.0</v>
      </c>
      <c r="E155" s="125">
        <v>0.0</v>
      </c>
      <c r="F155" s="125">
        <v>0.0</v>
      </c>
      <c r="G155" s="125">
        <v>22.0</v>
      </c>
      <c r="H155" s="125">
        <v>35.0</v>
      </c>
      <c r="I155" s="125">
        <v>31.0</v>
      </c>
      <c r="J155" s="125">
        <v>1.0</v>
      </c>
      <c r="K155" s="125">
        <v>18.0</v>
      </c>
      <c r="L155" s="125">
        <v>434.0</v>
      </c>
    </row>
    <row r="156">
      <c r="A156" s="122" t="s">
        <v>680</v>
      </c>
      <c r="B156" s="122" t="s">
        <v>682</v>
      </c>
      <c r="C156" s="122" t="s">
        <v>1829</v>
      </c>
      <c r="D156" s="125">
        <v>2.0</v>
      </c>
      <c r="E156" s="125">
        <v>0.0</v>
      </c>
      <c r="F156" s="125">
        <v>0.0</v>
      </c>
      <c r="G156" s="125">
        <v>0.0</v>
      </c>
      <c r="H156" s="125">
        <v>0.0</v>
      </c>
      <c r="I156" s="125">
        <v>2.0</v>
      </c>
      <c r="J156" s="125">
        <v>0.0</v>
      </c>
      <c r="K156" s="125">
        <v>0.0</v>
      </c>
      <c r="L156" s="125">
        <v>0.0</v>
      </c>
    </row>
    <row r="157">
      <c r="A157" s="122" t="s">
        <v>991</v>
      </c>
      <c r="B157" s="122" t="s">
        <v>1912</v>
      </c>
      <c r="C157" s="122" t="s">
        <v>1913</v>
      </c>
      <c r="D157" s="125">
        <v>5.0</v>
      </c>
      <c r="E157" s="125">
        <v>0.0</v>
      </c>
      <c r="F157" s="125">
        <v>0.0</v>
      </c>
      <c r="G157" s="125">
        <v>0.0</v>
      </c>
      <c r="H157" s="125">
        <v>0.0</v>
      </c>
      <c r="I157" s="125">
        <v>0.0</v>
      </c>
      <c r="J157" s="125">
        <v>0.0</v>
      </c>
      <c r="K157" s="125">
        <v>0.0</v>
      </c>
      <c r="L157" s="125">
        <v>0.0</v>
      </c>
    </row>
    <row r="158">
      <c r="A158" s="122" t="s">
        <v>1548</v>
      </c>
      <c r="B158" s="122" t="s">
        <v>1914</v>
      </c>
      <c r="C158" s="122" t="s">
        <v>1831</v>
      </c>
      <c r="D158" s="125">
        <v>30.0</v>
      </c>
      <c r="E158" s="125">
        <v>16.0</v>
      </c>
      <c r="F158" s="125">
        <v>3.0</v>
      </c>
      <c r="G158" s="125">
        <v>3.0</v>
      </c>
      <c r="H158" s="125">
        <v>2.0</v>
      </c>
      <c r="I158" s="125">
        <v>6.0</v>
      </c>
      <c r="J158" s="125">
        <v>4.0</v>
      </c>
      <c r="K158" s="125">
        <v>6.0</v>
      </c>
      <c r="L158" s="125">
        <v>5.0</v>
      </c>
    </row>
    <row r="159">
      <c r="A159" s="122" t="s">
        <v>993</v>
      </c>
      <c r="B159" s="122" t="s">
        <v>995</v>
      </c>
      <c r="C159" s="122" t="s">
        <v>1831</v>
      </c>
      <c r="D159" s="125">
        <v>15.0</v>
      </c>
      <c r="E159" s="125">
        <v>32.0</v>
      </c>
      <c r="F159" s="125">
        <v>8.0</v>
      </c>
      <c r="G159" s="125">
        <v>48.0</v>
      </c>
      <c r="H159" s="125">
        <v>13.0</v>
      </c>
      <c r="I159" s="125">
        <v>27.0</v>
      </c>
      <c r="J159" s="125">
        <v>1.0</v>
      </c>
      <c r="K159" s="125">
        <v>26.0</v>
      </c>
      <c r="L159" s="125">
        <v>270.0</v>
      </c>
    </row>
    <row r="160">
      <c r="A160" s="122" t="s">
        <v>997</v>
      </c>
      <c r="B160" s="122" t="s">
        <v>999</v>
      </c>
      <c r="C160" s="122" t="s">
        <v>1825</v>
      </c>
      <c r="D160" s="125">
        <v>40.0</v>
      </c>
      <c r="E160" s="125">
        <v>4.0</v>
      </c>
      <c r="F160" s="125">
        <v>6.0</v>
      </c>
      <c r="G160" s="125">
        <v>2.0</v>
      </c>
      <c r="H160" s="125">
        <v>10.0</v>
      </c>
      <c r="I160" s="125">
        <v>3.0</v>
      </c>
      <c r="J160" s="125">
        <v>1.0</v>
      </c>
      <c r="K160" s="125">
        <v>5.0</v>
      </c>
      <c r="L160" s="125">
        <v>974.0</v>
      </c>
    </row>
    <row r="161">
      <c r="A161" s="122" t="s">
        <v>1053</v>
      </c>
      <c r="B161" s="122" t="s">
        <v>1915</v>
      </c>
      <c r="C161" s="122" t="s">
        <v>1831</v>
      </c>
      <c r="D161" s="125">
        <v>7.0</v>
      </c>
      <c r="E161" s="125">
        <v>4.0</v>
      </c>
      <c r="F161" s="125">
        <v>9.0</v>
      </c>
      <c r="G161" s="125">
        <v>4.0</v>
      </c>
      <c r="H161" s="125">
        <v>6.0</v>
      </c>
      <c r="I161" s="125">
        <v>6.0</v>
      </c>
      <c r="J161" s="125">
        <v>2.0</v>
      </c>
      <c r="K161" s="125">
        <v>6.0</v>
      </c>
      <c r="L161" s="125">
        <v>115.0</v>
      </c>
    </row>
    <row r="162">
      <c r="A162" s="122" t="s">
        <v>1056</v>
      </c>
      <c r="B162" s="122" t="s">
        <v>1916</v>
      </c>
      <c r="C162" s="122" t="s">
        <v>1825</v>
      </c>
      <c r="D162" s="125">
        <v>30.0</v>
      </c>
      <c r="E162" s="125">
        <v>28.0</v>
      </c>
      <c r="F162" s="125">
        <v>36.0</v>
      </c>
      <c r="G162" s="125">
        <v>37.0</v>
      </c>
      <c r="H162" s="125">
        <v>42.0</v>
      </c>
      <c r="I162" s="125">
        <v>36.0</v>
      </c>
      <c r="J162" s="125">
        <v>8.0</v>
      </c>
      <c r="K162" s="125">
        <v>36.0</v>
      </c>
      <c r="L162" s="125">
        <v>365.0</v>
      </c>
    </row>
    <row r="163">
      <c r="A163" s="122" t="s">
        <v>786</v>
      </c>
      <c r="B163" s="122" t="s">
        <v>1917</v>
      </c>
      <c r="C163" s="122" t="s">
        <v>1825</v>
      </c>
      <c r="D163" s="125">
        <v>35.0</v>
      </c>
      <c r="E163" s="125">
        <v>35.0</v>
      </c>
      <c r="F163" s="125">
        <v>44.0</v>
      </c>
      <c r="G163" s="125">
        <v>24.0</v>
      </c>
      <c r="H163" s="125">
        <v>26.0</v>
      </c>
      <c r="I163" s="125">
        <v>22.0</v>
      </c>
      <c r="J163" s="125">
        <v>2.0</v>
      </c>
      <c r="K163" s="125">
        <v>30.0</v>
      </c>
      <c r="L163" s="125">
        <v>648.0</v>
      </c>
    </row>
    <row r="164">
      <c r="A164" s="122" t="s">
        <v>795</v>
      </c>
      <c r="B164" s="122" t="s">
        <v>797</v>
      </c>
      <c r="C164" s="122" t="s">
        <v>1825</v>
      </c>
      <c r="D164" s="125">
        <v>15.0</v>
      </c>
      <c r="E164" s="125">
        <v>24.0</v>
      </c>
      <c r="F164" s="125">
        <v>23.0</v>
      </c>
      <c r="G164" s="125">
        <v>17.0</v>
      </c>
      <c r="H164" s="125">
        <v>9.0</v>
      </c>
      <c r="I164" s="125">
        <v>18.0</v>
      </c>
      <c r="J164" s="125">
        <v>2.0</v>
      </c>
      <c r="K164" s="125">
        <v>18.0</v>
      </c>
      <c r="L164" s="125">
        <v>205.0</v>
      </c>
    </row>
    <row r="165">
      <c r="A165" s="122" t="s">
        <v>789</v>
      </c>
      <c r="B165" s="122" t="s">
        <v>791</v>
      </c>
      <c r="C165" s="122" t="s">
        <v>1825</v>
      </c>
      <c r="D165" s="125">
        <v>10.0</v>
      </c>
      <c r="E165" s="125">
        <v>8.0</v>
      </c>
      <c r="F165" s="125">
        <v>10.0</v>
      </c>
      <c r="G165" s="125">
        <v>13.0</v>
      </c>
      <c r="H165" s="125">
        <v>9.0</v>
      </c>
      <c r="I165" s="125">
        <v>8.0</v>
      </c>
      <c r="J165" s="125">
        <v>2.0</v>
      </c>
      <c r="K165" s="125">
        <v>10.0</v>
      </c>
      <c r="L165" s="125">
        <v>76.0</v>
      </c>
    </row>
    <row r="166">
      <c r="A166" s="122" t="s">
        <v>792</v>
      </c>
      <c r="B166" s="122" t="s">
        <v>794</v>
      </c>
      <c r="C166" s="122" t="s">
        <v>1825</v>
      </c>
      <c r="D166" s="125">
        <v>7.0</v>
      </c>
      <c r="E166" s="125">
        <v>37.0</v>
      </c>
      <c r="F166" s="125">
        <v>15.0</v>
      </c>
      <c r="G166" s="125">
        <v>10.0</v>
      </c>
      <c r="H166" s="125">
        <v>22.0</v>
      </c>
      <c r="I166" s="125">
        <v>8.0</v>
      </c>
      <c r="J166" s="125">
        <v>0.0</v>
      </c>
      <c r="K166" s="125">
        <v>18.0</v>
      </c>
      <c r="L166" s="125">
        <v>4.0</v>
      </c>
    </row>
    <row r="167">
      <c r="A167" s="122" t="s">
        <v>798</v>
      </c>
      <c r="B167" s="122" t="s">
        <v>800</v>
      </c>
      <c r="C167" s="122" t="s">
        <v>1824</v>
      </c>
      <c r="D167" s="125">
        <v>170.0</v>
      </c>
      <c r="E167" s="125">
        <v>1.0</v>
      </c>
      <c r="F167" s="125">
        <v>25.0</v>
      </c>
      <c r="G167" s="125">
        <v>95.0</v>
      </c>
      <c r="H167" s="125">
        <v>96.0</v>
      </c>
      <c r="I167" s="125">
        <v>96.0</v>
      </c>
      <c r="J167" s="125">
        <v>7.0</v>
      </c>
      <c r="K167" s="125">
        <v>63.0</v>
      </c>
      <c r="L167" s="125">
        <v>1758.0</v>
      </c>
    </row>
    <row r="168">
      <c r="A168" s="122" t="s">
        <v>692</v>
      </c>
      <c r="B168" s="122" t="s">
        <v>694</v>
      </c>
      <c r="C168" s="122" t="s">
        <v>1825</v>
      </c>
      <c r="D168" s="125">
        <v>40.0</v>
      </c>
      <c r="E168" s="125">
        <v>19.0</v>
      </c>
      <c r="F168" s="125">
        <v>33.0</v>
      </c>
      <c r="G168" s="125">
        <v>24.0</v>
      </c>
      <c r="H168" s="125">
        <v>32.0</v>
      </c>
      <c r="I168" s="125">
        <v>43.0</v>
      </c>
      <c r="J168" s="125">
        <v>2.0</v>
      </c>
      <c r="K168" s="125">
        <v>30.0</v>
      </c>
      <c r="L168" s="125">
        <v>501.0</v>
      </c>
    </row>
    <row r="169">
      <c r="A169" s="122" t="s">
        <v>1080</v>
      </c>
      <c r="B169" s="122" t="s">
        <v>1918</v>
      </c>
      <c r="C169" s="122" t="s">
        <v>1829</v>
      </c>
      <c r="D169" s="125">
        <v>7.0</v>
      </c>
      <c r="E169" s="125">
        <v>0.0</v>
      </c>
      <c r="F169" s="125">
        <v>0.0</v>
      </c>
      <c r="G169" s="125">
        <v>0.0</v>
      </c>
      <c r="H169" s="125">
        <v>0.0</v>
      </c>
      <c r="I169" s="125">
        <v>0.0</v>
      </c>
      <c r="J169" s="125">
        <v>0.0</v>
      </c>
      <c r="K169" s="125">
        <v>0.0</v>
      </c>
      <c r="L169" s="125">
        <v>0.0</v>
      </c>
    </row>
    <row r="170">
      <c r="A170" s="122" t="s">
        <v>1083</v>
      </c>
      <c r="B170" s="122" t="s">
        <v>1918</v>
      </c>
      <c r="C170" s="122" t="s">
        <v>1831</v>
      </c>
      <c r="D170" s="125">
        <v>10.0</v>
      </c>
      <c r="E170" s="125">
        <v>5.0</v>
      </c>
      <c r="F170" s="125">
        <v>4.0</v>
      </c>
      <c r="G170" s="125">
        <v>6.0</v>
      </c>
      <c r="H170" s="125">
        <v>4.0</v>
      </c>
      <c r="I170" s="125">
        <v>9.0</v>
      </c>
      <c r="J170" s="125">
        <v>0.0</v>
      </c>
      <c r="K170" s="125">
        <v>6.0</v>
      </c>
      <c r="L170" s="125">
        <v>223.0</v>
      </c>
    </row>
    <row r="171">
      <c r="A171" s="122" t="s">
        <v>1050</v>
      </c>
      <c r="B171" s="122" t="s">
        <v>1919</v>
      </c>
      <c r="C171" s="122" t="s">
        <v>1825</v>
      </c>
      <c r="D171" s="125">
        <v>40.0</v>
      </c>
      <c r="E171" s="125">
        <v>69.0</v>
      </c>
      <c r="F171" s="125">
        <v>21.0</v>
      </c>
      <c r="G171" s="125">
        <v>18.0</v>
      </c>
      <c r="H171" s="125">
        <v>18.0</v>
      </c>
      <c r="I171" s="125">
        <v>16.0</v>
      </c>
      <c r="J171" s="125">
        <v>2.0</v>
      </c>
      <c r="K171" s="125">
        <v>28.0</v>
      </c>
      <c r="L171" s="125">
        <v>886.0</v>
      </c>
    </row>
    <row r="172">
      <c r="A172" s="122" t="s">
        <v>539</v>
      </c>
      <c r="B172" s="122" t="s">
        <v>541</v>
      </c>
      <c r="C172" s="122" t="s">
        <v>1825</v>
      </c>
      <c r="D172" s="125">
        <v>7.0</v>
      </c>
      <c r="E172" s="125">
        <v>0.0</v>
      </c>
      <c r="F172" s="125">
        <v>3.0</v>
      </c>
      <c r="G172" s="125">
        <v>0.0</v>
      </c>
      <c r="H172" s="125">
        <v>1.0</v>
      </c>
      <c r="I172" s="125">
        <v>2.0</v>
      </c>
      <c r="J172" s="125">
        <v>0.0</v>
      </c>
      <c r="K172" s="125">
        <v>1.0</v>
      </c>
      <c r="L172" s="125">
        <v>134.0</v>
      </c>
    </row>
    <row r="173">
      <c r="A173" s="122" t="s">
        <v>548</v>
      </c>
      <c r="B173" s="122" t="s">
        <v>550</v>
      </c>
      <c r="C173" s="122" t="s">
        <v>1825</v>
      </c>
      <c r="D173" s="125">
        <v>4.0</v>
      </c>
      <c r="E173" s="125">
        <v>4.0</v>
      </c>
      <c r="F173" s="125">
        <v>2.0</v>
      </c>
      <c r="G173" s="125">
        <v>6.0</v>
      </c>
      <c r="H173" s="125">
        <v>6.0</v>
      </c>
      <c r="I173" s="125">
        <v>7.0</v>
      </c>
      <c r="J173" s="125">
        <v>0.0</v>
      </c>
      <c r="K173" s="125">
        <v>5.0</v>
      </c>
      <c r="L173" s="125">
        <v>106.0</v>
      </c>
    </row>
    <row r="174">
      <c r="A174" s="122" t="s">
        <v>1059</v>
      </c>
      <c r="B174" s="122" t="s">
        <v>1920</v>
      </c>
      <c r="C174" s="122" t="s">
        <v>1831</v>
      </c>
      <c r="D174" s="125">
        <v>4.0</v>
      </c>
      <c r="E174" s="125">
        <v>0.0</v>
      </c>
      <c r="F174" s="125">
        <v>0.0</v>
      </c>
      <c r="G174" s="125">
        <v>0.0</v>
      </c>
      <c r="H174" s="125">
        <v>0.0</v>
      </c>
      <c r="I174" s="125">
        <v>0.0</v>
      </c>
      <c r="J174" s="125">
        <v>0.0</v>
      </c>
      <c r="K174" s="125">
        <v>0.0</v>
      </c>
      <c r="L174" s="125">
        <v>0.0</v>
      </c>
    </row>
    <row r="175">
      <c r="A175" s="122" t="s">
        <v>1065</v>
      </c>
      <c r="B175" s="122" t="s">
        <v>1921</v>
      </c>
      <c r="C175" s="122" t="s">
        <v>1831</v>
      </c>
      <c r="D175" s="125">
        <v>4.0</v>
      </c>
      <c r="E175" s="125">
        <v>7.0</v>
      </c>
      <c r="F175" s="125">
        <v>5.0</v>
      </c>
      <c r="G175" s="125">
        <v>5.0</v>
      </c>
      <c r="H175" s="125">
        <v>4.0</v>
      </c>
      <c r="I175" s="125">
        <v>2.0</v>
      </c>
      <c r="J175" s="125">
        <v>0.0</v>
      </c>
      <c r="K175" s="125">
        <v>5.0</v>
      </c>
      <c r="L175" s="125">
        <v>53.0</v>
      </c>
    </row>
    <row r="176">
      <c r="A176" s="122" t="s">
        <v>1062</v>
      </c>
      <c r="B176" s="122" t="s">
        <v>1922</v>
      </c>
      <c r="C176" s="122" t="s">
        <v>1831</v>
      </c>
      <c r="D176" s="125">
        <v>5.0</v>
      </c>
      <c r="E176" s="125">
        <v>8.0</v>
      </c>
      <c r="F176" s="125">
        <v>2.0</v>
      </c>
      <c r="G176" s="125">
        <v>4.0</v>
      </c>
      <c r="H176" s="125">
        <v>0.0</v>
      </c>
      <c r="I176" s="125">
        <v>3.0</v>
      </c>
      <c r="J176" s="125">
        <v>1.0</v>
      </c>
      <c r="K176" s="125">
        <v>3.0</v>
      </c>
      <c r="L176" s="125">
        <v>73.0</v>
      </c>
    </row>
    <row r="177">
      <c r="A177" s="122" t="s">
        <v>1142</v>
      </c>
      <c r="B177" s="122" t="s">
        <v>1923</v>
      </c>
      <c r="C177" s="122" t="s">
        <v>1829</v>
      </c>
      <c r="D177" s="125">
        <v>4.0</v>
      </c>
      <c r="E177" s="125">
        <v>0.0</v>
      </c>
      <c r="F177" s="125">
        <v>0.0</v>
      </c>
      <c r="G177" s="125">
        <v>0.0</v>
      </c>
      <c r="H177" s="125">
        <v>0.0</v>
      </c>
      <c r="I177" s="125">
        <v>0.0</v>
      </c>
      <c r="J177" s="125">
        <v>0.0</v>
      </c>
      <c r="K177" s="125">
        <v>0.0</v>
      </c>
      <c r="L177" s="125">
        <v>0.0</v>
      </c>
    </row>
    <row r="178">
      <c r="A178" s="122" t="s">
        <v>1139</v>
      </c>
      <c r="B178" s="122" t="s">
        <v>1924</v>
      </c>
      <c r="C178" s="122" t="s">
        <v>1829</v>
      </c>
      <c r="D178" s="125">
        <v>5.0</v>
      </c>
      <c r="E178" s="125">
        <v>0.0</v>
      </c>
      <c r="F178" s="125">
        <v>0.0</v>
      </c>
      <c r="G178" s="125">
        <v>0.0</v>
      </c>
      <c r="H178" s="125">
        <v>0.0</v>
      </c>
      <c r="I178" s="125">
        <v>0.0</v>
      </c>
      <c r="J178" s="125">
        <v>0.0</v>
      </c>
      <c r="K178" s="125">
        <v>0.0</v>
      </c>
      <c r="L178" s="125">
        <v>0.0</v>
      </c>
    </row>
    <row r="179">
      <c r="A179" s="122" t="s">
        <v>647</v>
      </c>
      <c r="B179" s="122" t="s">
        <v>1925</v>
      </c>
      <c r="C179" s="122" t="s">
        <v>1824</v>
      </c>
      <c r="D179" s="125">
        <v>150.0</v>
      </c>
      <c r="E179" s="125">
        <v>137.0</v>
      </c>
      <c r="F179" s="125">
        <v>112.0</v>
      </c>
      <c r="G179" s="125">
        <v>159.0</v>
      </c>
      <c r="H179" s="125">
        <v>149.0</v>
      </c>
      <c r="I179" s="125">
        <v>113.0</v>
      </c>
      <c r="J179" s="125">
        <v>8.0</v>
      </c>
      <c r="K179" s="125">
        <v>134.0</v>
      </c>
      <c r="L179" s="125">
        <v>2154.0</v>
      </c>
    </row>
    <row r="180">
      <c r="A180" s="122" t="s">
        <v>916</v>
      </c>
      <c r="B180" s="122" t="s">
        <v>918</v>
      </c>
      <c r="C180" s="122" t="s">
        <v>1824</v>
      </c>
      <c r="D180" s="125">
        <v>100.0</v>
      </c>
      <c r="E180" s="125">
        <v>102.0</v>
      </c>
      <c r="F180" s="125">
        <v>116.0</v>
      </c>
      <c r="G180" s="125">
        <v>63.0</v>
      </c>
      <c r="H180" s="125">
        <v>85.0</v>
      </c>
      <c r="I180" s="125">
        <v>74.0</v>
      </c>
      <c r="J180" s="125">
        <v>15.0</v>
      </c>
      <c r="K180" s="125">
        <v>88.0</v>
      </c>
      <c r="L180" s="125">
        <v>1278.0</v>
      </c>
    </row>
    <row r="181">
      <c r="A181" s="122" t="s">
        <v>1151</v>
      </c>
      <c r="B181" s="122" t="s">
        <v>1926</v>
      </c>
      <c r="C181" s="122" t="s">
        <v>1825</v>
      </c>
      <c r="D181" s="125">
        <v>12.0</v>
      </c>
      <c r="E181" s="125">
        <v>5.0</v>
      </c>
      <c r="F181" s="125">
        <v>7.0</v>
      </c>
      <c r="G181" s="125">
        <v>10.0</v>
      </c>
      <c r="H181" s="125">
        <v>14.0</v>
      </c>
      <c r="I181" s="125">
        <v>13.0</v>
      </c>
      <c r="J181" s="125">
        <v>1.0</v>
      </c>
      <c r="K181" s="125">
        <v>10.0</v>
      </c>
      <c r="L181" s="125">
        <v>550.0</v>
      </c>
    </row>
    <row r="182">
      <c r="A182" s="122" t="s">
        <v>973</v>
      </c>
      <c r="B182" s="122" t="s">
        <v>1927</v>
      </c>
      <c r="C182" s="122" t="s">
        <v>1831</v>
      </c>
      <c r="D182" s="125">
        <v>5.0</v>
      </c>
      <c r="E182" s="125">
        <v>3.0</v>
      </c>
      <c r="F182" s="125">
        <v>7.0</v>
      </c>
      <c r="G182" s="125">
        <v>2.0</v>
      </c>
      <c r="H182" s="125">
        <v>2.0</v>
      </c>
      <c r="I182" s="125">
        <v>1.0</v>
      </c>
      <c r="J182" s="125">
        <v>0.0</v>
      </c>
      <c r="K182" s="125">
        <v>3.0</v>
      </c>
      <c r="L182" s="125">
        <v>39.0</v>
      </c>
    </row>
    <row r="183">
      <c r="A183" s="122" t="s">
        <v>970</v>
      </c>
      <c r="B183" s="122" t="s">
        <v>1928</v>
      </c>
      <c r="C183" s="122" t="s">
        <v>1825</v>
      </c>
      <c r="D183" s="125">
        <v>8.0</v>
      </c>
      <c r="E183" s="125">
        <v>3.0</v>
      </c>
      <c r="F183" s="125">
        <v>4.0</v>
      </c>
      <c r="G183" s="125">
        <v>6.0</v>
      </c>
      <c r="H183" s="125">
        <v>4.0</v>
      </c>
      <c r="I183" s="125">
        <v>7.0</v>
      </c>
      <c r="J183" s="125">
        <v>0.0</v>
      </c>
      <c r="K183" s="125">
        <v>5.0</v>
      </c>
      <c r="L183" s="125">
        <v>211.0</v>
      </c>
    </row>
    <row r="184">
      <c r="A184" s="122" t="s">
        <v>733</v>
      </c>
      <c r="B184" s="122" t="s">
        <v>735</v>
      </c>
      <c r="C184" s="122" t="s">
        <v>1825</v>
      </c>
      <c r="D184" s="125">
        <v>30.0</v>
      </c>
      <c r="E184" s="125">
        <v>70.0</v>
      </c>
      <c r="F184" s="125">
        <v>46.0</v>
      </c>
      <c r="G184" s="125">
        <v>63.0</v>
      </c>
      <c r="H184" s="125">
        <v>79.0</v>
      </c>
      <c r="I184" s="125">
        <v>76.0</v>
      </c>
      <c r="J184" s="125">
        <v>4.0</v>
      </c>
      <c r="K184" s="125">
        <v>67.0</v>
      </c>
      <c r="L184" s="125">
        <v>173.0</v>
      </c>
    </row>
    <row r="185">
      <c r="A185" s="122" t="s">
        <v>827</v>
      </c>
      <c r="B185" s="122" t="s">
        <v>829</v>
      </c>
      <c r="C185" s="122" t="s">
        <v>1824</v>
      </c>
      <c r="D185" s="125">
        <v>10.0</v>
      </c>
      <c r="E185" s="125">
        <v>12.0</v>
      </c>
      <c r="F185" s="125">
        <v>25.0</v>
      </c>
      <c r="G185" s="125">
        <v>10.0</v>
      </c>
      <c r="H185" s="125">
        <v>4.0</v>
      </c>
      <c r="I185" s="125">
        <v>11.0</v>
      </c>
      <c r="J185" s="125">
        <v>0.0</v>
      </c>
      <c r="K185" s="125">
        <v>12.0</v>
      </c>
      <c r="L185" s="125">
        <v>131.0</v>
      </c>
    </row>
    <row r="186">
      <c r="A186" s="122" t="s">
        <v>663</v>
      </c>
      <c r="B186" s="122" t="s">
        <v>665</v>
      </c>
      <c r="C186" s="122" t="s">
        <v>1824</v>
      </c>
      <c r="D186" s="125">
        <v>25.0</v>
      </c>
      <c r="E186" s="125">
        <v>11.0</v>
      </c>
      <c r="F186" s="125">
        <v>20.0</v>
      </c>
      <c r="G186" s="125">
        <v>26.0</v>
      </c>
      <c r="H186" s="125">
        <v>49.0</v>
      </c>
      <c r="I186" s="125">
        <v>42.0</v>
      </c>
      <c r="J186" s="125">
        <v>4.0</v>
      </c>
      <c r="K186" s="125">
        <v>30.0</v>
      </c>
      <c r="L186" s="125">
        <v>403.0</v>
      </c>
    </row>
    <row r="187">
      <c r="A187" s="122" t="s">
        <v>801</v>
      </c>
      <c r="B187" s="122" t="s">
        <v>803</v>
      </c>
      <c r="C187" s="122" t="s">
        <v>1829</v>
      </c>
      <c r="D187" s="125">
        <v>10.0</v>
      </c>
      <c r="E187" s="125">
        <v>0.0</v>
      </c>
      <c r="F187" s="125">
        <v>0.0</v>
      </c>
      <c r="G187" s="125">
        <v>0.0</v>
      </c>
      <c r="H187" s="125">
        <v>0.0</v>
      </c>
      <c r="I187" s="125">
        <v>0.0</v>
      </c>
      <c r="J187" s="125">
        <v>0.0</v>
      </c>
      <c r="K187" s="125">
        <v>0.0</v>
      </c>
      <c r="L187" s="125">
        <v>0.0</v>
      </c>
    </row>
    <row r="188">
      <c r="A188" s="122" t="s">
        <v>721</v>
      </c>
      <c r="B188" s="122" t="s">
        <v>723</v>
      </c>
      <c r="C188" s="122" t="s">
        <v>1829</v>
      </c>
      <c r="D188" s="125">
        <v>0.0</v>
      </c>
      <c r="E188" s="125">
        <v>0.0</v>
      </c>
      <c r="F188" s="125">
        <v>0.0</v>
      </c>
      <c r="G188" s="125">
        <v>0.0</v>
      </c>
      <c r="H188" s="125">
        <v>0.0</v>
      </c>
      <c r="I188" s="125">
        <v>0.0</v>
      </c>
      <c r="J188" s="125">
        <v>0.0</v>
      </c>
      <c r="K188" s="125">
        <v>0.0</v>
      </c>
      <c r="L188" s="125">
        <v>0.0</v>
      </c>
    </row>
    <row r="189">
      <c r="A189" s="122" t="s">
        <v>718</v>
      </c>
      <c r="B189" s="122" t="s">
        <v>720</v>
      </c>
      <c r="C189" s="122" t="s">
        <v>1825</v>
      </c>
      <c r="D189" s="125">
        <v>10.0</v>
      </c>
      <c r="E189" s="125">
        <v>16.0</v>
      </c>
      <c r="F189" s="125">
        <v>15.0</v>
      </c>
      <c r="G189" s="125">
        <v>25.0</v>
      </c>
      <c r="H189" s="125">
        <v>13.0</v>
      </c>
      <c r="I189" s="125">
        <v>17.0</v>
      </c>
      <c r="J189" s="125">
        <v>6.0</v>
      </c>
      <c r="K189" s="125">
        <v>17.0</v>
      </c>
      <c r="L189" s="125">
        <v>0.0</v>
      </c>
    </row>
    <row r="190">
      <c r="A190" s="122" t="s">
        <v>1032</v>
      </c>
      <c r="B190" s="122" t="s">
        <v>1929</v>
      </c>
      <c r="C190" s="122" t="s">
        <v>1829</v>
      </c>
      <c r="D190" s="125">
        <v>15.0</v>
      </c>
      <c r="E190" s="125">
        <v>0.0</v>
      </c>
      <c r="F190" s="125">
        <v>0.0</v>
      </c>
      <c r="G190" s="125">
        <v>0.0</v>
      </c>
      <c r="H190" s="125">
        <v>0.0</v>
      </c>
      <c r="I190" s="125">
        <v>0.0</v>
      </c>
      <c r="J190" s="125">
        <v>0.0</v>
      </c>
      <c r="K190" s="125">
        <v>0.0</v>
      </c>
      <c r="L190" s="125">
        <v>0.0</v>
      </c>
    </row>
    <row r="191">
      <c r="A191" s="122" t="s">
        <v>1029</v>
      </c>
      <c r="B191" s="122" t="s">
        <v>1930</v>
      </c>
      <c r="C191" s="122" t="s">
        <v>1825</v>
      </c>
      <c r="D191" s="125">
        <v>15.0</v>
      </c>
      <c r="E191" s="125">
        <v>7.0</v>
      </c>
      <c r="F191" s="125">
        <v>2.0</v>
      </c>
      <c r="G191" s="125">
        <v>10.0</v>
      </c>
      <c r="H191" s="125">
        <v>10.0</v>
      </c>
      <c r="I191" s="125">
        <v>1.0</v>
      </c>
      <c r="J191" s="125">
        <v>1.0</v>
      </c>
      <c r="K191" s="125">
        <v>6.0</v>
      </c>
      <c r="L191" s="125">
        <v>119.0</v>
      </c>
    </row>
    <row r="192">
      <c r="A192" s="122" t="s">
        <v>870</v>
      </c>
      <c r="B192" s="122" t="s">
        <v>872</v>
      </c>
      <c r="C192" s="122" t="s">
        <v>1825</v>
      </c>
      <c r="D192" s="125">
        <v>12.0</v>
      </c>
      <c r="E192" s="125">
        <v>21.0</v>
      </c>
      <c r="F192" s="125">
        <v>5.0</v>
      </c>
      <c r="G192" s="125">
        <v>10.0</v>
      </c>
      <c r="H192" s="125">
        <v>7.0</v>
      </c>
      <c r="I192" s="125">
        <v>9.0</v>
      </c>
      <c r="J192" s="125">
        <v>0.0</v>
      </c>
      <c r="K192" s="125">
        <v>10.0</v>
      </c>
      <c r="L192" s="125">
        <v>197.0</v>
      </c>
    </row>
    <row r="193">
      <c r="A193" s="122" t="s">
        <v>545</v>
      </c>
      <c r="B193" s="122" t="s">
        <v>547</v>
      </c>
      <c r="C193" s="122" t="s">
        <v>1824</v>
      </c>
      <c r="D193" s="125">
        <v>35.0</v>
      </c>
      <c r="E193" s="125">
        <v>18.0</v>
      </c>
      <c r="F193" s="125">
        <v>11.0</v>
      </c>
      <c r="G193" s="125">
        <v>18.0</v>
      </c>
      <c r="H193" s="125">
        <v>26.0</v>
      </c>
      <c r="I193" s="125">
        <v>22.0</v>
      </c>
      <c r="J193" s="125">
        <v>2.0</v>
      </c>
      <c r="K193" s="125">
        <v>19.0</v>
      </c>
      <c r="L193" s="125">
        <v>786.0</v>
      </c>
    </row>
    <row r="194">
      <c r="A194" s="122" t="s">
        <v>597</v>
      </c>
      <c r="B194" s="122" t="s">
        <v>1931</v>
      </c>
      <c r="C194" s="122" t="s">
        <v>1829</v>
      </c>
      <c r="D194" s="125">
        <v>40.0</v>
      </c>
      <c r="E194" s="125">
        <v>0.0</v>
      </c>
      <c r="F194" s="125">
        <v>0.0</v>
      </c>
      <c r="G194" s="125">
        <v>0.0</v>
      </c>
      <c r="H194" s="125">
        <v>0.0</v>
      </c>
      <c r="I194" s="125">
        <v>0.0</v>
      </c>
      <c r="J194" s="125">
        <v>0.0</v>
      </c>
      <c r="K194" s="125">
        <v>0.0</v>
      </c>
      <c r="L194" s="125">
        <v>0.0</v>
      </c>
    </row>
    <row r="195">
      <c r="A195" s="122" t="s">
        <v>845</v>
      </c>
      <c r="B195" s="122" t="s">
        <v>1932</v>
      </c>
      <c r="C195" s="122" t="s">
        <v>1829</v>
      </c>
      <c r="D195" s="125">
        <v>10.0</v>
      </c>
      <c r="E195" s="125">
        <v>0.0</v>
      </c>
      <c r="F195" s="125">
        <v>0.0</v>
      </c>
      <c r="G195" s="125">
        <v>0.0</v>
      </c>
      <c r="H195" s="125">
        <v>0.0</v>
      </c>
      <c r="I195" s="125">
        <v>0.0</v>
      </c>
      <c r="J195" s="125">
        <v>0.0</v>
      </c>
      <c r="K195" s="125">
        <v>0.0</v>
      </c>
      <c r="L195" s="125">
        <v>0.0</v>
      </c>
    </row>
    <row r="196">
      <c r="A196" s="122" t="s">
        <v>525</v>
      </c>
      <c r="B196" s="122" t="s">
        <v>527</v>
      </c>
      <c r="C196" s="122" t="s">
        <v>1824</v>
      </c>
      <c r="D196" s="125">
        <v>25.0</v>
      </c>
      <c r="E196" s="125">
        <v>34.0</v>
      </c>
      <c r="F196" s="125">
        <v>33.0</v>
      </c>
      <c r="G196" s="125">
        <v>48.0</v>
      </c>
      <c r="H196" s="125">
        <v>59.0</v>
      </c>
      <c r="I196" s="125">
        <v>31.0</v>
      </c>
      <c r="J196" s="125">
        <v>1.0</v>
      </c>
      <c r="K196" s="125">
        <v>41.0</v>
      </c>
      <c r="L196" s="125">
        <v>390.0</v>
      </c>
    </row>
    <row r="197">
      <c r="A197" s="122" t="s">
        <v>507</v>
      </c>
      <c r="B197" s="122" t="s">
        <v>509</v>
      </c>
      <c r="C197" s="122" t="s">
        <v>1824</v>
      </c>
      <c r="D197" s="125">
        <v>10.0</v>
      </c>
      <c r="E197" s="125">
        <v>6.0</v>
      </c>
      <c r="F197" s="125">
        <v>4.0</v>
      </c>
      <c r="G197" s="125">
        <v>6.0</v>
      </c>
      <c r="H197" s="125">
        <v>6.0</v>
      </c>
      <c r="I197" s="125">
        <v>8.0</v>
      </c>
      <c r="J197" s="125">
        <v>1.0</v>
      </c>
      <c r="K197" s="125">
        <v>6.0</v>
      </c>
      <c r="L197" s="125">
        <v>317.0</v>
      </c>
    </row>
    <row r="198">
      <c r="A198" s="122" t="s">
        <v>536</v>
      </c>
      <c r="B198" s="122" t="s">
        <v>538</v>
      </c>
      <c r="C198" s="122" t="s">
        <v>1825</v>
      </c>
      <c r="D198" s="125">
        <v>4.0</v>
      </c>
      <c r="E198" s="125">
        <v>2.0</v>
      </c>
      <c r="F198" s="125">
        <v>1.0</v>
      </c>
      <c r="G198" s="125">
        <v>1.0</v>
      </c>
      <c r="H198" s="125">
        <v>1.0</v>
      </c>
      <c r="I198" s="125">
        <v>2.0</v>
      </c>
      <c r="J198" s="125">
        <v>0.0</v>
      </c>
      <c r="K198" s="125">
        <v>1.0</v>
      </c>
      <c r="L198" s="125">
        <v>112.0</v>
      </c>
    </row>
    <row r="199">
      <c r="A199" s="122" t="s">
        <v>519</v>
      </c>
      <c r="B199" s="122" t="s">
        <v>521</v>
      </c>
      <c r="C199" s="122" t="s">
        <v>1825</v>
      </c>
      <c r="D199" s="125">
        <v>4.0</v>
      </c>
      <c r="E199" s="125">
        <v>0.0</v>
      </c>
      <c r="F199" s="125">
        <v>0.0</v>
      </c>
      <c r="G199" s="125">
        <v>0.0</v>
      </c>
      <c r="H199" s="125">
        <v>1.0</v>
      </c>
      <c r="I199" s="125">
        <v>1.0</v>
      </c>
      <c r="J199" s="125">
        <v>0.0</v>
      </c>
      <c r="K199" s="125">
        <v>0.0</v>
      </c>
      <c r="L199" s="125">
        <v>10.0</v>
      </c>
    </row>
    <row r="200">
      <c r="A200" s="122" t="s">
        <v>876</v>
      </c>
      <c r="B200" s="122" t="s">
        <v>1933</v>
      </c>
      <c r="C200" s="122" t="s">
        <v>1824</v>
      </c>
      <c r="D200" s="125">
        <v>50.0</v>
      </c>
      <c r="E200" s="125">
        <v>72.0</v>
      </c>
      <c r="F200" s="125">
        <v>75.0</v>
      </c>
      <c r="G200" s="125">
        <v>91.0</v>
      </c>
      <c r="H200" s="125">
        <v>69.0</v>
      </c>
      <c r="I200" s="125">
        <v>15.0</v>
      </c>
      <c r="J200" s="125">
        <v>3.0</v>
      </c>
      <c r="K200" s="125">
        <v>64.0</v>
      </c>
      <c r="L200" s="125">
        <v>361.0</v>
      </c>
    </row>
    <row r="201">
      <c r="A201" s="122" t="s">
        <v>1127</v>
      </c>
      <c r="B201" s="122" t="s">
        <v>1934</v>
      </c>
      <c r="C201" s="122" t="s">
        <v>1831</v>
      </c>
      <c r="D201" s="125">
        <v>4.0</v>
      </c>
      <c r="E201" s="125">
        <v>0.0</v>
      </c>
      <c r="F201" s="125">
        <v>4.0</v>
      </c>
      <c r="G201" s="125">
        <v>4.0</v>
      </c>
      <c r="H201" s="125">
        <v>4.0</v>
      </c>
      <c r="I201" s="125">
        <v>2.0</v>
      </c>
      <c r="J201" s="125">
        <v>0.0</v>
      </c>
      <c r="K201" s="125">
        <v>3.0</v>
      </c>
      <c r="L201" s="125">
        <v>73.0</v>
      </c>
    </row>
    <row r="202">
      <c r="A202" s="122" t="s">
        <v>704</v>
      </c>
      <c r="B202" s="122" t="s">
        <v>706</v>
      </c>
      <c r="C202" s="122" t="s">
        <v>1824</v>
      </c>
      <c r="D202" s="125">
        <v>35.0</v>
      </c>
      <c r="E202" s="125">
        <v>73.0</v>
      </c>
      <c r="F202" s="125">
        <v>40.0</v>
      </c>
      <c r="G202" s="125">
        <v>32.0</v>
      </c>
      <c r="H202" s="125">
        <v>7.0</v>
      </c>
      <c r="I202" s="125">
        <v>10.0</v>
      </c>
      <c r="J202" s="125">
        <v>0.0</v>
      </c>
      <c r="K202" s="125">
        <v>32.0</v>
      </c>
      <c r="L202" s="125">
        <v>285.0</v>
      </c>
    </row>
    <row r="203">
      <c r="A203" s="122" t="s">
        <v>1101</v>
      </c>
      <c r="B203" s="122" t="s">
        <v>1935</v>
      </c>
      <c r="C203" s="122" t="s">
        <v>1824</v>
      </c>
      <c r="D203" s="125">
        <v>35.0</v>
      </c>
      <c r="E203" s="125">
        <v>37.0</v>
      </c>
      <c r="F203" s="125">
        <v>23.0</v>
      </c>
      <c r="G203" s="125">
        <v>46.0</v>
      </c>
      <c r="H203" s="125">
        <v>52.0</v>
      </c>
      <c r="I203" s="125">
        <v>49.0</v>
      </c>
      <c r="J203" s="125">
        <v>4.0</v>
      </c>
      <c r="K203" s="125">
        <v>41.0</v>
      </c>
      <c r="L203" s="125">
        <v>296.0</v>
      </c>
    </row>
    <row r="204">
      <c r="A204" s="122" t="s">
        <v>446</v>
      </c>
      <c r="B204" s="122" t="s">
        <v>448</v>
      </c>
      <c r="C204" s="122" t="s">
        <v>1824</v>
      </c>
      <c r="D204" s="125">
        <v>70.0</v>
      </c>
      <c r="E204" s="125">
        <v>51.0</v>
      </c>
      <c r="F204" s="125">
        <v>50.0</v>
      </c>
      <c r="G204" s="125">
        <v>36.0</v>
      </c>
      <c r="H204" s="125">
        <v>50.0</v>
      </c>
      <c r="I204" s="125">
        <v>30.0</v>
      </c>
      <c r="J204" s="125">
        <v>5.0</v>
      </c>
      <c r="K204" s="125">
        <v>43.0</v>
      </c>
      <c r="L204" s="125">
        <v>1579.0</v>
      </c>
    </row>
    <row r="205">
      <c r="A205" s="122" t="s">
        <v>1044</v>
      </c>
      <c r="B205" s="122" t="s">
        <v>1936</v>
      </c>
      <c r="C205" s="122" t="s">
        <v>1824</v>
      </c>
      <c r="D205" s="125">
        <v>17.0</v>
      </c>
      <c r="E205" s="125">
        <v>5.0</v>
      </c>
      <c r="F205" s="125">
        <v>9.0</v>
      </c>
      <c r="G205" s="125">
        <v>13.0</v>
      </c>
      <c r="H205" s="125">
        <v>7.0</v>
      </c>
      <c r="I205" s="125">
        <v>11.0</v>
      </c>
      <c r="J205" s="125">
        <v>0.0</v>
      </c>
      <c r="K205" s="125">
        <v>9.0</v>
      </c>
      <c r="L205" s="125">
        <v>203.0</v>
      </c>
    </row>
    <row r="206">
      <c r="A206" s="122" t="s">
        <v>1156</v>
      </c>
      <c r="B206" s="122" t="s">
        <v>1937</v>
      </c>
      <c r="C206" s="122" t="s">
        <v>1831</v>
      </c>
      <c r="D206" s="125">
        <v>2.0</v>
      </c>
      <c r="E206" s="125">
        <v>0.0</v>
      </c>
      <c r="F206" s="125">
        <v>0.0</v>
      </c>
      <c r="G206" s="125">
        <v>0.0</v>
      </c>
      <c r="H206" s="125">
        <v>0.0</v>
      </c>
      <c r="I206" s="125">
        <v>0.0</v>
      </c>
      <c r="J206" s="125">
        <v>0.0</v>
      </c>
      <c r="K206" s="125">
        <v>0.0</v>
      </c>
      <c r="L206" s="125">
        <v>0.0</v>
      </c>
    </row>
    <row r="207">
      <c r="A207" s="122" t="s">
        <v>1159</v>
      </c>
      <c r="B207" s="122" t="s">
        <v>1938</v>
      </c>
      <c r="C207" s="122" t="s">
        <v>1831</v>
      </c>
      <c r="D207" s="125">
        <v>10.0</v>
      </c>
      <c r="E207" s="125">
        <v>0.0</v>
      </c>
      <c r="F207" s="125">
        <v>0.0</v>
      </c>
      <c r="G207" s="125">
        <v>0.0</v>
      </c>
      <c r="H207" s="125">
        <v>3.0</v>
      </c>
      <c r="I207" s="125">
        <v>0.0</v>
      </c>
      <c r="J207" s="125">
        <v>0.0</v>
      </c>
      <c r="K207" s="125">
        <v>1.0</v>
      </c>
      <c r="L207" s="125">
        <v>0.0</v>
      </c>
    </row>
    <row r="208">
      <c r="A208" s="122" t="s">
        <v>1162</v>
      </c>
      <c r="B208" s="122" t="s">
        <v>1939</v>
      </c>
      <c r="C208" s="122" t="s">
        <v>1831</v>
      </c>
      <c r="D208" s="125">
        <v>1.0</v>
      </c>
      <c r="E208" s="125">
        <v>0.0</v>
      </c>
      <c r="F208" s="125">
        <v>0.0</v>
      </c>
      <c r="G208" s="125">
        <v>1.0</v>
      </c>
      <c r="H208" s="125">
        <v>1.0</v>
      </c>
      <c r="I208" s="125">
        <v>0.0</v>
      </c>
      <c r="J208" s="125">
        <v>0.0</v>
      </c>
      <c r="K208" s="125">
        <v>0.0</v>
      </c>
      <c r="L208" s="125">
        <v>5.0</v>
      </c>
    </row>
    <row r="209">
      <c r="A209" s="122" t="s">
        <v>1165</v>
      </c>
      <c r="B209" s="122" t="s">
        <v>1940</v>
      </c>
      <c r="C209" s="122" t="s">
        <v>1825</v>
      </c>
      <c r="D209" s="125">
        <v>1.0</v>
      </c>
      <c r="E209" s="125">
        <v>0.0</v>
      </c>
      <c r="F209" s="125">
        <v>0.0</v>
      </c>
      <c r="G209" s="125">
        <v>1.0</v>
      </c>
      <c r="H209" s="125">
        <v>0.0</v>
      </c>
      <c r="I209" s="125">
        <v>0.0</v>
      </c>
      <c r="J209" s="125">
        <v>0.0</v>
      </c>
      <c r="K209" s="125">
        <v>0.0</v>
      </c>
      <c r="L209" s="125">
        <v>0.0</v>
      </c>
    </row>
    <row r="210">
      <c r="A210" s="122" t="s">
        <v>1168</v>
      </c>
      <c r="B210" s="122" t="s">
        <v>1941</v>
      </c>
      <c r="C210" s="122" t="s">
        <v>1831</v>
      </c>
      <c r="D210" s="125">
        <v>2.0</v>
      </c>
      <c r="E210" s="125">
        <v>0.0</v>
      </c>
      <c r="F210" s="125">
        <v>0.0</v>
      </c>
      <c r="G210" s="125">
        <v>0.0</v>
      </c>
      <c r="H210" s="125">
        <v>0.0</v>
      </c>
      <c r="I210" s="125">
        <v>0.0</v>
      </c>
      <c r="J210" s="125">
        <v>0.0</v>
      </c>
      <c r="K210" s="125">
        <v>0.0</v>
      </c>
      <c r="L210" s="125">
        <v>0.0</v>
      </c>
    </row>
    <row r="211">
      <c r="A211" s="122" t="s">
        <v>1171</v>
      </c>
      <c r="B211" s="122" t="s">
        <v>1942</v>
      </c>
      <c r="C211" s="122" t="s">
        <v>1825</v>
      </c>
      <c r="D211" s="125">
        <v>5.0</v>
      </c>
      <c r="E211" s="125">
        <v>0.0</v>
      </c>
      <c r="F211" s="125">
        <v>0.0</v>
      </c>
      <c r="G211" s="125">
        <v>0.0</v>
      </c>
      <c r="H211" s="125">
        <v>0.0</v>
      </c>
      <c r="I211" s="125">
        <v>1.0</v>
      </c>
      <c r="J211" s="125">
        <v>0.0</v>
      </c>
      <c r="K211" s="125">
        <v>0.0</v>
      </c>
      <c r="L211" s="125">
        <v>99.0</v>
      </c>
    </row>
    <row r="212">
      <c r="A212" s="122" t="s">
        <v>1174</v>
      </c>
      <c r="B212" s="122" t="s">
        <v>1943</v>
      </c>
      <c r="C212" s="122" t="s">
        <v>1825</v>
      </c>
      <c r="D212" s="125">
        <v>5.0</v>
      </c>
      <c r="E212" s="125">
        <v>0.0</v>
      </c>
      <c r="F212" s="125">
        <v>0.0</v>
      </c>
      <c r="G212" s="125">
        <v>1.0</v>
      </c>
      <c r="H212" s="125">
        <v>14.0</v>
      </c>
      <c r="I212" s="125">
        <v>14.0</v>
      </c>
      <c r="J212" s="125">
        <v>0.0</v>
      </c>
      <c r="K212" s="125">
        <v>6.0</v>
      </c>
      <c r="L212" s="125">
        <v>75.0</v>
      </c>
    </row>
    <row r="213">
      <c r="A213" s="122" t="s">
        <v>1177</v>
      </c>
      <c r="B213" s="122" t="s">
        <v>1944</v>
      </c>
      <c r="C213" s="122" t="s">
        <v>1831</v>
      </c>
      <c r="D213" s="125">
        <v>8.0</v>
      </c>
      <c r="E213" s="125">
        <v>7.0</v>
      </c>
      <c r="F213" s="125">
        <v>4.0</v>
      </c>
      <c r="G213" s="125">
        <v>3.0</v>
      </c>
      <c r="H213" s="125">
        <v>7.0</v>
      </c>
      <c r="I213" s="125">
        <v>6.0</v>
      </c>
      <c r="J213" s="125">
        <v>2.0</v>
      </c>
      <c r="K213" s="125">
        <v>5.0</v>
      </c>
      <c r="L213" s="125">
        <v>285.0</v>
      </c>
    </row>
    <row r="214">
      <c r="A214" s="122" t="s">
        <v>1180</v>
      </c>
      <c r="B214" s="122" t="s">
        <v>1945</v>
      </c>
      <c r="C214" s="122" t="s">
        <v>1831</v>
      </c>
      <c r="D214" s="125">
        <v>8.0</v>
      </c>
      <c r="E214" s="125">
        <v>12.0</v>
      </c>
      <c r="F214" s="125">
        <v>9.0</v>
      </c>
      <c r="G214" s="125">
        <v>9.0</v>
      </c>
      <c r="H214" s="125">
        <v>7.0</v>
      </c>
      <c r="I214" s="125">
        <v>9.0</v>
      </c>
      <c r="J214" s="125">
        <v>1.0</v>
      </c>
      <c r="K214" s="125">
        <v>9.0</v>
      </c>
      <c r="L214" s="125">
        <v>155.0</v>
      </c>
    </row>
    <row r="215">
      <c r="A215" s="122" t="s">
        <v>1183</v>
      </c>
      <c r="B215" s="122" t="s">
        <v>1946</v>
      </c>
      <c r="C215" s="122" t="s">
        <v>1829</v>
      </c>
      <c r="D215" s="125">
        <v>3.0</v>
      </c>
      <c r="E215" s="125">
        <v>0.0</v>
      </c>
      <c r="F215" s="125">
        <v>0.0</v>
      </c>
      <c r="G215" s="125">
        <v>0.0</v>
      </c>
      <c r="H215" s="125">
        <v>0.0</v>
      </c>
      <c r="I215" s="125">
        <v>0.0</v>
      </c>
      <c r="J215" s="125">
        <v>0.0</v>
      </c>
      <c r="K215" s="125">
        <v>0.0</v>
      </c>
      <c r="L215" s="125">
        <v>0.0</v>
      </c>
    </row>
    <row r="216">
      <c r="A216" s="122" t="s">
        <v>1186</v>
      </c>
      <c r="B216" s="122" t="s">
        <v>1947</v>
      </c>
      <c r="C216" s="122" t="s">
        <v>1831</v>
      </c>
      <c r="D216" s="125">
        <v>25.0</v>
      </c>
      <c r="E216" s="125">
        <v>32.0</v>
      </c>
      <c r="F216" s="125">
        <v>28.0</v>
      </c>
      <c r="G216" s="125">
        <v>63.0</v>
      </c>
      <c r="H216" s="125">
        <v>58.0</v>
      </c>
      <c r="I216" s="125">
        <v>30.0</v>
      </c>
      <c r="J216" s="125">
        <v>2.0</v>
      </c>
      <c r="K216" s="125">
        <v>42.0</v>
      </c>
      <c r="L216" s="125">
        <v>151.0</v>
      </c>
    </row>
    <row r="217">
      <c r="A217" s="122" t="s">
        <v>1189</v>
      </c>
      <c r="B217" s="122" t="s">
        <v>1948</v>
      </c>
      <c r="C217" s="122" t="s">
        <v>1831</v>
      </c>
      <c r="D217" s="125">
        <v>20.0</v>
      </c>
      <c r="E217" s="125">
        <v>0.0</v>
      </c>
      <c r="F217" s="125">
        <v>0.0</v>
      </c>
      <c r="G217" s="125">
        <v>0.0</v>
      </c>
      <c r="H217" s="125">
        <v>0.0</v>
      </c>
      <c r="I217" s="125">
        <v>0.0</v>
      </c>
      <c r="J217" s="125">
        <v>0.0</v>
      </c>
      <c r="K217" s="125">
        <v>0.0</v>
      </c>
      <c r="L217" s="125">
        <v>0.0</v>
      </c>
    </row>
    <row r="218">
      <c r="A218" s="122" t="s">
        <v>1192</v>
      </c>
      <c r="B218" s="122" t="s">
        <v>1949</v>
      </c>
      <c r="C218" s="122" t="s">
        <v>1831</v>
      </c>
      <c r="D218" s="125">
        <v>30.0</v>
      </c>
      <c r="E218" s="125">
        <v>0.0</v>
      </c>
      <c r="F218" s="125">
        <v>0.0</v>
      </c>
      <c r="G218" s="125">
        <v>0.0</v>
      </c>
      <c r="H218" s="125">
        <v>0.0</v>
      </c>
      <c r="I218" s="125">
        <v>0.0</v>
      </c>
      <c r="J218" s="125">
        <v>0.0</v>
      </c>
      <c r="K218" s="125">
        <v>0.0</v>
      </c>
      <c r="L218" s="125">
        <v>0.0</v>
      </c>
    </row>
    <row r="219">
      <c r="A219" s="122" t="s">
        <v>1195</v>
      </c>
      <c r="B219" s="122" t="s">
        <v>1950</v>
      </c>
      <c r="C219" s="122" t="s">
        <v>1825</v>
      </c>
      <c r="D219" s="125">
        <v>7.0</v>
      </c>
      <c r="E219" s="125">
        <v>9.0</v>
      </c>
      <c r="F219" s="125">
        <v>8.0</v>
      </c>
      <c r="G219" s="125">
        <v>15.0</v>
      </c>
      <c r="H219" s="125">
        <v>8.0</v>
      </c>
      <c r="I219" s="125">
        <v>6.0</v>
      </c>
      <c r="J219" s="125">
        <v>0.0</v>
      </c>
      <c r="K219" s="125">
        <v>9.0</v>
      </c>
      <c r="L219" s="125">
        <v>247.0</v>
      </c>
    </row>
    <row r="220">
      <c r="A220" s="122" t="s">
        <v>1198</v>
      </c>
      <c r="B220" s="122" t="s">
        <v>1951</v>
      </c>
      <c r="C220" s="122" t="s">
        <v>1829</v>
      </c>
      <c r="D220" s="125">
        <v>7.0</v>
      </c>
      <c r="E220" s="125">
        <v>0.0</v>
      </c>
      <c r="F220" s="125">
        <v>0.0</v>
      </c>
      <c r="G220" s="125">
        <v>0.0</v>
      </c>
      <c r="H220" s="125">
        <v>0.0</v>
      </c>
      <c r="I220" s="125">
        <v>0.0</v>
      </c>
      <c r="J220" s="125">
        <v>0.0</v>
      </c>
      <c r="K220" s="125">
        <v>0.0</v>
      </c>
      <c r="L220" s="125">
        <v>0.0</v>
      </c>
    </row>
    <row r="221">
      <c r="A221" s="122" t="s">
        <v>1201</v>
      </c>
      <c r="B221" s="122" t="s">
        <v>1952</v>
      </c>
      <c r="C221" s="122" t="s">
        <v>1831</v>
      </c>
      <c r="D221" s="125">
        <v>7.0</v>
      </c>
      <c r="E221" s="125">
        <v>11.0</v>
      </c>
      <c r="F221" s="125">
        <v>10.0</v>
      </c>
      <c r="G221" s="125">
        <v>17.0</v>
      </c>
      <c r="H221" s="125">
        <v>2.0</v>
      </c>
      <c r="I221" s="125">
        <v>2.0</v>
      </c>
      <c r="J221" s="125">
        <v>1.0</v>
      </c>
      <c r="K221" s="125">
        <v>8.0</v>
      </c>
      <c r="L221" s="125">
        <v>15.0</v>
      </c>
    </row>
    <row r="222">
      <c r="A222" s="122" t="s">
        <v>1204</v>
      </c>
      <c r="B222" s="122" t="s">
        <v>1953</v>
      </c>
      <c r="C222" s="122" t="s">
        <v>1831</v>
      </c>
      <c r="D222" s="125">
        <v>6.0</v>
      </c>
      <c r="E222" s="125">
        <v>9.0</v>
      </c>
      <c r="F222" s="125">
        <v>4.0</v>
      </c>
      <c r="G222" s="125">
        <v>8.0</v>
      </c>
      <c r="H222" s="125">
        <v>6.0</v>
      </c>
      <c r="I222" s="125">
        <v>12.0</v>
      </c>
      <c r="J222" s="125">
        <v>0.0</v>
      </c>
      <c r="K222" s="125">
        <v>8.0</v>
      </c>
      <c r="L222" s="125">
        <v>260.0</v>
      </c>
    </row>
    <row r="223">
      <c r="A223" s="122" t="s">
        <v>1207</v>
      </c>
      <c r="B223" s="122" t="s">
        <v>1954</v>
      </c>
      <c r="C223" s="122" t="s">
        <v>1831</v>
      </c>
      <c r="D223" s="125">
        <v>6.0</v>
      </c>
      <c r="E223" s="125">
        <v>1.0</v>
      </c>
      <c r="F223" s="125">
        <v>2.0</v>
      </c>
      <c r="G223" s="125">
        <v>7.0</v>
      </c>
      <c r="H223" s="125">
        <v>8.0</v>
      </c>
      <c r="I223" s="125">
        <v>4.0</v>
      </c>
      <c r="J223" s="125">
        <v>0.0</v>
      </c>
      <c r="K223" s="125">
        <v>4.0</v>
      </c>
      <c r="L223" s="125">
        <v>290.0</v>
      </c>
    </row>
    <row r="224">
      <c r="A224" s="122" t="s">
        <v>1210</v>
      </c>
      <c r="B224" s="122" t="s">
        <v>1955</v>
      </c>
      <c r="C224" s="122" t="s">
        <v>1831</v>
      </c>
      <c r="D224" s="125">
        <v>6.0</v>
      </c>
      <c r="E224" s="125">
        <v>0.0</v>
      </c>
      <c r="F224" s="125">
        <v>3.0</v>
      </c>
      <c r="G224" s="125">
        <v>3.0</v>
      </c>
      <c r="H224" s="125">
        <v>1.0</v>
      </c>
      <c r="I224" s="125">
        <v>2.0</v>
      </c>
      <c r="J224" s="125">
        <v>1.0</v>
      </c>
      <c r="K224" s="125">
        <v>2.0</v>
      </c>
      <c r="L224" s="125">
        <v>244.0</v>
      </c>
    </row>
    <row r="225">
      <c r="A225" s="122" t="s">
        <v>1213</v>
      </c>
      <c r="B225" s="122" t="s">
        <v>1956</v>
      </c>
      <c r="C225" s="122" t="s">
        <v>1831</v>
      </c>
      <c r="D225" s="125">
        <v>6.0</v>
      </c>
      <c r="E225" s="125">
        <v>3.0</v>
      </c>
      <c r="F225" s="125">
        <v>3.0</v>
      </c>
      <c r="G225" s="125">
        <v>1.0</v>
      </c>
      <c r="H225" s="125">
        <v>6.0</v>
      </c>
      <c r="I225" s="125">
        <v>2.0</v>
      </c>
      <c r="J225" s="125">
        <v>0.0</v>
      </c>
      <c r="K225" s="125">
        <v>3.0</v>
      </c>
      <c r="L225" s="125">
        <v>134.0</v>
      </c>
    </row>
    <row r="226">
      <c r="A226" s="122" t="s">
        <v>1216</v>
      </c>
      <c r="B226" s="122" t="s">
        <v>1957</v>
      </c>
      <c r="C226" s="122" t="s">
        <v>1825</v>
      </c>
      <c r="D226" s="125">
        <v>25.0</v>
      </c>
      <c r="E226" s="125">
        <v>26.0</v>
      </c>
      <c r="F226" s="125">
        <v>26.0</v>
      </c>
      <c r="G226" s="125">
        <v>29.0</v>
      </c>
      <c r="H226" s="125">
        <v>40.0</v>
      </c>
      <c r="I226" s="125">
        <v>39.0</v>
      </c>
      <c r="J226" s="125">
        <v>5.0</v>
      </c>
      <c r="K226" s="125">
        <v>32.0</v>
      </c>
      <c r="L226" s="125">
        <v>405.0</v>
      </c>
    </row>
    <row r="227">
      <c r="A227" s="122" t="s">
        <v>1219</v>
      </c>
      <c r="B227" s="122" t="s">
        <v>1958</v>
      </c>
      <c r="C227" s="122" t="s">
        <v>1825</v>
      </c>
      <c r="D227" s="125">
        <v>14.0</v>
      </c>
      <c r="E227" s="125">
        <v>12.0</v>
      </c>
      <c r="F227" s="125">
        <v>9.0</v>
      </c>
      <c r="G227" s="125">
        <v>13.0</v>
      </c>
      <c r="H227" s="125">
        <v>6.0</v>
      </c>
      <c r="I227" s="125">
        <v>15.0</v>
      </c>
      <c r="J227" s="125">
        <v>1.0</v>
      </c>
      <c r="K227" s="125">
        <v>11.0</v>
      </c>
      <c r="L227" s="125">
        <v>186.0</v>
      </c>
    </row>
    <row r="228">
      <c r="A228" s="122" t="s">
        <v>1222</v>
      </c>
      <c r="B228" s="122" t="s">
        <v>1959</v>
      </c>
      <c r="C228" s="122" t="s">
        <v>1825</v>
      </c>
      <c r="D228" s="125">
        <v>8.0</v>
      </c>
      <c r="E228" s="125">
        <v>8.0</v>
      </c>
      <c r="F228" s="125">
        <v>11.0</v>
      </c>
      <c r="G228" s="125">
        <v>29.0</v>
      </c>
      <c r="H228" s="125">
        <v>21.0</v>
      </c>
      <c r="I228" s="125">
        <v>17.0</v>
      </c>
      <c r="J228" s="125">
        <v>2.0</v>
      </c>
      <c r="K228" s="125">
        <v>17.0</v>
      </c>
      <c r="L228" s="125">
        <v>68.0</v>
      </c>
    </row>
    <row r="229">
      <c r="A229" s="122" t="s">
        <v>1225</v>
      </c>
      <c r="B229" s="122" t="s">
        <v>1960</v>
      </c>
      <c r="C229" s="122" t="s">
        <v>1825</v>
      </c>
      <c r="D229" s="125">
        <v>14.0</v>
      </c>
      <c r="E229" s="125">
        <v>14.0</v>
      </c>
      <c r="F229" s="125">
        <v>25.0</v>
      </c>
      <c r="G229" s="125">
        <v>8.0</v>
      </c>
      <c r="H229" s="125">
        <v>0.0</v>
      </c>
      <c r="I229" s="125">
        <v>0.0</v>
      </c>
      <c r="J229" s="125">
        <v>0.0</v>
      </c>
      <c r="K229" s="125">
        <v>9.0</v>
      </c>
      <c r="L229" s="125">
        <v>0.0</v>
      </c>
    </row>
    <row r="230">
      <c r="A230" s="122" t="s">
        <v>1228</v>
      </c>
      <c r="B230" s="122" t="s">
        <v>1961</v>
      </c>
      <c r="C230" s="122" t="s">
        <v>1825</v>
      </c>
      <c r="D230" s="125">
        <v>6.0</v>
      </c>
      <c r="E230" s="125">
        <v>4.0</v>
      </c>
      <c r="F230" s="125">
        <v>3.0</v>
      </c>
      <c r="G230" s="125">
        <v>8.0</v>
      </c>
      <c r="H230" s="125">
        <v>4.0</v>
      </c>
      <c r="I230" s="125">
        <v>6.0</v>
      </c>
      <c r="J230" s="125">
        <v>4.0</v>
      </c>
      <c r="K230" s="125">
        <v>5.0</v>
      </c>
      <c r="L230" s="125">
        <v>13.0</v>
      </c>
    </row>
    <row r="231">
      <c r="A231" s="122" t="s">
        <v>1231</v>
      </c>
      <c r="B231" s="122" t="s">
        <v>1962</v>
      </c>
      <c r="C231" s="122" t="s">
        <v>1831</v>
      </c>
      <c r="D231" s="125">
        <v>20.0</v>
      </c>
      <c r="E231" s="125">
        <v>30.0</v>
      </c>
      <c r="F231" s="125">
        <v>27.0</v>
      </c>
      <c r="G231" s="125">
        <v>24.0</v>
      </c>
      <c r="H231" s="125">
        <v>12.0</v>
      </c>
      <c r="I231" s="125">
        <v>6.0</v>
      </c>
      <c r="J231" s="125">
        <v>0.0</v>
      </c>
      <c r="K231" s="125">
        <v>20.0</v>
      </c>
      <c r="L231" s="125">
        <v>36.0</v>
      </c>
    </row>
    <row r="232">
      <c r="A232" s="122" t="s">
        <v>1240</v>
      </c>
      <c r="B232" s="122" t="s">
        <v>1963</v>
      </c>
      <c r="C232" s="122" t="s">
        <v>1831</v>
      </c>
      <c r="D232" s="125">
        <v>10.0</v>
      </c>
      <c r="E232" s="125">
        <v>0.0</v>
      </c>
      <c r="F232" s="125">
        <v>3.0</v>
      </c>
      <c r="G232" s="125">
        <v>0.0</v>
      </c>
      <c r="H232" s="125">
        <v>0.0</v>
      </c>
      <c r="I232" s="125">
        <v>0.0</v>
      </c>
      <c r="J232" s="125">
        <v>0.0</v>
      </c>
      <c r="K232" s="125">
        <v>1.0</v>
      </c>
      <c r="L232" s="125">
        <v>0.0</v>
      </c>
    </row>
    <row r="233">
      <c r="A233" s="122" t="s">
        <v>1243</v>
      </c>
      <c r="B233" s="122" t="s">
        <v>1964</v>
      </c>
      <c r="C233" s="122" t="s">
        <v>1829</v>
      </c>
      <c r="D233" s="125">
        <v>5.0</v>
      </c>
      <c r="E233" s="125">
        <v>0.0</v>
      </c>
      <c r="F233" s="125">
        <v>0.0</v>
      </c>
      <c r="G233" s="125">
        <v>0.0</v>
      </c>
      <c r="H233" s="125">
        <v>0.0</v>
      </c>
      <c r="I233" s="125">
        <v>0.0</v>
      </c>
      <c r="J233" s="125">
        <v>0.0</v>
      </c>
      <c r="K233" s="125">
        <v>0.0</v>
      </c>
      <c r="L233" s="125">
        <v>0.0</v>
      </c>
    </row>
    <row r="234">
      <c r="A234" s="122" t="s">
        <v>1246</v>
      </c>
      <c r="B234" s="122" t="s">
        <v>1965</v>
      </c>
      <c r="C234" s="122" t="s">
        <v>1829</v>
      </c>
      <c r="D234" s="125">
        <v>5.0</v>
      </c>
      <c r="E234" s="125">
        <v>0.0</v>
      </c>
      <c r="F234" s="125">
        <v>0.0</v>
      </c>
      <c r="G234" s="125">
        <v>0.0</v>
      </c>
      <c r="H234" s="125">
        <v>0.0</v>
      </c>
      <c r="I234" s="125">
        <v>0.0</v>
      </c>
      <c r="J234" s="125">
        <v>0.0</v>
      </c>
      <c r="K234" s="125">
        <v>0.0</v>
      </c>
      <c r="L234" s="125">
        <v>0.0</v>
      </c>
    </row>
    <row r="235">
      <c r="A235" s="122" t="s">
        <v>1249</v>
      </c>
      <c r="B235" s="122" t="s">
        <v>1966</v>
      </c>
      <c r="C235" s="122" t="s">
        <v>1825</v>
      </c>
      <c r="D235" s="125">
        <v>45.0</v>
      </c>
      <c r="E235" s="125">
        <v>63.0</v>
      </c>
      <c r="F235" s="125">
        <v>47.0</v>
      </c>
      <c r="G235" s="125">
        <v>63.0</v>
      </c>
      <c r="H235" s="125">
        <v>1.0</v>
      </c>
      <c r="I235" s="125">
        <v>4.0</v>
      </c>
      <c r="J235" s="125">
        <v>0.0</v>
      </c>
      <c r="K235" s="125">
        <v>36.0</v>
      </c>
      <c r="L235" s="125">
        <v>0.0</v>
      </c>
    </row>
    <row r="236">
      <c r="A236" s="122" t="s">
        <v>1252</v>
      </c>
      <c r="B236" s="122" t="s">
        <v>1967</v>
      </c>
      <c r="C236" s="122" t="s">
        <v>1831</v>
      </c>
      <c r="D236" s="125">
        <v>10.0</v>
      </c>
      <c r="E236" s="125">
        <v>0.0</v>
      </c>
      <c r="F236" s="125">
        <v>0.0</v>
      </c>
      <c r="G236" s="125">
        <v>19.0</v>
      </c>
      <c r="H236" s="125">
        <v>36.0</v>
      </c>
      <c r="I236" s="125">
        <v>41.0</v>
      </c>
      <c r="J236" s="125">
        <v>1.0</v>
      </c>
      <c r="K236" s="125">
        <v>19.0</v>
      </c>
      <c r="L236" s="125">
        <v>103.0</v>
      </c>
    </row>
    <row r="237">
      <c r="A237" s="122" t="s">
        <v>1255</v>
      </c>
      <c r="B237" s="122" t="s">
        <v>1968</v>
      </c>
      <c r="C237" s="122" t="s">
        <v>1831</v>
      </c>
      <c r="D237" s="125">
        <v>20.0</v>
      </c>
      <c r="E237" s="125">
        <v>27.0</v>
      </c>
      <c r="F237" s="125">
        <v>33.0</v>
      </c>
      <c r="G237" s="125">
        <v>34.0</v>
      </c>
      <c r="H237" s="125">
        <v>41.0</v>
      </c>
      <c r="I237" s="125">
        <v>26.0</v>
      </c>
      <c r="J237" s="125">
        <v>7.0</v>
      </c>
      <c r="K237" s="125">
        <v>32.0</v>
      </c>
      <c r="L237" s="125">
        <v>155.0</v>
      </c>
    </row>
    <row r="238">
      <c r="A238" s="122" t="s">
        <v>1258</v>
      </c>
      <c r="B238" s="122" t="s">
        <v>1969</v>
      </c>
      <c r="C238" s="122" t="s">
        <v>1831</v>
      </c>
      <c r="D238" s="125">
        <v>5.0</v>
      </c>
      <c r="E238" s="125">
        <v>4.0</v>
      </c>
      <c r="F238" s="125">
        <v>8.0</v>
      </c>
      <c r="G238" s="125">
        <v>4.0</v>
      </c>
      <c r="H238" s="125">
        <v>1.0</v>
      </c>
      <c r="I238" s="125">
        <v>3.0</v>
      </c>
      <c r="J238" s="125">
        <v>0.0</v>
      </c>
      <c r="K238" s="125">
        <v>4.0</v>
      </c>
      <c r="L238" s="125">
        <v>190.0</v>
      </c>
    </row>
    <row r="239">
      <c r="A239" s="122" t="s">
        <v>1261</v>
      </c>
      <c r="B239" s="122" t="s">
        <v>1970</v>
      </c>
      <c r="C239" s="122" t="s">
        <v>1825</v>
      </c>
      <c r="D239" s="125">
        <v>2.0</v>
      </c>
      <c r="E239" s="125">
        <v>0.0</v>
      </c>
      <c r="F239" s="125">
        <v>2.0</v>
      </c>
      <c r="G239" s="125">
        <v>1.0</v>
      </c>
      <c r="H239" s="125">
        <v>10.0</v>
      </c>
      <c r="I239" s="125">
        <v>2.0</v>
      </c>
      <c r="J239" s="125">
        <v>0.0</v>
      </c>
      <c r="K239" s="125">
        <v>3.0</v>
      </c>
      <c r="L239" s="125">
        <v>38.0</v>
      </c>
    </row>
    <row r="240">
      <c r="A240" s="122" t="s">
        <v>1264</v>
      </c>
      <c r="B240" s="122" t="s">
        <v>1971</v>
      </c>
      <c r="C240" s="122" t="s">
        <v>1831</v>
      </c>
      <c r="D240" s="125">
        <v>3.0</v>
      </c>
      <c r="E240" s="125">
        <v>1.0</v>
      </c>
      <c r="F240" s="125">
        <v>5.0</v>
      </c>
      <c r="G240" s="125">
        <v>15.0</v>
      </c>
      <c r="H240" s="125">
        <v>6.0</v>
      </c>
      <c r="I240" s="125">
        <v>10.0</v>
      </c>
      <c r="J240" s="125">
        <v>0.0</v>
      </c>
      <c r="K240" s="125">
        <v>7.0</v>
      </c>
      <c r="L240" s="125">
        <v>21.0</v>
      </c>
    </row>
    <row r="241">
      <c r="A241" s="122" t="s">
        <v>1267</v>
      </c>
      <c r="B241" s="122" t="s">
        <v>1972</v>
      </c>
      <c r="C241" s="122" t="s">
        <v>1825</v>
      </c>
      <c r="D241" s="125">
        <v>7.0</v>
      </c>
      <c r="E241" s="125">
        <v>6.0</v>
      </c>
      <c r="F241" s="125">
        <v>7.0</v>
      </c>
      <c r="G241" s="125">
        <v>8.0</v>
      </c>
      <c r="H241" s="125">
        <v>13.0</v>
      </c>
      <c r="I241" s="125">
        <v>9.0</v>
      </c>
      <c r="J241" s="125">
        <v>0.0</v>
      </c>
      <c r="K241" s="125">
        <v>9.0</v>
      </c>
      <c r="L241" s="125">
        <v>93.0</v>
      </c>
    </row>
    <row r="242">
      <c r="A242" s="122" t="s">
        <v>1270</v>
      </c>
      <c r="B242" s="122" t="s">
        <v>1973</v>
      </c>
      <c r="C242" s="122" t="s">
        <v>1825</v>
      </c>
      <c r="D242" s="125">
        <v>15.0</v>
      </c>
      <c r="E242" s="125">
        <v>21.0</v>
      </c>
      <c r="F242" s="125">
        <v>20.0</v>
      </c>
      <c r="G242" s="125">
        <v>31.0</v>
      </c>
      <c r="H242" s="125">
        <v>19.0</v>
      </c>
      <c r="I242" s="125">
        <v>20.0</v>
      </c>
      <c r="J242" s="125">
        <v>1.0</v>
      </c>
      <c r="K242" s="125">
        <v>22.0</v>
      </c>
      <c r="L242" s="125">
        <v>127.0</v>
      </c>
    </row>
    <row r="243">
      <c r="A243" s="122" t="s">
        <v>1273</v>
      </c>
      <c r="B243" s="122" t="s">
        <v>1974</v>
      </c>
      <c r="C243" s="122" t="s">
        <v>1824</v>
      </c>
      <c r="D243" s="125">
        <v>50.0</v>
      </c>
      <c r="E243" s="125">
        <v>37.0</v>
      </c>
      <c r="F243" s="125">
        <v>34.0</v>
      </c>
      <c r="G243" s="125">
        <v>50.0</v>
      </c>
      <c r="H243" s="125">
        <v>19.0</v>
      </c>
      <c r="I243" s="125">
        <v>46.0</v>
      </c>
      <c r="J243" s="125">
        <v>1.0</v>
      </c>
      <c r="K243" s="125">
        <v>37.0</v>
      </c>
      <c r="L243" s="125">
        <v>341.0</v>
      </c>
    </row>
    <row r="244">
      <c r="A244" s="122" t="s">
        <v>1276</v>
      </c>
      <c r="B244" s="122" t="s">
        <v>1975</v>
      </c>
      <c r="C244" s="122" t="s">
        <v>1825</v>
      </c>
      <c r="D244" s="125">
        <v>10.0</v>
      </c>
      <c r="E244" s="125">
        <v>6.0</v>
      </c>
      <c r="F244" s="125">
        <v>4.0</v>
      </c>
      <c r="G244" s="125">
        <v>2.0</v>
      </c>
      <c r="H244" s="125">
        <v>2.0</v>
      </c>
      <c r="I244" s="125">
        <v>8.0</v>
      </c>
      <c r="J244" s="125">
        <v>0.0</v>
      </c>
      <c r="K244" s="125">
        <v>4.0</v>
      </c>
      <c r="L244" s="125">
        <v>279.0</v>
      </c>
    </row>
    <row r="245">
      <c r="A245" s="122" t="s">
        <v>1279</v>
      </c>
      <c r="B245" s="122" t="s">
        <v>1976</v>
      </c>
      <c r="C245" s="122" t="s">
        <v>1825</v>
      </c>
      <c r="D245" s="125">
        <v>10.0</v>
      </c>
      <c r="E245" s="125">
        <v>5.0</v>
      </c>
      <c r="F245" s="125">
        <v>10.0</v>
      </c>
      <c r="G245" s="125">
        <v>10.0</v>
      </c>
      <c r="H245" s="125">
        <v>11.0</v>
      </c>
      <c r="I245" s="125">
        <v>3.0</v>
      </c>
      <c r="J245" s="125">
        <v>0.0</v>
      </c>
      <c r="K245" s="125">
        <v>8.0</v>
      </c>
      <c r="L245" s="125">
        <v>90.0</v>
      </c>
    </row>
    <row r="246">
      <c r="A246" s="122" t="s">
        <v>1288</v>
      </c>
      <c r="B246" s="122" t="s">
        <v>1977</v>
      </c>
      <c r="C246" s="122" t="s">
        <v>1831</v>
      </c>
      <c r="D246" s="125">
        <v>4.0</v>
      </c>
      <c r="E246" s="125">
        <v>4.0</v>
      </c>
      <c r="F246" s="125">
        <v>0.0</v>
      </c>
      <c r="G246" s="125">
        <v>2.0</v>
      </c>
      <c r="H246" s="125">
        <v>4.0</v>
      </c>
      <c r="I246" s="125">
        <v>9.0</v>
      </c>
      <c r="J246" s="125">
        <v>0.0</v>
      </c>
      <c r="K246" s="125">
        <v>4.0</v>
      </c>
      <c r="L246" s="125">
        <v>80.0</v>
      </c>
    </row>
    <row r="247">
      <c r="A247" s="122" t="s">
        <v>1291</v>
      </c>
      <c r="B247" s="122" t="s">
        <v>1978</v>
      </c>
      <c r="C247" s="122" t="s">
        <v>1825</v>
      </c>
      <c r="D247" s="125">
        <v>15.0</v>
      </c>
      <c r="E247" s="125">
        <v>41.0</v>
      </c>
      <c r="F247" s="125">
        <v>42.0</v>
      </c>
      <c r="G247" s="125">
        <v>9.0</v>
      </c>
      <c r="H247" s="125">
        <v>11.0</v>
      </c>
      <c r="I247" s="125">
        <v>6.0</v>
      </c>
      <c r="J247" s="125">
        <v>1.0</v>
      </c>
      <c r="K247" s="125">
        <v>22.0</v>
      </c>
      <c r="L247" s="125">
        <v>30.0</v>
      </c>
    </row>
    <row r="248">
      <c r="A248" s="122" t="s">
        <v>1294</v>
      </c>
      <c r="B248" s="122" t="s">
        <v>1979</v>
      </c>
      <c r="C248" s="122" t="s">
        <v>1825</v>
      </c>
      <c r="D248" s="125">
        <v>20.0</v>
      </c>
      <c r="E248" s="125">
        <v>15.0</v>
      </c>
      <c r="F248" s="125">
        <v>16.0</v>
      </c>
      <c r="G248" s="125">
        <v>7.0</v>
      </c>
      <c r="H248" s="125">
        <v>5.0</v>
      </c>
      <c r="I248" s="125">
        <v>9.0</v>
      </c>
      <c r="J248" s="125">
        <v>3.0</v>
      </c>
      <c r="K248" s="125">
        <v>10.0</v>
      </c>
      <c r="L248" s="125">
        <v>228.0</v>
      </c>
    </row>
    <row r="249">
      <c r="A249" s="122" t="s">
        <v>1297</v>
      </c>
      <c r="B249" s="122" t="s">
        <v>1980</v>
      </c>
      <c r="C249" s="122" t="s">
        <v>1825</v>
      </c>
      <c r="D249" s="125">
        <v>20.0</v>
      </c>
      <c r="E249" s="125">
        <v>0.0</v>
      </c>
      <c r="F249" s="125">
        <v>0.0</v>
      </c>
      <c r="G249" s="125">
        <v>6.0</v>
      </c>
      <c r="H249" s="125">
        <v>25.0</v>
      </c>
      <c r="I249" s="125">
        <v>32.0</v>
      </c>
      <c r="J249" s="125">
        <v>2.0</v>
      </c>
      <c r="K249" s="125">
        <v>13.0</v>
      </c>
      <c r="L249" s="125">
        <v>134.0</v>
      </c>
    </row>
    <row r="250">
      <c r="A250" s="122" t="s">
        <v>1300</v>
      </c>
      <c r="B250" s="122" t="s">
        <v>1981</v>
      </c>
      <c r="C250" s="122" t="s">
        <v>1825</v>
      </c>
      <c r="D250" s="125">
        <v>20.0</v>
      </c>
      <c r="E250" s="125">
        <v>0.0</v>
      </c>
      <c r="F250" s="125">
        <v>0.0</v>
      </c>
      <c r="G250" s="125">
        <v>0.0</v>
      </c>
      <c r="H250" s="125">
        <v>0.0</v>
      </c>
      <c r="I250" s="125">
        <v>0.0</v>
      </c>
      <c r="J250" s="125">
        <v>0.0</v>
      </c>
      <c r="K250" s="125">
        <v>0.0</v>
      </c>
      <c r="L250" s="125">
        <v>0.0</v>
      </c>
    </row>
    <row r="251">
      <c r="A251" s="122" t="s">
        <v>1303</v>
      </c>
      <c r="B251" s="122" t="s">
        <v>1982</v>
      </c>
      <c r="C251" s="122" t="s">
        <v>1831</v>
      </c>
      <c r="D251" s="125">
        <v>15.0</v>
      </c>
      <c r="E251" s="125">
        <v>7.0</v>
      </c>
      <c r="F251" s="125">
        <v>40.0</v>
      </c>
      <c r="G251" s="125">
        <v>26.0</v>
      </c>
      <c r="H251" s="125">
        <v>5.0</v>
      </c>
      <c r="I251" s="125">
        <v>4.0</v>
      </c>
      <c r="J251" s="125">
        <v>1.0</v>
      </c>
      <c r="K251" s="125">
        <v>16.0</v>
      </c>
      <c r="L251" s="125">
        <v>234.0</v>
      </c>
    </row>
    <row r="252">
      <c r="A252" s="122" t="s">
        <v>1306</v>
      </c>
      <c r="B252" s="122" t="s">
        <v>1983</v>
      </c>
      <c r="C252" s="122" t="s">
        <v>1825</v>
      </c>
      <c r="D252" s="125">
        <v>1.0</v>
      </c>
      <c r="E252" s="125">
        <v>2.0</v>
      </c>
      <c r="F252" s="125">
        <v>0.0</v>
      </c>
      <c r="G252" s="125">
        <v>0.0</v>
      </c>
      <c r="H252" s="125">
        <v>1.0</v>
      </c>
      <c r="I252" s="125">
        <v>0.0</v>
      </c>
      <c r="J252" s="125">
        <v>0.0</v>
      </c>
      <c r="K252" s="125">
        <v>1.0</v>
      </c>
      <c r="L252" s="125">
        <v>0.0</v>
      </c>
    </row>
    <row r="253">
      <c r="A253" s="122" t="s">
        <v>1309</v>
      </c>
      <c r="B253" s="122" t="s">
        <v>1984</v>
      </c>
      <c r="C253" s="122" t="s">
        <v>1831</v>
      </c>
      <c r="D253" s="125">
        <v>2.0</v>
      </c>
      <c r="E253" s="125">
        <v>20.0</v>
      </c>
      <c r="F253" s="125">
        <v>0.0</v>
      </c>
      <c r="G253" s="125">
        <v>5.0</v>
      </c>
      <c r="H253" s="125">
        <v>24.0</v>
      </c>
      <c r="I253" s="125">
        <v>23.0</v>
      </c>
      <c r="J253" s="125">
        <v>0.0</v>
      </c>
      <c r="K253" s="125">
        <v>14.0</v>
      </c>
      <c r="L253" s="125">
        <v>66.0</v>
      </c>
    </row>
    <row r="254">
      <c r="A254" s="122" t="s">
        <v>1312</v>
      </c>
      <c r="B254" s="122" t="s">
        <v>1985</v>
      </c>
      <c r="C254" s="122" t="s">
        <v>1831</v>
      </c>
      <c r="D254" s="125">
        <v>8.0</v>
      </c>
      <c r="E254" s="125">
        <v>21.0</v>
      </c>
      <c r="F254" s="125">
        <v>10.0</v>
      </c>
      <c r="G254" s="125">
        <v>7.0</v>
      </c>
      <c r="H254" s="125">
        <v>12.0</v>
      </c>
      <c r="I254" s="125">
        <v>7.0</v>
      </c>
      <c r="J254" s="125">
        <v>1.0</v>
      </c>
      <c r="K254" s="125">
        <v>11.0</v>
      </c>
      <c r="L254" s="125">
        <v>23.0</v>
      </c>
    </row>
    <row r="255">
      <c r="A255" s="122" t="s">
        <v>1315</v>
      </c>
      <c r="B255" s="122" t="s">
        <v>1986</v>
      </c>
      <c r="C255" s="122" t="s">
        <v>1831</v>
      </c>
      <c r="D255" s="125">
        <v>20.0</v>
      </c>
      <c r="E255" s="125">
        <v>32.0</v>
      </c>
      <c r="F255" s="125">
        <v>39.0</v>
      </c>
      <c r="G255" s="125">
        <v>42.0</v>
      </c>
      <c r="H255" s="125">
        <v>33.0</v>
      </c>
      <c r="I255" s="125">
        <v>0.0</v>
      </c>
      <c r="J255" s="125">
        <v>0.0</v>
      </c>
      <c r="K255" s="125">
        <v>29.0</v>
      </c>
      <c r="L255" s="125">
        <v>0.0</v>
      </c>
    </row>
    <row r="256">
      <c r="A256" s="122" t="s">
        <v>1318</v>
      </c>
      <c r="B256" s="122" t="s">
        <v>1987</v>
      </c>
      <c r="C256" s="122" t="s">
        <v>1831</v>
      </c>
      <c r="D256" s="125">
        <v>3.0</v>
      </c>
      <c r="E256" s="125">
        <v>6.0</v>
      </c>
      <c r="F256" s="125">
        <v>3.0</v>
      </c>
      <c r="G256" s="125">
        <v>8.0</v>
      </c>
      <c r="H256" s="125">
        <v>4.0</v>
      </c>
      <c r="I256" s="125">
        <v>2.0</v>
      </c>
      <c r="J256" s="125">
        <v>0.0</v>
      </c>
      <c r="K256" s="125">
        <v>5.0</v>
      </c>
      <c r="L256" s="125">
        <v>121.0</v>
      </c>
    </row>
    <row r="257">
      <c r="A257" s="122" t="s">
        <v>1321</v>
      </c>
      <c r="B257" s="122" t="s">
        <v>1988</v>
      </c>
      <c r="C257" s="122" t="s">
        <v>1825</v>
      </c>
      <c r="D257" s="125">
        <v>50.0</v>
      </c>
      <c r="E257" s="125">
        <v>50.0</v>
      </c>
      <c r="F257" s="125">
        <v>0.0</v>
      </c>
      <c r="G257" s="125">
        <v>23.0</v>
      </c>
      <c r="H257" s="125">
        <v>20.0</v>
      </c>
      <c r="I257" s="125">
        <v>2.0</v>
      </c>
      <c r="J257" s="125">
        <v>2.0</v>
      </c>
      <c r="K257" s="125">
        <v>19.0</v>
      </c>
      <c r="L257" s="125">
        <v>300.0</v>
      </c>
    </row>
    <row r="258">
      <c r="A258" s="122" t="s">
        <v>1333</v>
      </c>
      <c r="B258" s="122" t="s">
        <v>1989</v>
      </c>
      <c r="C258" s="122" t="s">
        <v>1825</v>
      </c>
      <c r="D258" s="125">
        <v>50.0</v>
      </c>
      <c r="E258" s="125">
        <v>0.0</v>
      </c>
      <c r="F258" s="125">
        <v>0.0</v>
      </c>
      <c r="G258" s="125">
        <v>0.0</v>
      </c>
      <c r="H258" s="125">
        <v>0.0</v>
      </c>
      <c r="I258" s="125">
        <v>10.0</v>
      </c>
      <c r="J258" s="125">
        <v>2.0</v>
      </c>
      <c r="K258" s="125">
        <v>2.0</v>
      </c>
      <c r="L258" s="125">
        <v>488.0</v>
      </c>
    </row>
    <row r="259">
      <c r="A259" s="122" t="s">
        <v>1990</v>
      </c>
      <c r="B259" s="122" t="s">
        <v>1990</v>
      </c>
      <c r="C259" s="122" t="s">
        <v>1824</v>
      </c>
      <c r="D259" s="125">
        <v>0.0</v>
      </c>
      <c r="E259" s="125">
        <v>16.0</v>
      </c>
      <c r="F259" s="125">
        <v>34.0</v>
      </c>
      <c r="G259" s="125">
        <v>29.0</v>
      </c>
      <c r="H259" s="125">
        <v>26.0</v>
      </c>
      <c r="I259" s="125">
        <v>18.0</v>
      </c>
      <c r="J259" s="125">
        <v>0.0</v>
      </c>
      <c r="K259" s="125">
        <v>25.0</v>
      </c>
      <c r="L259" s="125">
        <v>113.0</v>
      </c>
    </row>
    <row r="260">
      <c r="A260" s="122" t="s">
        <v>1991</v>
      </c>
      <c r="B260" s="122" t="s">
        <v>1992</v>
      </c>
      <c r="C260" s="122" t="s">
        <v>1824</v>
      </c>
      <c r="D260" s="125">
        <v>200.0</v>
      </c>
      <c r="E260" s="125">
        <v>195.0</v>
      </c>
      <c r="F260" s="125">
        <v>272.0</v>
      </c>
      <c r="G260" s="125">
        <v>317.0</v>
      </c>
      <c r="H260" s="125">
        <v>169.0</v>
      </c>
      <c r="I260" s="125">
        <v>145.0</v>
      </c>
      <c r="J260" s="125">
        <v>24.0</v>
      </c>
      <c r="K260" s="125">
        <v>220.0</v>
      </c>
      <c r="L260" s="125">
        <v>2385.0</v>
      </c>
    </row>
    <row r="261">
      <c r="A261" s="122" t="s">
        <v>1993</v>
      </c>
      <c r="B261" s="122" t="s">
        <v>1994</v>
      </c>
      <c r="C261" s="122" t="s">
        <v>1824</v>
      </c>
      <c r="D261" s="125">
        <v>0.0</v>
      </c>
      <c r="E261" s="125">
        <v>15.0</v>
      </c>
      <c r="F261" s="125">
        <v>21.0</v>
      </c>
      <c r="G261" s="125">
        <v>21.0</v>
      </c>
      <c r="H261" s="125">
        <v>29.0</v>
      </c>
      <c r="I261" s="125">
        <v>13.0</v>
      </c>
      <c r="J261" s="125">
        <v>0.0</v>
      </c>
      <c r="K261" s="125">
        <v>20.0</v>
      </c>
      <c r="L261" s="125">
        <v>49.0</v>
      </c>
    </row>
    <row r="262">
      <c r="A262" s="122" t="s">
        <v>1995</v>
      </c>
      <c r="B262" s="122" t="s">
        <v>1996</v>
      </c>
      <c r="C262" s="122" t="s">
        <v>1829</v>
      </c>
      <c r="D262" s="125">
        <v>0.0</v>
      </c>
      <c r="E262" s="125">
        <v>0.0</v>
      </c>
      <c r="F262" s="125">
        <v>0.0</v>
      </c>
      <c r="G262" s="125">
        <v>0.0</v>
      </c>
      <c r="H262" s="125">
        <v>0.0</v>
      </c>
      <c r="I262" s="125">
        <v>0.0</v>
      </c>
      <c r="J262" s="125">
        <v>0.0</v>
      </c>
      <c r="K262" s="125">
        <v>0.0</v>
      </c>
      <c r="L262" s="125">
        <v>0.0</v>
      </c>
    </row>
    <row r="263">
      <c r="A263" s="122" t="s">
        <v>614</v>
      </c>
      <c r="B263" s="122" t="s">
        <v>616</v>
      </c>
      <c r="C263" s="122" t="s">
        <v>1829</v>
      </c>
      <c r="D263" s="125">
        <v>0.0</v>
      </c>
      <c r="E263" s="125">
        <v>0.0</v>
      </c>
      <c r="F263" s="125">
        <v>0.0</v>
      </c>
      <c r="G263" s="125">
        <v>0.0</v>
      </c>
      <c r="H263" s="125">
        <v>0.0</v>
      </c>
      <c r="I263" s="125">
        <v>0.0</v>
      </c>
      <c r="J263" s="125">
        <v>0.0</v>
      </c>
      <c r="K263" s="125">
        <v>0.0</v>
      </c>
      <c r="L263" s="125">
        <v>0.0</v>
      </c>
    </row>
    <row r="264">
      <c r="A264" s="122" t="s">
        <v>1997</v>
      </c>
      <c r="B264" s="122" t="s">
        <v>1998</v>
      </c>
      <c r="C264" s="122" t="s">
        <v>1829</v>
      </c>
      <c r="D264" s="125">
        <v>0.0</v>
      </c>
      <c r="E264" s="125">
        <v>0.0</v>
      </c>
      <c r="F264" s="125">
        <v>0.0</v>
      </c>
      <c r="G264" s="125">
        <v>0.0</v>
      </c>
      <c r="H264" s="125">
        <v>0.0</v>
      </c>
      <c r="I264" s="125">
        <v>0.0</v>
      </c>
      <c r="J264" s="125">
        <v>0.0</v>
      </c>
      <c r="K264" s="125">
        <v>0.0</v>
      </c>
      <c r="L264" s="125">
        <v>0.0</v>
      </c>
    </row>
    <row r="265">
      <c r="A265" s="122" t="s">
        <v>1999</v>
      </c>
      <c r="B265" s="122" t="s">
        <v>2000</v>
      </c>
      <c r="C265" s="122" t="s">
        <v>1829</v>
      </c>
      <c r="D265" s="125">
        <v>0.0</v>
      </c>
      <c r="E265" s="125">
        <v>0.0</v>
      </c>
      <c r="F265" s="125">
        <v>0.0</v>
      </c>
      <c r="G265" s="125">
        <v>0.0</v>
      </c>
      <c r="H265" s="125">
        <v>0.0</v>
      </c>
      <c r="I265" s="125">
        <v>0.0</v>
      </c>
      <c r="J265" s="125">
        <v>0.0</v>
      </c>
      <c r="K265" s="125">
        <v>0.0</v>
      </c>
      <c r="L265" s="125">
        <v>0.0</v>
      </c>
    </row>
    <row r="266">
      <c r="A266" s="122" t="s">
        <v>2001</v>
      </c>
      <c r="B266" s="122" t="s">
        <v>2002</v>
      </c>
      <c r="C266" s="122" t="s">
        <v>1829</v>
      </c>
      <c r="D266" s="125">
        <v>0.0</v>
      </c>
      <c r="E266" s="125">
        <v>0.0</v>
      </c>
      <c r="F266" s="125">
        <v>0.0</v>
      </c>
      <c r="G266" s="125">
        <v>0.0</v>
      </c>
      <c r="H266" s="125">
        <v>0.0</v>
      </c>
      <c r="I266" s="125">
        <v>0.0</v>
      </c>
      <c r="J266" s="125">
        <v>0.0</v>
      </c>
      <c r="K266" s="125">
        <v>0.0</v>
      </c>
      <c r="L266" s="125">
        <v>0.0</v>
      </c>
    </row>
    <row r="267">
      <c r="A267" s="122" t="s">
        <v>2003</v>
      </c>
      <c r="B267" s="122" t="s">
        <v>2004</v>
      </c>
      <c r="C267" s="122" t="s">
        <v>1913</v>
      </c>
      <c r="D267" s="125">
        <v>0.0</v>
      </c>
      <c r="E267" s="125">
        <v>0.0</v>
      </c>
      <c r="F267" s="125">
        <v>4.0</v>
      </c>
      <c r="G267" s="125">
        <v>2.0</v>
      </c>
      <c r="H267" s="125">
        <v>4.0</v>
      </c>
      <c r="I267" s="125">
        <v>2.0</v>
      </c>
      <c r="J267" s="125">
        <v>0.0</v>
      </c>
      <c r="K267" s="125">
        <v>2.0</v>
      </c>
      <c r="L267" s="125">
        <v>88.0</v>
      </c>
    </row>
    <row r="268">
      <c r="A268" s="122" t="s">
        <v>482</v>
      </c>
      <c r="B268" s="122" t="s">
        <v>484</v>
      </c>
      <c r="C268" s="122" t="s">
        <v>1829</v>
      </c>
      <c r="D268" s="125">
        <v>0.0</v>
      </c>
      <c r="E268" s="125">
        <v>0.0</v>
      </c>
      <c r="F268" s="125">
        <v>0.0</v>
      </c>
      <c r="G268" s="125">
        <v>0.0</v>
      </c>
      <c r="H268" s="125">
        <v>0.0</v>
      </c>
      <c r="I268" s="125">
        <v>0.0</v>
      </c>
      <c r="J268" s="125">
        <v>0.0</v>
      </c>
      <c r="K268" s="125">
        <v>0.0</v>
      </c>
      <c r="L268" s="125">
        <v>0.0</v>
      </c>
    </row>
    <row r="269">
      <c r="A269" s="122" t="s">
        <v>2005</v>
      </c>
      <c r="B269" s="122" t="s">
        <v>2006</v>
      </c>
      <c r="C269" s="122" t="s">
        <v>1829</v>
      </c>
      <c r="D269" s="125">
        <v>0.0</v>
      </c>
      <c r="E269" s="125">
        <v>0.0</v>
      </c>
      <c r="F269" s="125">
        <v>0.0</v>
      </c>
      <c r="G269" s="125">
        <v>0.0</v>
      </c>
      <c r="H269" s="125">
        <v>0.0</v>
      </c>
      <c r="I269" s="125">
        <v>0.0</v>
      </c>
      <c r="J269" s="125">
        <v>0.0</v>
      </c>
      <c r="K269" s="125">
        <v>0.0</v>
      </c>
      <c r="L269" s="125">
        <v>1.0</v>
      </c>
    </row>
    <row r="270">
      <c r="A270" s="122" t="s">
        <v>2007</v>
      </c>
      <c r="B270" s="122" t="s">
        <v>2008</v>
      </c>
      <c r="C270" s="122" t="s">
        <v>1829</v>
      </c>
      <c r="D270" s="125">
        <v>0.0</v>
      </c>
      <c r="E270" s="125">
        <v>0.0</v>
      </c>
      <c r="F270" s="125">
        <v>0.0</v>
      </c>
      <c r="G270" s="125">
        <v>0.0</v>
      </c>
      <c r="H270" s="125">
        <v>0.0</v>
      </c>
      <c r="I270" s="125">
        <v>0.0</v>
      </c>
      <c r="J270" s="125">
        <v>0.0</v>
      </c>
      <c r="K270" s="125">
        <v>0.0</v>
      </c>
      <c r="L270" s="125">
        <v>0.0</v>
      </c>
    </row>
    <row r="271">
      <c r="A271" s="122" t="s">
        <v>774</v>
      </c>
      <c r="B271" s="122" t="s">
        <v>774</v>
      </c>
      <c r="C271" s="122" t="s">
        <v>1829</v>
      </c>
      <c r="D271" s="125">
        <v>0.0</v>
      </c>
      <c r="E271" s="125">
        <v>0.0</v>
      </c>
      <c r="F271" s="125">
        <v>0.0</v>
      </c>
      <c r="G271" s="125">
        <v>0.0</v>
      </c>
      <c r="H271" s="125">
        <v>0.0</v>
      </c>
      <c r="I271" s="125">
        <v>0.0</v>
      </c>
      <c r="J271" s="125">
        <v>0.0</v>
      </c>
      <c r="K271" s="125">
        <v>0.0</v>
      </c>
      <c r="L271" s="125">
        <v>0.0</v>
      </c>
    </row>
    <row r="272">
      <c r="A272" s="122" t="s">
        <v>2009</v>
      </c>
      <c r="B272" s="122" t="s">
        <v>2010</v>
      </c>
      <c r="C272" s="122" t="s">
        <v>1829</v>
      </c>
      <c r="D272" s="125">
        <v>0.0</v>
      </c>
      <c r="E272" s="125">
        <v>0.0</v>
      </c>
      <c r="F272" s="125">
        <v>0.0</v>
      </c>
      <c r="G272" s="125">
        <v>0.0</v>
      </c>
      <c r="H272" s="125">
        <v>0.0</v>
      </c>
      <c r="I272" s="125">
        <v>0.0</v>
      </c>
      <c r="J272" s="125">
        <v>0.0</v>
      </c>
      <c r="K272" s="125">
        <v>0.0</v>
      </c>
      <c r="L272" s="125">
        <v>0.0</v>
      </c>
    </row>
    <row r="273">
      <c r="A273" s="122" t="s">
        <v>2011</v>
      </c>
      <c r="B273" s="122" t="s">
        <v>2012</v>
      </c>
      <c r="C273" s="122" t="s">
        <v>1829</v>
      </c>
      <c r="D273" s="125">
        <v>0.0</v>
      </c>
      <c r="E273" s="125">
        <v>0.0</v>
      </c>
      <c r="F273" s="125">
        <v>0.0</v>
      </c>
      <c r="G273" s="125">
        <v>0.0</v>
      </c>
      <c r="H273" s="125">
        <v>0.0</v>
      </c>
      <c r="I273" s="125">
        <v>0.0</v>
      </c>
      <c r="J273" s="125">
        <v>0.0</v>
      </c>
      <c r="K273" s="125">
        <v>0.0</v>
      </c>
      <c r="L273" s="125">
        <v>0.0</v>
      </c>
    </row>
    <row r="274">
      <c r="A274" s="122" t="s">
        <v>2013</v>
      </c>
      <c r="B274" s="122" t="s">
        <v>2014</v>
      </c>
      <c r="C274" s="122" t="s">
        <v>1829</v>
      </c>
      <c r="D274" s="125">
        <v>0.0</v>
      </c>
      <c r="E274" s="125">
        <v>0.0</v>
      </c>
      <c r="F274" s="125">
        <v>0.0</v>
      </c>
      <c r="G274" s="125">
        <v>0.0</v>
      </c>
      <c r="H274" s="125">
        <v>0.0</v>
      </c>
      <c r="I274" s="125">
        <v>0.0</v>
      </c>
      <c r="J274" s="125">
        <v>0.0</v>
      </c>
      <c r="K274" s="125">
        <v>0.0</v>
      </c>
      <c r="L274" s="125">
        <v>0.0</v>
      </c>
    </row>
    <row r="275">
      <c r="A275" s="122" t="s">
        <v>677</v>
      </c>
      <c r="B275" s="122" t="s">
        <v>679</v>
      </c>
      <c r="C275" s="122" t="s">
        <v>1829</v>
      </c>
      <c r="D275" s="125">
        <v>0.0</v>
      </c>
      <c r="E275" s="125">
        <v>0.0</v>
      </c>
      <c r="F275" s="125">
        <v>0.0</v>
      </c>
      <c r="G275" s="125">
        <v>0.0</v>
      </c>
      <c r="H275" s="125">
        <v>0.0</v>
      </c>
      <c r="I275" s="125">
        <v>0.0</v>
      </c>
      <c r="J275" s="125">
        <v>0.0</v>
      </c>
      <c r="K275" s="125">
        <v>0.0</v>
      </c>
      <c r="L275" s="125">
        <v>0.0</v>
      </c>
    </row>
    <row r="276">
      <c r="A276" s="122" t="s">
        <v>499</v>
      </c>
      <c r="B276" s="122" t="s">
        <v>2015</v>
      </c>
      <c r="C276" s="122" t="s">
        <v>1829</v>
      </c>
      <c r="D276" s="125">
        <v>0.0</v>
      </c>
      <c r="E276" s="125">
        <v>0.0</v>
      </c>
      <c r="F276" s="125">
        <v>0.0</v>
      </c>
      <c r="G276" s="125">
        <v>0.0</v>
      </c>
      <c r="H276" s="125">
        <v>0.0</v>
      </c>
      <c r="I276" s="125">
        <v>0.0</v>
      </c>
      <c r="J276" s="125">
        <v>0.0</v>
      </c>
      <c r="K276" s="125">
        <v>0.0</v>
      </c>
      <c r="L276" s="125">
        <v>0.0</v>
      </c>
    </row>
    <row r="277">
      <c r="A277" s="122" t="s">
        <v>2016</v>
      </c>
      <c r="B277" s="122" t="s">
        <v>2017</v>
      </c>
      <c r="C277" s="122" t="s">
        <v>1829</v>
      </c>
      <c r="D277" s="125">
        <v>0.0</v>
      </c>
      <c r="E277" s="125">
        <v>0.0</v>
      </c>
      <c r="F277" s="125">
        <v>0.0</v>
      </c>
      <c r="G277" s="125">
        <v>0.0</v>
      </c>
      <c r="H277" s="125">
        <v>0.0</v>
      </c>
      <c r="I277" s="125">
        <v>0.0</v>
      </c>
      <c r="J277" s="125">
        <v>0.0</v>
      </c>
      <c r="K277" s="125">
        <v>0.0</v>
      </c>
      <c r="L277" s="125">
        <v>0.0</v>
      </c>
    </row>
    <row r="278">
      <c r="A278" s="122" t="s">
        <v>2018</v>
      </c>
      <c r="B278" s="122" t="s">
        <v>2019</v>
      </c>
      <c r="C278" s="122" t="s">
        <v>1829</v>
      </c>
      <c r="D278" s="125">
        <v>0.0</v>
      </c>
      <c r="E278" s="125">
        <v>0.0</v>
      </c>
      <c r="F278" s="125">
        <v>0.0</v>
      </c>
      <c r="G278" s="125">
        <v>0.0</v>
      </c>
      <c r="H278" s="125">
        <v>0.0</v>
      </c>
      <c r="I278" s="125">
        <v>0.0</v>
      </c>
      <c r="J278" s="125">
        <v>0.0</v>
      </c>
      <c r="K278" s="125">
        <v>0.0</v>
      </c>
      <c r="L278" s="125">
        <v>1.0</v>
      </c>
    </row>
    <row r="279">
      <c r="A279" s="122" t="s">
        <v>2020</v>
      </c>
      <c r="B279" s="122" t="s">
        <v>2021</v>
      </c>
      <c r="C279" s="122" t="s">
        <v>1829</v>
      </c>
      <c r="D279" s="125">
        <v>0.0</v>
      </c>
      <c r="E279" s="125">
        <v>0.0</v>
      </c>
      <c r="F279" s="125">
        <v>0.0</v>
      </c>
      <c r="G279" s="125">
        <v>0.0</v>
      </c>
      <c r="H279" s="125">
        <v>0.0</v>
      </c>
      <c r="I279" s="125">
        <v>0.0</v>
      </c>
      <c r="J279" s="125">
        <v>0.0</v>
      </c>
      <c r="K279" s="125">
        <v>0.0</v>
      </c>
      <c r="L279" s="125">
        <v>0.0</v>
      </c>
    </row>
    <row r="280">
      <c r="A280" s="122" t="s">
        <v>2022</v>
      </c>
      <c r="B280" s="122" t="s">
        <v>2023</v>
      </c>
      <c r="C280" s="122" t="s">
        <v>1829</v>
      </c>
      <c r="D280" s="125">
        <v>0.0</v>
      </c>
      <c r="E280" s="125">
        <v>0.0</v>
      </c>
      <c r="F280" s="125">
        <v>0.0</v>
      </c>
      <c r="G280" s="125">
        <v>0.0</v>
      </c>
      <c r="H280" s="125">
        <v>0.0</v>
      </c>
      <c r="I280" s="125">
        <v>0.0</v>
      </c>
      <c r="J280" s="125">
        <v>0.0</v>
      </c>
      <c r="K280" s="125">
        <v>0.0</v>
      </c>
      <c r="L280" s="125">
        <v>0.0</v>
      </c>
    </row>
    <row r="281">
      <c r="A281" s="122" t="s">
        <v>2024</v>
      </c>
      <c r="B281" s="122" t="s">
        <v>2025</v>
      </c>
      <c r="C281" s="122" t="s">
        <v>1913</v>
      </c>
      <c r="D281" s="125">
        <v>0.0</v>
      </c>
      <c r="E281" s="125">
        <v>41.0</v>
      </c>
      <c r="F281" s="125">
        <v>24.0</v>
      </c>
      <c r="G281" s="125">
        <v>57.0</v>
      </c>
      <c r="H281" s="125">
        <v>51.0</v>
      </c>
      <c r="I281" s="125">
        <v>44.0</v>
      </c>
      <c r="J281" s="125">
        <v>4.0</v>
      </c>
      <c r="K281" s="125">
        <v>43.0</v>
      </c>
      <c r="L281" s="125">
        <v>728.0</v>
      </c>
    </row>
    <row r="282">
      <c r="A282" s="122" t="s">
        <v>2026</v>
      </c>
      <c r="B282" s="122" t="s">
        <v>2027</v>
      </c>
      <c r="C282" s="122" t="s">
        <v>1829</v>
      </c>
      <c r="D282" s="125">
        <v>0.0</v>
      </c>
      <c r="E282" s="125">
        <v>0.0</v>
      </c>
      <c r="F282" s="125">
        <v>0.0</v>
      </c>
      <c r="G282" s="125">
        <v>0.0</v>
      </c>
      <c r="H282" s="125">
        <v>0.0</v>
      </c>
      <c r="I282" s="125">
        <v>0.0</v>
      </c>
      <c r="J282" s="125">
        <v>0.0</v>
      </c>
      <c r="K282" s="125">
        <v>0.0</v>
      </c>
      <c r="L282" s="125">
        <v>1.0</v>
      </c>
    </row>
    <row r="283">
      <c r="A283" s="122" t="s">
        <v>2028</v>
      </c>
      <c r="B283" s="122" t="s">
        <v>2029</v>
      </c>
      <c r="C283" s="122" t="s">
        <v>1829</v>
      </c>
      <c r="D283" s="125">
        <v>0.0</v>
      </c>
      <c r="E283" s="125">
        <v>0.0</v>
      </c>
      <c r="F283" s="125">
        <v>0.0</v>
      </c>
      <c r="G283" s="125">
        <v>0.0</v>
      </c>
      <c r="H283" s="125">
        <v>0.0</v>
      </c>
      <c r="I283" s="125">
        <v>0.0</v>
      </c>
      <c r="J283" s="125">
        <v>0.0</v>
      </c>
      <c r="K283" s="125">
        <v>0.0</v>
      </c>
      <c r="L283" s="125">
        <v>0.0</v>
      </c>
    </row>
    <row r="284">
      <c r="A284" s="122" t="s">
        <v>2030</v>
      </c>
      <c r="B284" s="122" t="s">
        <v>2017</v>
      </c>
      <c r="C284" s="122" t="s">
        <v>1829</v>
      </c>
      <c r="D284" s="125">
        <v>0.0</v>
      </c>
      <c r="E284" s="125">
        <v>0.0</v>
      </c>
      <c r="F284" s="125">
        <v>0.0</v>
      </c>
      <c r="G284" s="125">
        <v>0.0</v>
      </c>
      <c r="H284" s="125">
        <v>0.0</v>
      </c>
      <c r="I284" s="125">
        <v>0.0</v>
      </c>
      <c r="J284" s="125">
        <v>0.0</v>
      </c>
      <c r="K284" s="125">
        <v>0.0</v>
      </c>
      <c r="L284" s="125">
        <v>0.0</v>
      </c>
    </row>
    <row r="285">
      <c r="A285" s="122" t="s">
        <v>2031</v>
      </c>
      <c r="B285" s="122" t="s">
        <v>1903</v>
      </c>
      <c r="C285" s="122" t="s">
        <v>1829</v>
      </c>
      <c r="D285" s="125">
        <v>0.0</v>
      </c>
      <c r="E285" s="125">
        <v>0.0</v>
      </c>
      <c r="F285" s="125">
        <v>0.0</v>
      </c>
      <c r="G285" s="125">
        <v>0.0</v>
      </c>
      <c r="H285" s="125">
        <v>0.0</v>
      </c>
      <c r="I285" s="125">
        <v>0.0</v>
      </c>
      <c r="J285" s="125">
        <v>0.0</v>
      </c>
      <c r="K285" s="125">
        <v>0.0</v>
      </c>
      <c r="L285" s="125">
        <v>0.0</v>
      </c>
    </row>
    <row r="286">
      <c r="A286" s="122" t="s">
        <v>2032</v>
      </c>
      <c r="B286" s="122" t="s">
        <v>2033</v>
      </c>
      <c r="C286" s="122" t="s">
        <v>1829</v>
      </c>
      <c r="D286" s="125">
        <v>0.0</v>
      </c>
      <c r="E286" s="125">
        <v>0.0</v>
      </c>
      <c r="F286" s="125">
        <v>0.0</v>
      </c>
      <c r="G286" s="125">
        <v>0.0</v>
      </c>
      <c r="H286" s="125">
        <v>0.0</v>
      </c>
      <c r="I286" s="125">
        <v>0.0</v>
      </c>
      <c r="J286" s="125">
        <v>0.0</v>
      </c>
      <c r="K286" s="125">
        <v>0.0</v>
      </c>
      <c r="L286" s="125">
        <v>0.0</v>
      </c>
    </row>
    <row r="287">
      <c r="A287" s="122" t="s">
        <v>2034</v>
      </c>
      <c r="B287" s="122" t="s">
        <v>2035</v>
      </c>
      <c r="C287" s="122" t="s">
        <v>1913</v>
      </c>
      <c r="D287" s="125">
        <v>0.0</v>
      </c>
      <c r="E287" s="125">
        <v>84.0</v>
      </c>
      <c r="F287" s="125">
        <v>76.0</v>
      </c>
      <c r="G287" s="125">
        <v>84.0</v>
      </c>
      <c r="H287" s="125">
        <v>48.0</v>
      </c>
      <c r="I287" s="125">
        <v>52.0</v>
      </c>
      <c r="J287" s="125">
        <v>4.0</v>
      </c>
      <c r="K287" s="125">
        <v>69.0</v>
      </c>
      <c r="L287" s="125">
        <v>404.0</v>
      </c>
    </row>
    <row r="288">
      <c r="A288" s="122" t="s">
        <v>2036</v>
      </c>
      <c r="B288" s="122" t="s">
        <v>2037</v>
      </c>
      <c r="C288" s="122" t="s">
        <v>1829</v>
      </c>
      <c r="D288" s="125">
        <v>0.0</v>
      </c>
      <c r="E288" s="125">
        <v>0.0</v>
      </c>
      <c r="F288" s="125">
        <v>0.0</v>
      </c>
      <c r="G288" s="125">
        <v>0.0</v>
      </c>
      <c r="H288" s="125">
        <v>0.0</v>
      </c>
      <c r="I288" s="125">
        <v>0.0</v>
      </c>
      <c r="J288" s="125">
        <v>0.0</v>
      </c>
      <c r="K288" s="125">
        <v>0.0</v>
      </c>
      <c r="L288" s="125">
        <v>0.0</v>
      </c>
    </row>
    <row r="289">
      <c r="A289" s="122" t="s">
        <v>2038</v>
      </c>
      <c r="B289" s="122" t="s">
        <v>2039</v>
      </c>
      <c r="C289" s="122" t="s">
        <v>1829</v>
      </c>
      <c r="D289" s="125">
        <v>0.0</v>
      </c>
      <c r="E289" s="125">
        <v>0.0</v>
      </c>
      <c r="F289" s="125">
        <v>0.0</v>
      </c>
      <c r="G289" s="125">
        <v>0.0</v>
      </c>
      <c r="H289" s="125">
        <v>0.0</v>
      </c>
      <c r="I289" s="125">
        <v>0.0</v>
      </c>
      <c r="J289" s="125">
        <v>0.0</v>
      </c>
      <c r="K289" s="125">
        <v>0.0</v>
      </c>
      <c r="L289" s="125">
        <v>0.0</v>
      </c>
    </row>
    <row r="290">
      <c r="A290" s="122" t="s">
        <v>2040</v>
      </c>
      <c r="B290" s="122" t="s">
        <v>2041</v>
      </c>
      <c r="C290" s="122" t="s">
        <v>1829</v>
      </c>
      <c r="D290" s="125">
        <v>0.0</v>
      </c>
      <c r="E290" s="125">
        <v>0.0</v>
      </c>
      <c r="F290" s="125">
        <v>0.0</v>
      </c>
      <c r="G290" s="125">
        <v>0.0</v>
      </c>
      <c r="H290" s="125">
        <v>0.0</v>
      </c>
      <c r="I290" s="125">
        <v>0.0</v>
      </c>
      <c r="J290" s="125">
        <v>0.0</v>
      </c>
      <c r="K290" s="125">
        <v>0.0</v>
      </c>
      <c r="L290" s="125">
        <v>0.0</v>
      </c>
    </row>
    <row r="291">
      <c r="A291" s="122" t="s">
        <v>2042</v>
      </c>
      <c r="B291" s="122" t="s">
        <v>492</v>
      </c>
      <c r="C291" s="122" t="s">
        <v>1829</v>
      </c>
      <c r="D291" s="125">
        <v>0.0</v>
      </c>
      <c r="E291" s="125">
        <v>1.0</v>
      </c>
      <c r="F291" s="125">
        <v>0.0</v>
      </c>
      <c r="G291" s="125">
        <v>0.0</v>
      </c>
      <c r="H291" s="125">
        <v>0.0</v>
      </c>
      <c r="I291" s="125">
        <v>0.0</v>
      </c>
      <c r="J291" s="125">
        <v>0.0</v>
      </c>
      <c r="K291" s="125">
        <v>0.0</v>
      </c>
      <c r="L291" s="125">
        <v>0.0</v>
      </c>
    </row>
    <row r="292">
      <c r="A292" s="122" t="s">
        <v>617</v>
      </c>
      <c r="B292" s="122" t="s">
        <v>619</v>
      </c>
      <c r="C292" s="122" t="s">
        <v>1829</v>
      </c>
      <c r="D292" s="125">
        <v>0.0</v>
      </c>
      <c r="E292" s="125">
        <v>0.0</v>
      </c>
      <c r="F292" s="125">
        <v>0.0</v>
      </c>
      <c r="G292" s="125">
        <v>0.0</v>
      </c>
      <c r="H292" s="125">
        <v>0.0</v>
      </c>
      <c r="I292" s="125">
        <v>0.0</v>
      </c>
      <c r="J292" s="125">
        <v>0.0</v>
      </c>
      <c r="K292" s="125">
        <v>0.0</v>
      </c>
      <c r="L292" s="125">
        <v>0.0</v>
      </c>
    </row>
    <row r="293">
      <c r="A293" s="122" t="s">
        <v>2043</v>
      </c>
      <c r="B293" s="122" t="s">
        <v>2044</v>
      </c>
      <c r="C293" s="122" t="s">
        <v>1829</v>
      </c>
      <c r="D293" s="125">
        <v>0.0</v>
      </c>
      <c r="E293" s="125">
        <v>0.0</v>
      </c>
      <c r="F293" s="125">
        <v>1.0</v>
      </c>
      <c r="G293" s="125">
        <v>0.0</v>
      </c>
      <c r="H293" s="125">
        <v>0.0</v>
      </c>
      <c r="I293" s="125">
        <v>0.0</v>
      </c>
      <c r="J293" s="125">
        <v>0.0</v>
      </c>
      <c r="K293" s="125">
        <v>0.0</v>
      </c>
      <c r="L293" s="125">
        <v>0.0</v>
      </c>
    </row>
    <row r="294">
      <c r="A294" s="122" t="s">
        <v>577</v>
      </c>
      <c r="B294" s="122" t="s">
        <v>1885</v>
      </c>
      <c r="C294" s="122" t="s">
        <v>1829</v>
      </c>
      <c r="D294" s="125">
        <v>0.0</v>
      </c>
      <c r="E294" s="125">
        <v>0.0</v>
      </c>
      <c r="F294" s="125">
        <v>0.0</v>
      </c>
      <c r="G294" s="125">
        <v>0.0</v>
      </c>
      <c r="H294" s="125">
        <v>0.0</v>
      </c>
      <c r="I294" s="125">
        <v>0.0</v>
      </c>
      <c r="J294" s="125">
        <v>0.0</v>
      </c>
      <c r="K294" s="125">
        <v>0.0</v>
      </c>
      <c r="L294" s="125">
        <v>0.0</v>
      </c>
    </row>
    <row r="295">
      <c r="A295" s="122" t="s">
        <v>2045</v>
      </c>
      <c r="B295" s="122" t="s">
        <v>2046</v>
      </c>
      <c r="C295" s="122" t="s">
        <v>1829</v>
      </c>
      <c r="D295" s="125">
        <v>0.0</v>
      </c>
      <c r="E295" s="125">
        <v>0.0</v>
      </c>
      <c r="F295" s="125">
        <v>0.0</v>
      </c>
      <c r="G295" s="125">
        <v>0.0</v>
      </c>
      <c r="H295" s="125">
        <v>0.0</v>
      </c>
      <c r="I295" s="125">
        <v>0.0</v>
      </c>
      <c r="J295" s="125">
        <v>0.0</v>
      </c>
      <c r="K295" s="125">
        <v>0.0</v>
      </c>
      <c r="L295" s="125">
        <v>0.0</v>
      </c>
    </row>
    <row r="296">
      <c r="A296" s="122" t="s">
        <v>562</v>
      </c>
      <c r="B296" s="122" t="s">
        <v>2047</v>
      </c>
      <c r="C296" s="122" t="s">
        <v>1829</v>
      </c>
      <c r="D296" s="125">
        <v>0.0</v>
      </c>
      <c r="E296" s="125">
        <v>0.0</v>
      </c>
      <c r="F296" s="125">
        <v>0.0</v>
      </c>
      <c r="G296" s="125">
        <v>0.0</v>
      </c>
      <c r="H296" s="125">
        <v>0.0</v>
      </c>
      <c r="I296" s="125">
        <v>1.0</v>
      </c>
      <c r="J296" s="125">
        <v>0.0</v>
      </c>
      <c r="K296" s="125">
        <v>0.0</v>
      </c>
      <c r="L296" s="125">
        <v>0.0</v>
      </c>
    </row>
    <row r="297">
      <c r="A297" s="122" t="s">
        <v>2048</v>
      </c>
      <c r="B297" s="122" t="s">
        <v>2049</v>
      </c>
      <c r="C297" s="122" t="s">
        <v>1913</v>
      </c>
      <c r="D297" s="125">
        <v>0.0</v>
      </c>
      <c r="E297" s="125">
        <v>4.0</v>
      </c>
      <c r="F297" s="125">
        <v>5.0</v>
      </c>
      <c r="G297" s="125">
        <v>8.0</v>
      </c>
      <c r="H297" s="125">
        <v>1.0</v>
      </c>
      <c r="I297" s="125">
        <v>0.0</v>
      </c>
      <c r="J297" s="125">
        <v>0.0</v>
      </c>
      <c r="K297" s="125">
        <v>4.0</v>
      </c>
      <c r="L297" s="125">
        <v>0.0</v>
      </c>
    </row>
    <row r="298">
      <c r="A298" s="122" t="s">
        <v>2050</v>
      </c>
      <c r="B298" s="122" t="s">
        <v>2051</v>
      </c>
      <c r="C298" s="122" t="s">
        <v>1829</v>
      </c>
      <c r="D298" s="125">
        <v>0.0</v>
      </c>
      <c r="E298" s="125">
        <v>0.0</v>
      </c>
      <c r="F298" s="125">
        <v>0.0</v>
      </c>
      <c r="G298" s="125">
        <v>0.0</v>
      </c>
      <c r="H298" s="125">
        <v>0.0</v>
      </c>
      <c r="I298" s="125">
        <v>0.0</v>
      </c>
      <c r="J298" s="125">
        <v>0.0</v>
      </c>
      <c r="K298" s="125">
        <v>0.0</v>
      </c>
      <c r="L298" s="125">
        <v>0.0</v>
      </c>
    </row>
    <row r="299">
      <c r="A299" s="122" t="s">
        <v>698</v>
      </c>
      <c r="B299" s="122" t="s">
        <v>2052</v>
      </c>
      <c r="C299" s="122" t="s">
        <v>1829</v>
      </c>
      <c r="D299" s="125">
        <v>0.0</v>
      </c>
      <c r="E299" s="125">
        <v>0.0</v>
      </c>
      <c r="F299" s="125">
        <v>0.0</v>
      </c>
      <c r="G299" s="125">
        <v>0.0</v>
      </c>
      <c r="H299" s="125">
        <v>0.0</v>
      </c>
      <c r="I299" s="125">
        <v>0.0</v>
      </c>
      <c r="J299" s="125">
        <v>0.0</v>
      </c>
      <c r="K299" s="125">
        <v>0.0</v>
      </c>
      <c r="L299" s="125">
        <v>0.0</v>
      </c>
    </row>
    <row r="300">
      <c r="A300" s="122" t="s">
        <v>2053</v>
      </c>
      <c r="B300" s="122" t="s">
        <v>2054</v>
      </c>
      <c r="C300" s="122" t="s">
        <v>1829</v>
      </c>
      <c r="D300" s="125">
        <v>0.0</v>
      </c>
      <c r="E300" s="125">
        <v>0.0</v>
      </c>
      <c r="F300" s="125">
        <v>0.0</v>
      </c>
      <c r="G300" s="125">
        <v>0.0</v>
      </c>
      <c r="H300" s="125">
        <v>1.0</v>
      </c>
      <c r="I300" s="125">
        <v>0.0</v>
      </c>
      <c r="J300" s="125">
        <v>0.0</v>
      </c>
      <c r="K300" s="125">
        <v>0.0</v>
      </c>
      <c r="L300" s="125">
        <v>4.0</v>
      </c>
    </row>
    <row r="301">
      <c r="A301" s="122" t="s">
        <v>2055</v>
      </c>
      <c r="B301" s="122" t="s">
        <v>2056</v>
      </c>
      <c r="C301" s="122" t="s">
        <v>1829</v>
      </c>
      <c r="D301" s="125">
        <v>0.0</v>
      </c>
      <c r="E301" s="125">
        <v>1.0</v>
      </c>
      <c r="F301" s="125">
        <v>0.0</v>
      </c>
      <c r="G301" s="125">
        <v>1.0</v>
      </c>
      <c r="H301" s="125">
        <v>0.0</v>
      </c>
      <c r="I301" s="125">
        <v>1.0</v>
      </c>
      <c r="J301" s="125">
        <v>0.0</v>
      </c>
      <c r="K301" s="125">
        <v>1.0</v>
      </c>
      <c r="L301" s="125">
        <v>9.0</v>
      </c>
    </row>
    <row r="302">
      <c r="A302" s="122" t="s">
        <v>641</v>
      </c>
      <c r="B302" s="122" t="s">
        <v>2057</v>
      </c>
      <c r="C302" s="122" t="s">
        <v>1829</v>
      </c>
      <c r="D302" s="125">
        <v>0.0</v>
      </c>
      <c r="E302" s="125">
        <v>0.0</v>
      </c>
      <c r="F302" s="125">
        <v>0.0</v>
      </c>
      <c r="G302" s="125">
        <v>0.0</v>
      </c>
      <c r="H302" s="125">
        <v>0.0</v>
      </c>
      <c r="I302" s="125">
        <v>0.0</v>
      </c>
      <c r="J302" s="125">
        <v>0.0</v>
      </c>
      <c r="K302" s="125">
        <v>0.0</v>
      </c>
      <c r="L302" s="125">
        <v>0.0</v>
      </c>
    </row>
    <row r="303">
      <c r="A303" s="122" t="s">
        <v>603</v>
      </c>
      <c r="B303" s="122" t="s">
        <v>2058</v>
      </c>
      <c r="C303" s="122" t="s">
        <v>1829</v>
      </c>
      <c r="D303" s="125">
        <v>0.0</v>
      </c>
      <c r="E303" s="125">
        <v>0.0</v>
      </c>
      <c r="F303" s="125">
        <v>0.0</v>
      </c>
      <c r="G303" s="125">
        <v>0.0</v>
      </c>
      <c r="H303" s="125">
        <v>0.0</v>
      </c>
      <c r="I303" s="125">
        <v>0.0</v>
      </c>
      <c r="J303" s="125">
        <v>0.0</v>
      </c>
      <c r="K303" s="125">
        <v>0.0</v>
      </c>
      <c r="L303" s="125">
        <v>0.0</v>
      </c>
    </row>
    <row r="304">
      <c r="A304" s="122" t="s">
        <v>2059</v>
      </c>
      <c r="B304" s="122" t="s">
        <v>2060</v>
      </c>
      <c r="C304" s="122" t="s">
        <v>1829</v>
      </c>
      <c r="D304" s="125">
        <v>0.0</v>
      </c>
      <c r="E304" s="125">
        <v>0.0</v>
      </c>
      <c r="F304" s="125">
        <v>0.0</v>
      </c>
      <c r="G304" s="125">
        <v>0.0</v>
      </c>
      <c r="H304" s="125">
        <v>0.0</v>
      </c>
      <c r="I304" s="125">
        <v>0.0</v>
      </c>
      <c r="J304" s="125">
        <v>0.0</v>
      </c>
      <c r="K304" s="125">
        <v>0.0</v>
      </c>
      <c r="L304" s="125">
        <v>0.0</v>
      </c>
    </row>
    <row r="305">
      <c r="A305" s="122" t="s">
        <v>2061</v>
      </c>
      <c r="B305" s="122" t="s">
        <v>2062</v>
      </c>
      <c r="C305" s="122" t="s">
        <v>1829</v>
      </c>
      <c r="D305" s="125">
        <v>0.0</v>
      </c>
      <c r="E305" s="125">
        <v>0.0</v>
      </c>
      <c r="F305" s="125">
        <v>0.0</v>
      </c>
      <c r="G305" s="125">
        <v>0.0</v>
      </c>
      <c r="H305" s="125">
        <v>0.0</v>
      </c>
      <c r="I305" s="125">
        <v>0.0</v>
      </c>
      <c r="J305" s="125">
        <v>0.0</v>
      </c>
      <c r="K305" s="125">
        <v>0.0</v>
      </c>
      <c r="L305" s="125">
        <v>0.0</v>
      </c>
    </row>
    <row r="306">
      <c r="A306" s="122" t="s">
        <v>589</v>
      </c>
      <c r="B306" s="122" t="s">
        <v>2063</v>
      </c>
      <c r="C306" s="122" t="s">
        <v>1829</v>
      </c>
      <c r="D306" s="125">
        <v>0.0</v>
      </c>
      <c r="E306" s="125">
        <v>0.0</v>
      </c>
      <c r="F306" s="125">
        <v>0.0</v>
      </c>
      <c r="G306" s="125">
        <v>0.0</v>
      </c>
      <c r="H306" s="125">
        <v>0.0</v>
      </c>
      <c r="I306" s="125">
        <v>0.0</v>
      </c>
      <c r="J306" s="125">
        <v>0.0</v>
      </c>
      <c r="K306" s="125">
        <v>0.0</v>
      </c>
      <c r="L306" s="125">
        <v>0.0</v>
      </c>
    </row>
    <row r="307">
      <c r="A307" s="122" t="s">
        <v>2064</v>
      </c>
      <c r="B307" s="122" t="s">
        <v>2065</v>
      </c>
      <c r="C307" s="122" t="s">
        <v>1829</v>
      </c>
      <c r="D307" s="125">
        <v>0.0</v>
      </c>
      <c r="E307" s="125">
        <v>0.0</v>
      </c>
      <c r="F307" s="125">
        <v>0.0</v>
      </c>
      <c r="G307" s="125">
        <v>0.0</v>
      </c>
      <c r="H307" s="125">
        <v>0.0</v>
      </c>
      <c r="I307" s="125">
        <v>0.0</v>
      </c>
      <c r="J307" s="125">
        <v>0.0</v>
      </c>
      <c r="K307" s="125">
        <v>0.0</v>
      </c>
      <c r="L307" s="125">
        <v>0.0</v>
      </c>
    </row>
    <row r="308">
      <c r="A308" s="122" t="s">
        <v>580</v>
      </c>
      <c r="B308" s="122" t="s">
        <v>1888</v>
      </c>
      <c r="C308" s="122" t="s">
        <v>1829</v>
      </c>
      <c r="D308" s="125">
        <v>0.0</v>
      </c>
      <c r="E308" s="125">
        <v>0.0</v>
      </c>
      <c r="F308" s="125">
        <v>0.0</v>
      </c>
      <c r="G308" s="125">
        <v>0.0</v>
      </c>
      <c r="H308" s="125">
        <v>0.0</v>
      </c>
      <c r="I308" s="125">
        <v>0.0</v>
      </c>
      <c r="J308" s="125">
        <v>0.0</v>
      </c>
      <c r="K308" s="125">
        <v>0.0</v>
      </c>
      <c r="L308" s="125">
        <v>0.0</v>
      </c>
    </row>
    <row r="309">
      <c r="A309" s="122" t="s">
        <v>2066</v>
      </c>
      <c r="B309" s="122" t="s">
        <v>2067</v>
      </c>
      <c r="C309" s="122" t="s">
        <v>1829</v>
      </c>
      <c r="D309" s="125">
        <v>0.0</v>
      </c>
      <c r="E309" s="125">
        <v>0.0</v>
      </c>
      <c r="F309" s="125">
        <v>0.0</v>
      </c>
      <c r="G309" s="125">
        <v>0.0</v>
      </c>
      <c r="H309" s="125">
        <v>0.0</v>
      </c>
      <c r="I309" s="125">
        <v>0.0</v>
      </c>
      <c r="J309" s="125">
        <v>0.0</v>
      </c>
      <c r="K309" s="125">
        <v>0.0</v>
      </c>
      <c r="L309" s="125">
        <v>0.0</v>
      </c>
    </row>
    <row r="310">
      <c r="A310" s="122" t="s">
        <v>2068</v>
      </c>
      <c r="B310" s="122" t="s">
        <v>2069</v>
      </c>
      <c r="C310" s="122" t="s">
        <v>1829</v>
      </c>
      <c r="D310" s="125">
        <v>0.0</v>
      </c>
      <c r="E310" s="125">
        <v>0.0</v>
      </c>
      <c r="F310" s="125">
        <v>0.0</v>
      </c>
      <c r="G310" s="125">
        <v>0.0</v>
      </c>
      <c r="H310" s="125">
        <v>0.0</v>
      </c>
      <c r="I310" s="125">
        <v>0.0</v>
      </c>
      <c r="J310" s="125">
        <v>0.0</v>
      </c>
      <c r="K310" s="125">
        <v>0.0</v>
      </c>
      <c r="L310" s="125">
        <v>0.0</v>
      </c>
    </row>
    <row r="311">
      <c r="A311" s="122" t="s">
        <v>2070</v>
      </c>
      <c r="B311" s="122" t="s">
        <v>2071</v>
      </c>
      <c r="C311" s="122" t="s">
        <v>1829</v>
      </c>
      <c r="D311" s="125">
        <v>0.0</v>
      </c>
      <c r="E311" s="125">
        <v>0.0</v>
      </c>
      <c r="F311" s="125">
        <v>0.0</v>
      </c>
      <c r="G311" s="125">
        <v>0.0</v>
      </c>
      <c r="H311" s="125">
        <v>0.0</v>
      </c>
      <c r="I311" s="125">
        <v>0.0</v>
      </c>
      <c r="J311" s="125">
        <v>0.0</v>
      </c>
      <c r="K311" s="125">
        <v>0.0</v>
      </c>
      <c r="L311" s="125">
        <v>0.0</v>
      </c>
    </row>
    <row r="312">
      <c r="A312" s="122" t="s">
        <v>2072</v>
      </c>
      <c r="B312" s="122" t="s">
        <v>2073</v>
      </c>
      <c r="C312" s="122" t="s">
        <v>1829</v>
      </c>
      <c r="D312" s="125">
        <v>0.0</v>
      </c>
      <c r="E312" s="125">
        <v>0.0</v>
      </c>
      <c r="F312" s="125">
        <v>0.0</v>
      </c>
      <c r="G312" s="125">
        <v>0.0</v>
      </c>
      <c r="H312" s="125">
        <v>0.0</v>
      </c>
      <c r="I312" s="125">
        <v>0.0</v>
      </c>
      <c r="J312" s="125">
        <v>0.0</v>
      </c>
      <c r="K312" s="125">
        <v>0.0</v>
      </c>
      <c r="L312" s="125">
        <v>0.0</v>
      </c>
    </row>
    <row r="313">
      <c r="A313" s="122" t="s">
        <v>2074</v>
      </c>
      <c r="B313" s="122" t="s">
        <v>2075</v>
      </c>
      <c r="C313" s="122" t="s">
        <v>1829</v>
      </c>
      <c r="D313" s="125">
        <v>0.0</v>
      </c>
      <c r="E313" s="125">
        <v>0.0</v>
      </c>
      <c r="F313" s="125">
        <v>0.0</v>
      </c>
      <c r="G313" s="125">
        <v>0.0</v>
      </c>
      <c r="H313" s="125">
        <v>0.0</v>
      </c>
      <c r="I313" s="125">
        <v>0.0</v>
      </c>
      <c r="J313" s="125">
        <v>0.0</v>
      </c>
      <c r="K313" s="125">
        <v>0.0</v>
      </c>
      <c r="L313" s="125">
        <v>0.0</v>
      </c>
    </row>
    <row r="314">
      <c r="A314" s="122" t="s">
        <v>2076</v>
      </c>
      <c r="B314" s="122" t="s">
        <v>2051</v>
      </c>
      <c r="C314" s="122" t="s">
        <v>1829</v>
      </c>
      <c r="D314" s="125">
        <v>0.0</v>
      </c>
      <c r="E314" s="125">
        <v>0.0</v>
      </c>
      <c r="F314" s="125">
        <v>0.0</v>
      </c>
      <c r="G314" s="125">
        <v>0.0</v>
      </c>
      <c r="H314" s="125">
        <v>0.0</v>
      </c>
      <c r="I314" s="125">
        <v>0.0</v>
      </c>
      <c r="J314" s="125">
        <v>0.0</v>
      </c>
      <c r="K314" s="125">
        <v>0.0</v>
      </c>
      <c r="L314" s="125">
        <v>0.0</v>
      </c>
    </row>
    <row r="315">
      <c r="A315" s="122" t="s">
        <v>2077</v>
      </c>
      <c r="B315" s="122" t="s">
        <v>2078</v>
      </c>
      <c r="C315" s="122" t="s">
        <v>1829</v>
      </c>
      <c r="D315" s="125">
        <v>0.0</v>
      </c>
      <c r="E315" s="125">
        <v>0.0</v>
      </c>
      <c r="F315" s="125">
        <v>0.0</v>
      </c>
      <c r="G315" s="125">
        <v>0.0</v>
      </c>
      <c r="H315" s="125">
        <v>0.0</v>
      </c>
      <c r="I315" s="125">
        <v>0.0</v>
      </c>
      <c r="J315" s="125">
        <v>0.0</v>
      </c>
      <c r="K315" s="125">
        <v>0.0</v>
      </c>
      <c r="L315" s="125">
        <v>0.0</v>
      </c>
    </row>
    <row r="316">
      <c r="A316" s="122" t="s">
        <v>2079</v>
      </c>
      <c r="B316" s="122" t="s">
        <v>2080</v>
      </c>
      <c r="C316" s="122" t="s">
        <v>1913</v>
      </c>
      <c r="D316" s="125">
        <v>0.0</v>
      </c>
      <c r="E316" s="125">
        <v>0.0</v>
      </c>
      <c r="F316" s="125">
        <v>0.0</v>
      </c>
      <c r="G316" s="125">
        <v>4.0</v>
      </c>
      <c r="H316" s="125">
        <v>3.0</v>
      </c>
      <c r="I316" s="125">
        <v>3.0</v>
      </c>
      <c r="J316" s="125">
        <v>0.0</v>
      </c>
      <c r="K316" s="125">
        <v>2.0</v>
      </c>
      <c r="L316" s="125">
        <v>29.0</v>
      </c>
    </row>
    <row r="317">
      <c r="A317" s="122" t="s">
        <v>2081</v>
      </c>
      <c r="B317" s="122" t="s">
        <v>2082</v>
      </c>
      <c r="C317" s="122" t="s">
        <v>1829</v>
      </c>
      <c r="D317" s="125">
        <v>0.0</v>
      </c>
      <c r="E317" s="125">
        <v>0.0</v>
      </c>
      <c r="F317" s="125">
        <v>0.0</v>
      </c>
      <c r="G317" s="125">
        <v>0.0</v>
      </c>
      <c r="H317" s="125">
        <v>0.0</v>
      </c>
      <c r="I317" s="125">
        <v>0.0</v>
      </c>
      <c r="J317" s="125">
        <v>0.0</v>
      </c>
      <c r="K317" s="125">
        <v>0.0</v>
      </c>
      <c r="L317" s="125">
        <v>1.0</v>
      </c>
    </row>
    <row r="318">
      <c r="A318" s="122" t="s">
        <v>2083</v>
      </c>
      <c r="B318" s="122" t="s">
        <v>2051</v>
      </c>
      <c r="C318" s="122" t="s">
        <v>1829</v>
      </c>
      <c r="D318" s="125">
        <v>0.0</v>
      </c>
      <c r="E318" s="125">
        <v>0.0</v>
      </c>
      <c r="F318" s="125">
        <v>0.0</v>
      </c>
      <c r="G318" s="125">
        <v>0.0</v>
      </c>
      <c r="H318" s="125">
        <v>0.0</v>
      </c>
      <c r="I318" s="125">
        <v>0.0</v>
      </c>
      <c r="J318" s="125">
        <v>0.0</v>
      </c>
      <c r="K318" s="125">
        <v>0.0</v>
      </c>
      <c r="L318" s="125">
        <v>0.0</v>
      </c>
    </row>
    <row r="319">
      <c r="A319" s="122" t="s">
        <v>2084</v>
      </c>
      <c r="B319" s="122" t="s">
        <v>1904</v>
      </c>
      <c r="C319" s="122" t="s">
        <v>1829</v>
      </c>
      <c r="D319" s="125">
        <v>0.0</v>
      </c>
      <c r="E319" s="125">
        <v>0.0</v>
      </c>
      <c r="F319" s="125">
        <v>0.0</v>
      </c>
      <c r="G319" s="125">
        <v>0.0</v>
      </c>
      <c r="H319" s="125">
        <v>0.0</v>
      </c>
      <c r="I319" s="125">
        <v>0.0</v>
      </c>
      <c r="J319" s="125">
        <v>0.0</v>
      </c>
      <c r="K319" s="125">
        <v>0.0</v>
      </c>
      <c r="L319" s="125">
        <v>0.0</v>
      </c>
    </row>
    <row r="320">
      <c r="A320" s="122" t="s">
        <v>2085</v>
      </c>
      <c r="B320" s="122" t="s">
        <v>2086</v>
      </c>
      <c r="C320" s="122" t="s">
        <v>1829</v>
      </c>
      <c r="D320" s="125">
        <v>0.0</v>
      </c>
      <c r="E320" s="125">
        <v>0.0</v>
      </c>
      <c r="F320" s="125">
        <v>0.0</v>
      </c>
      <c r="G320" s="125">
        <v>0.0</v>
      </c>
      <c r="H320" s="125">
        <v>0.0</v>
      </c>
      <c r="I320" s="125">
        <v>0.0</v>
      </c>
      <c r="J320" s="125">
        <v>0.0</v>
      </c>
      <c r="K320" s="125">
        <v>0.0</v>
      </c>
      <c r="L320" s="125">
        <v>0.0</v>
      </c>
    </row>
    <row r="321">
      <c r="A321" s="122" t="s">
        <v>623</v>
      </c>
      <c r="B321" s="122" t="s">
        <v>2087</v>
      </c>
      <c r="C321" s="122" t="s">
        <v>1829</v>
      </c>
      <c r="D321" s="125">
        <v>0.0</v>
      </c>
      <c r="E321" s="125">
        <v>0.0</v>
      </c>
      <c r="F321" s="125">
        <v>0.0</v>
      </c>
      <c r="G321" s="125">
        <v>0.0</v>
      </c>
      <c r="H321" s="125">
        <v>0.0</v>
      </c>
      <c r="I321" s="125">
        <v>0.0</v>
      </c>
      <c r="J321" s="125">
        <v>0.0</v>
      </c>
      <c r="K321" s="125">
        <v>0.0</v>
      </c>
      <c r="L321" s="125">
        <v>0.0</v>
      </c>
    </row>
    <row r="322">
      <c r="A322" s="122" t="s">
        <v>2088</v>
      </c>
      <c r="B322" s="122" t="s">
        <v>2089</v>
      </c>
      <c r="C322" s="122" t="s">
        <v>1829</v>
      </c>
      <c r="D322" s="125">
        <v>0.0</v>
      </c>
      <c r="E322" s="125">
        <v>0.0</v>
      </c>
      <c r="F322" s="125">
        <v>0.0</v>
      </c>
      <c r="G322" s="125">
        <v>0.0</v>
      </c>
      <c r="H322" s="125">
        <v>0.0</v>
      </c>
      <c r="I322" s="125">
        <v>0.0</v>
      </c>
      <c r="J322" s="125">
        <v>0.0</v>
      </c>
      <c r="K322" s="125">
        <v>0.0</v>
      </c>
      <c r="L322" s="125">
        <v>0.0</v>
      </c>
    </row>
    <row r="323">
      <c r="A323" s="122" t="s">
        <v>2090</v>
      </c>
      <c r="B323" s="122" t="s">
        <v>2091</v>
      </c>
      <c r="C323" s="122" t="s">
        <v>1829</v>
      </c>
      <c r="D323" s="125">
        <v>0.0</v>
      </c>
      <c r="E323" s="125">
        <v>0.0</v>
      </c>
      <c r="F323" s="125">
        <v>0.0</v>
      </c>
      <c r="G323" s="125">
        <v>0.0</v>
      </c>
      <c r="H323" s="125">
        <v>0.0</v>
      </c>
      <c r="I323" s="125">
        <v>0.0</v>
      </c>
      <c r="J323" s="125">
        <v>0.0</v>
      </c>
      <c r="K323" s="125">
        <v>0.0</v>
      </c>
      <c r="L323" s="125">
        <v>0.0</v>
      </c>
    </row>
    <row r="324">
      <c r="A324" s="122" t="s">
        <v>821</v>
      </c>
      <c r="B324" s="122" t="s">
        <v>823</v>
      </c>
      <c r="C324" s="122" t="s">
        <v>1829</v>
      </c>
      <c r="D324" s="125">
        <v>0.0</v>
      </c>
      <c r="E324" s="125">
        <v>0.0</v>
      </c>
      <c r="F324" s="125">
        <v>0.0</v>
      </c>
      <c r="G324" s="125">
        <v>0.0</v>
      </c>
      <c r="H324" s="125">
        <v>0.0</v>
      </c>
      <c r="I324" s="125">
        <v>0.0</v>
      </c>
      <c r="J324" s="125">
        <v>0.0</v>
      </c>
      <c r="K324" s="125">
        <v>0.0</v>
      </c>
      <c r="L324" s="125">
        <v>0.0</v>
      </c>
    </row>
    <row r="325">
      <c r="A325" s="122" t="s">
        <v>2092</v>
      </c>
      <c r="B325" s="122" t="s">
        <v>2093</v>
      </c>
      <c r="C325" s="122" t="s">
        <v>1913</v>
      </c>
      <c r="D325" s="125">
        <v>0.0</v>
      </c>
      <c r="E325" s="125">
        <v>4.0</v>
      </c>
      <c r="F325" s="125">
        <v>2.0</v>
      </c>
      <c r="G325" s="125">
        <v>4.0</v>
      </c>
      <c r="H325" s="125">
        <v>23.0</v>
      </c>
      <c r="I325" s="125">
        <v>7.0</v>
      </c>
      <c r="J325" s="125">
        <v>0.0</v>
      </c>
      <c r="K325" s="125">
        <v>8.0</v>
      </c>
      <c r="L325" s="125">
        <v>521.0</v>
      </c>
    </row>
    <row r="326">
      <c r="A326" s="122" t="s">
        <v>2094</v>
      </c>
      <c r="B326" s="122" t="s">
        <v>1906</v>
      </c>
      <c r="C326" s="122" t="s">
        <v>1829</v>
      </c>
      <c r="D326" s="125">
        <v>0.0</v>
      </c>
      <c r="E326" s="125">
        <v>0.0</v>
      </c>
      <c r="F326" s="125">
        <v>0.0</v>
      </c>
      <c r="G326" s="125">
        <v>0.0</v>
      </c>
      <c r="H326" s="125">
        <v>0.0</v>
      </c>
      <c r="I326" s="125">
        <v>0.0</v>
      </c>
      <c r="J326" s="125">
        <v>0.0</v>
      </c>
      <c r="K326" s="125">
        <v>0.0</v>
      </c>
      <c r="L326" s="125">
        <v>0.0</v>
      </c>
    </row>
    <row r="327">
      <c r="A327" s="122" t="s">
        <v>2095</v>
      </c>
      <c r="B327" s="122" t="s">
        <v>2096</v>
      </c>
      <c r="C327" s="122" t="s">
        <v>1829</v>
      </c>
      <c r="D327" s="125">
        <v>0.0</v>
      </c>
      <c r="E327" s="125">
        <v>0.0</v>
      </c>
      <c r="F327" s="125">
        <v>0.0</v>
      </c>
      <c r="G327" s="125">
        <v>0.0</v>
      </c>
      <c r="H327" s="125">
        <v>0.0</v>
      </c>
      <c r="I327" s="125">
        <v>0.0</v>
      </c>
      <c r="J327" s="125">
        <v>0.0</v>
      </c>
      <c r="K327" s="125">
        <v>0.0</v>
      </c>
      <c r="L327" s="125">
        <v>0.0</v>
      </c>
    </row>
    <row r="328">
      <c r="A328" s="122" t="s">
        <v>2097</v>
      </c>
      <c r="B328" s="122" t="s">
        <v>2098</v>
      </c>
      <c r="C328" s="122" t="s">
        <v>1829</v>
      </c>
      <c r="D328" s="125">
        <v>0.0</v>
      </c>
      <c r="E328" s="125">
        <v>0.0</v>
      </c>
      <c r="F328" s="125">
        <v>0.0</v>
      </c>
      <c r="G328" s="125">
        <v>0.0</v>
      </c>
      <c r="H328" s="125">
        <v>0.0</v>
      </c>
      <c r="I328" s="125">
        <v>0.0</v>
      </c>
      <c r="J328" s="125">
        <v>0.0</v>
      </c>
      <c r="K328" s="125">
        <v>0.0</v>
      </c>
      <c r="L328" s="125">
        <v>1.0</v>
      </c>
    </row>
    <row r="329">
      <c r="A329" s="122" t="s">
        <v>2099</v>
      </c>
      <c r="B329" s="122" t="s">
        <v>2100</v>
      </c>
      <c r="C329" s="122" t="s">
        <v>1913</v>
      </c>
      <c r="D329" s="125">
        <v>0.0</v>
      </c>
      <c r="E329" s="125">
        <v>14.0</v>
      </c>
      <c r="F329" s="125">
        <v>8.0</v>
      </c>
      <c r="G329" s="125">
        <v>16.0</v>
      </c>
      <c r="H329" s="125">
        <v>7.0</v>
      </c>
      <c r="I329" s="125">
        <v>15.0</v>
      </c>
      <c r="J329" s="125">
        <v>0.0</v>
      </c>
      <c r="K329" s="125">
        <v>12.0</v>
      </c>
      <c r="L329" s="125">
        <v>27.0</v>
      </c>
    </row>
    <row r="330">
      <c r="A330" s="122" t="s">
        <v>2101</v>
      </c>
      <c r="B330" s="122" t="s">
        <v>2102</v>
      </c>
      <c r="C330" s="122" t="s">
        <v>1829</v>
      </c>
      <c r="D330" s="125">
        <v>0.0</v>
      </c>
      <c r="E330" s="125">
        <v>0.0</v>
      </c>
      <c r="F330" s="125">
        <v>0.0</v>
      </c>
      <c r="G330" s="125">
        <v>0.0</v>
      </c>
      <c r="H330" s="125">
        <v>0.0</v>
      </c>
      <c r="I330" s="125">
        <v>0.0</v>
      </c>
      <c r="J330" s="125">
        <v>0.0</v>
      </c>
      <c r="K330" s="125">
        <v>0.0</v>
      </c>
      <c r="L330" s="125">
        <v>0.0</v>
      </c>
    </row>
    <row r="331">
      <c r="A331" s="122" t="s">
        <v>2103</v>
      </c>
      <c r="B331" s="122" t="s">
        <v>2017</v>
      </c>
      <c r="C331" s="122" t="s">
        <v>1829</v>
      </c>
      <c r="D331" s="125">
        <v>0.0</v>
      </c>
      <c r="E331" s="125">
        <v>0.0</v>
      </c>
      <c r="F331" s="125">
        <v>0.0</v>
      </c>
      <c r="G331" s="125">
        <v>0.0</v>
      </c>
      <c r="H331" s="125">
        <v>0.0</v>
      </c>
      <c r="I331" s="125">
        <v>0.0</v>
      </c>
      <c r="J331" s="125">
        <v>0.0</v>
      </c>
      <c r="K331" s="125">
        <v>0.0</v>
      </c>
      <c r="L331" s="125">
        <v>0.0</v>
      </c>
    </row>
    <row r="332">
      <c r="A332" s="122" t="s">
        <v>2104</v>
      </c>
      <c r="B332" s="122" t="s">
        <v>2017</v>
      </c>
      <c r="C332" s="122" t="s">
        <v>1829</v>
      </c>
      <c r="D332" s="125">
        <v>0.0</v>
      </c>
      <c r="E332" s="125">
        <v>0.0</v>
      </c>
      <c r="F332" s="125">
        <v>0.0</v>
      </c>
      <c r="G332" s="125">
        <v>0.0</v>
      </c>
      <c r="H332" s="125">
        <v>0.0</v>
      </c>
      <c r="I332" s="125">
        <v>0.0</v>
      </c>
      <c r="J332" s="125">
        <v>0.0</v>
      </c>
      <c r="K332" s="125">
        <v>0.0</v>
      </c>
      <c r="L332" s="125">
        <v>0.0</v>
      </c>
    </row>
    <row r="333">
      <c r="A333" s="122" t="s">
        <v>2105</v>
      </c>
      <c r="B333" s="122" t="s">
        <v>2106</v>
      </c>
      <c r="C333" s="122" t="s">
        <v>1829</v>
      </c>
      <c r="D333" s="125">
        <v>0.0</v>
      </c>
      <c r="E333" s="125">
        <v>0.0</v>
      </c>
      <c r="F333" s="125">
        <v>0.0</v>
      </c>
      <c r="G333" s="125">
        <v>0.0</v>
      </c>
      <c r="H333" s="125">
        <v>0.0</v>
      </c>
      <c r="I333" s="125">
        <v>0.0</v>
      </c>
      <c r="J333" s="125">
        <v>0.0</v>
      </c>
      <c r="K333" s="125">
        <v>0.0</v>
      </c>
      <c r="L333" s="125">
        <v>0.0</v>
      </c>
    </row>
    <row r="334">
      <c r="A334" s="122" t="s">
        <v>2107</v>
      </c>
      <c r="B334" s="122" t="s">
        <v>2108</v>
      </c>
      <c r="C334" s="122" t="s">
        <v>1829</v>
      </c>
      <c r="D334" s="125">
        <v>0.0</v>
      </c>
      <c r="E334" s="125">
        <v>0.0</v>
      </c>
      <c r="F334" s="125">
        <v>0.0</v>
      </c>
      <c r="G334" s="125">
        <v>0.0</v>
      </c>
      <c r="H334" s="125">
        <v>0.0</v>
      </c>
      <c r="I334" s="125">
        <v>0.0</v>
      </c>
      <c r="J334" s="125">
        <v>0.0</v>
      </c>
      <c r="K334" s="125">
        <v>0.0</v>
      </c>
      <c r="L334" s="125">
        <v>0.0</v>
      </c>
    </row>
    <row r="335">
      <c r="A335" s="122" t="s">
        <v>2109</v>
      </c>
      <c r="B335" s="122" t="s">
        <v>2110</v>
      </c>
      <c r="C335" s="122" t="s">
        <v>1829</v>
      </c>
      <c r="D335" s="125">
        <v>0.0</v>
      </c>
      <c r="E335" s="125">
        <v>0.0</v>
      </c>
      <c r="F335" s="125">
        <v>0.0</v>
      </c>
      <c r="G335" s="125">
        <v>0.0</v>
      </c>
      <c r="H335" s="125">
        <v>0.0</v>
      </c>
      <c r="I335" s="125">
        <v>0.0</v>
      </c>
      <c r="J335" s="125">
        <v>0.0</v>
      </c>
      <c r="K335" s="125">
        <v>0.0</v>
      </c>
      <c r="L335" s="125">
        <v>0.0</v>
      </c>
    </row>
    <row r="336">
      <c r="A336" s="122" t="s">
        <v>976</v>
      </c>
      <c r="B336" s="122" t="s">
        <v>1889</v>
      </c>
      <c r="C336" s="122" t="s">
        <v>1829</v>
      </c>
      <c r="D336" s="125">
        <v>0.0</v>
      </c>
      <c r="E336" s="125">
        <v>0.0</v>
      </c>
      <c r="F336" s="125">
        <v>0.0</v>
      </c>
      <c r="G336" s="125">
        <v>0.0</v>
      </c>
      <c r="H336" s="125">
        <v>0.0</v>
      </c>
      <c r="I336" s="125">
        <v>0.0</v>
      </c>
      <c r="J336" s="125">
        <v>0.0</v>
      </c>
      <c r="K336" s="125">
        <v>0.0</v>
      </c>
      <c r="L336" s="125">
        <v>0.0</v>
      </c>
    </row>
    <row r="337">
      <c r="A337" s="122" t="s">
        <v>2111</v>
      </c>
      <c r="B337" s="122" t="s">
        <v>2112</v>
      </c>
      <c r="C337" s="122" t="s">
        <v>1829</v>
      </c>
      <c r="D337" s="125">
        <v>0.0</v>
      </c>
      <c r="E337" s="125">
        <v>0.0</v>
      </c>
      <c r="F337" s="125">
        <v>0.0</v>
      </c>
      <c r="G337" s="125">
        <v>0.0</v>
      </c>
      <c r="H337" s="125">
        <v>0.0</v>
      </c>
      <c r="I337" s="125">
        <v>0.0</v>
      </c>
      <c r="J337" s="125">
        <v>0.0</v>
      </c>
      <c r="K337" s="125">
        <v>0.0</v>
      </c>
      <c r="L337" s="125">
        <v>0.0</v>
      </c>
    </row>
    <row r="338">
      <c r="A338" s="122" t="s">
        <v>2113</v>
      </c>
      <c r="B338" s="122" t="s">
        <v>2114</v>
      </c>
      <c r="C338" s="122" t="s">
        <v>1829</v>
      </c>
      <c r="D338" s="125">
        <v>0.0</v>
      </c>
      <c r="E338" s="125">
        <v>0.0</v>
      </c>
      <c r="F338" s="125">
        <v>0.0</v>
      </c>
      <c r="G338" s="125">
        <v>0.0</v>
      </c>
      <c r="H338" s="125">
        <v>0.0</v>
      </c>
      <c r="I338" s="125">
        <v>0.0</v>
      </c>
      <c r="J338" s="125">
        <v>0.0</v>
      </c>
      <c r="K338" s="125">
        <v>0.0</v>
      </c>
      <c r="L338" s="125">
        <v>0.0</v>
      </c>
    </row>
    <row r="339">
      <c r="A339" s="122" t="s">
        <v>2115</v>
      </c>
      <c r="B339" s="122" t="s">
        <v>2051</v>
      </c>
      <c r="C339" s="122" t="s">
        <v>1829</v>
      </c>
      <c r="D339" s="125">
        <v>0.0</v>
      </c>
      <c r="E339" s="125">
        <v>0.0</v>
      </c>
      <c r="F339" s="125">
        <v>0.0</v>
      </c>
      <c r="G339" s="125">
        <v>0.0</v>
      </c>
      <c r="H339" s="125">
        <v>0.0</v>
      </c>
      <c r="I339" s="125">
        <v>0.0</v>
      </c>
      <c r="J339" s="125">
        <v>0.0</v>
      </c>
      <c r="K339" s="125">
        <v>0.0</v>
      </c>
      <c r="L339" s="125">
        <v>0.0</v>
      </c>
    </row>
    <row r="340">
      <c r="A340" s="122" t="s">
        <v>2116</v>
      </c>
      <c r="B340" s="122" t="s">
        <v>2117</v>
      </c>
      <c r="C340" s="122" t="s">
        <v>1829</v>
      </c>
      <c r="D340" s="125">
        <v>0.0</v>
      </c>
      <c r="E340" s="125">
        <v>0.0</v>
      </c>
      <c r="F340" s="125">
        <v>0.0</v>
      </c>
      <c r="G340" s="125">
        <v>0.0</v>
      </c>
      <c r="H340" s="125">
        <v>0.0</v>
      </c>
      <c r="I340" s="125">
        <v>0.0</v>
      </c>
      <c r="J340" s="125">
        <v>0.0</v>
      </c>
      <c r="K340" s="125">
        <v>0.0</v>
      </c>
      <c r="L340" s="125">
        <v>0.0</v>
      </c>
    </row>
    <row r="341">
      <c r="A341" s="122" t="s">
        <v>2118</v>
      </c>
      <c r="B341" s="122" t="s">
        <v>2119</v>
      </c>
      <c r="C341" s="122" t="s">
        <v>1829</v>
      </c>
      <c r="D341" s="125">
        <v>0.0</v>
      </c>
      <c r="E341" s="125">
        <v>0.0</v>
      </c>
      <c r="F341" s="125">
        <v>0.0</v>
      </c>
      <c r="G341" s="125">
        <v>0.0</v>
      </c>
      <c r="H341" s="125">
        <v>0.0</v>
      </c>
      <c r="I341" s="125">
        <v>0.0</v>
      </c>
      <c r="J341" s="125">
        <v>0.0</v>
      </c>
      <c r="K341" s="125">
        <v>0.0</v>
      </c>
      <c r="L341" s="125">
        <v>0.0</v>
      </c>
    </row>
    <row r="342">
      <c r="A342" s="122" t="s">
        <v>2120</v>
      </c>
      <c r="B342" s="122" t="s">
        <v>2017</v>
      </c>
      <c r="C342" s="122" t="s">
        <v>1829</v>
      </c>
      <c r="D342" s="125">
        <v>0.0</v>
      </c>
      <c r="E342" s="125">
        <v>0.0</v>
      </c>
      <c r="F342" s="125">
        <v>0.0</v>
      </c>
      <c r="G342" s="125">
        <v>0.0</v>
      </c>
      <c r="H342" s="125">
        <v>0.0</v>
      </c>
      <c r="I342" s="125">
        <v>0.0</v>
      </c>
      <c r="J342" s="125">
        <v>0.0</v>
      </c>
      <c r="K342" s="125">
        <v>0.0</v>
      </c>
      <c r="L342" s="125">
        <v>0.0</v>
      </c>
    </row>
    <row r="343">
      <c r="A343" s="122" t="s">
        <v>2121</v>
      </c>
      <c r="B343" s="122" t="s">
        <v>2122</v>
      </c>
      <c r="C343" s="122" t="s">
        <v>1829</v>
      </c>
      <c r="D343" s="125">
        <v>0.0</v>
      </c>
      <c r="E343" s="125">
        <v>0.0</v>
      </c>
      <c r="F343" s="125">
        <v>0.0</v>
      </c>
      <c r="G343" s="125">
        <v>0.0</v>
      </c>
      <c r="H343" s="125">
        <v>0.0</v>
      </c>
      <c r="I343" s="125">
        <v>0.0</v>
      </c>
      <c r="J343" s="125">
        <v>0.0</v>
      </c>
      <c r="K343" s="125">
        <v>0.0</v>
      </c>
      <c r="L343" s="125">
        <v>0.0</v>
      </c>
    </row>
    <row r="344">
      <c r="A344" s="122" t="s">
        <v>574</v>
      </c>
      <c r="B344" s="122" t="s">
        <v>2123</v>
      </c>
      <c r="C344" s="122" t="s">
        <v>1829</v>
      </c>
      <c r="D344" s="125">
        <v>0.0</v>
      </c>
      <c r="E344" s="125">
        <v>0.0</v>
      </c>
      <c r="F344" s="125">
        <v>0.0</v>
      </c>
      <c r="G344" s="125">
        <v>0.0</v>
      </c>
      <c r="H344" s="125">
        <v>0.0</v>
      </c>
      <c r="I344" s="125">
        <v>0.0</v>
      </c>
      <c r="J344" s="125">
        <v>0.0</v>
      </c>
      <c r="K344" s="125">
        <v>0.0</v>
      </c>
      <c r="L344" s="125">
        <v>0.0</v>
      </c>
    </row>
    <row r="345">
      <c r="A345" s="122" t="s">
        <v>2124</v>
      </c>
      <c r="B345" s="122" t="s">
        <v>2125</v>
      </c>
      <c r="C345" s="122" t="s">
        <v>1829</v>
      </c>
      <c r="D345" s="125">
        <v>0.0</v>
      </c>
      <c r="E345" s="125">
        <v>0.0</v>
      </c>
      <c r="F345" s="125">
        <v>0.0</v>
      </c>
      <c r="G345" s="125">
        <v>0.0</v>
      </c>
      <c r="H345" s="125">
        <v>0.0</v>
      </c>
      <c r="I345" s="125">
        <v>0.0</v>
      </c>
      <c r="J345" s="125">
        <v>0.0</v>
      </c>
      <c r="K345" s="125">
        <v>0.0</v>
      </c>
      <c r="L345" s="125">
        <v>0.0</v>
      </c>
    </row>
    <row r="346">
      <c r="A346" s="122" t="s">
        <v>656</v>
      </c>
      <c r="B346" s="122" t="s">
        <v>658</v>
      </c>
      <c r="C346" s="122" t="s">
        <v>1829</v>
      </c>
      <c r="D346" s="125">
        <v>0.0</v>
      </c>
      <c r="E346" s="125">
        <v>0.0</v>
      </c>
      <c r="F346" s="125">
        <v>0.0</v>
      </c>
      <c r="G346" s="125">
        <v>0.0</v>
      </c>
      <c r="H346" s="125">
        <v>0.0</v>
      </c>
      <c r="I346" s="125">
        <v>0.0</v>
      </c>
      <c r="J346" s="125">
        <v>0.0</v>
      </c>
      <c r="K346" s="125">
        <v>0.0</v>
      </c>
      <c r="L346" s="125">
        <v>0.0</v>
      </c>
    </row>
    <row r="347">
      <c r="A347" s="122" t="s">
        <v>2126</v>
      </c>
      <c r="B347" s="122" t="s">
        <v>2127</v>
      </c>
      <c r="C347" s="122" t="s">
        <v>1829</v>
      </c>
      <c r="D347" s="125">
        <v>0.0</v>
      </c>
      <c r="E347" s="125">
        <v>0.0</v>
      </c>
      <c r="F347" s="125">
        <v>0.0</v>
      </c>
      <c r="G347" s="125">
        <v>0.0</v>
      </c>
      <c r="H347" s="125">
        <v>0.0</v>
      </c>
      <c r="I347" s="125">
        <v>0.0</v>
      </c>
      <c r="J347" s="125">
        <v>0.0</v>
      </c>
      <c r="K347" s="125">
        <v>0.0</v>
      </c>
      <c r="L347" s="125">
        <v>0.0</v>
      </c>
    </row>
    <row r="348">
      <c r="A348" s="122" t="s">
        <v>620</v>
      </c>
      <c r="B348" s="122" t="s">
        <v>622</v>
      </c>
      <c r="C348" s="122" t="s">
        <v>1829</v>
      </c>
      <c r="D348" s="125">
        <v>0.0</v>
      </c>
      <c r="E348" s="125">
        <v>0.0</v>
      </c>
      <c r="F348" s="125">
        <v>0.0</v>
      </c>
      <c r="G348" s="125">
        <v>0.0</v>
      </c>
      <c r="H348" s="125">
        <v>0.0</v>
      </c>
      <c r="I348" s="125">
        <v>0.0</v>
      </c>
      <c r="J348" s="125">
        <v>0.0</v>
      </c>
      <c r="K348" s="125">
        <v>0.0</v>
      </c>
      <c r="L348" s="125">
        <v>0.0</v>
      </c>
    </row>
    <row r="349">
      <c r="A349" s="122" t="s">
        <v>724</v>
      </c>
      <c r="B349" s="122" t="s">
        <v>2128</v>
      </c>
      <c r="C349" s="122" t="s">
        <v>1829</v>
      </c>
      <c r="D349" s="125">
        <v>0.0</v>
      </c>
      <c r="E349" s="125">
        <v>0.0</v>
      </c>
      <c r="F349" s="125">
        <v>0.0</v>
      </c>
      <c r="G349" s="125">
        <v>0.0</v>
      </c>
      <c r="H349" s="125">
        <v>0.0</v>
      </c>
      <c r="I349" s="125">
        <v>0.0</v>
      </c>
      <c r="J349" s="125">
        <v>0.0</v>
      </c>
      <c r="K349" s="125">
        <v>0.0</v>
      </c>
      <c r="L349" s="125">
        <v>0.0</v>
      </c>
    </row>
    <row r="350">
      <c r="A350" s="122" t="s">
        <v>2129</v>
      </c>
      <c r="B350" s="122" t="s">
        <v>1905</v>
      </c>
      <c r="C350" s="122" t="s">
        <v>1829</v>
      </c>
      <c r="D350" s="125">
        <v>0.0</v>
      </c>
      <c r="E350" s="125">
        <v>0.0</v>
      </c>
      <c r="F350" s="125">
        <v>0.0</v>
      </c>
      <c r="G350" s="125">
        <v>0.0</v>
      </c>
      <c r="H350" s="125">
        <v>0.0</v>
      </c>
      <c r="I350" s="125">
        <v>0.0</v>
      </c>
      <c r="J350" s="125">
        <v>0.0</v>
      </c>
      <c r="K350" s="125">
        <v>0.0</v>
      </c>
      <c r="L350" s="125">
        <v>0.0</v>
      </c>
    </row>
    <row r="351">
      <c r="A351" s="122" t="s">
        <v>2130</v>
      </c>
      <c r="B351" s="122" t="s">
        <v>2131</v>
      </c>
      <c r="C351" s="122" t="s">
        <v>1829</v>
      </c>
      <c r="D351" s="125">
        <v>0.0</v>
      </c>
      <c r="E351" s="125">
        <v>0.0</v>
      </c>
      <c r="F351" s="125">
        <v>0.0</v>
      </c>
      <c r="G351" s="125">
        <v>0.0</v>
      </c>
      <c r="H351" s="125">
        <v>0.0</v>
      </c>
      <c r="I351" s="125">
        <v>0.0</v>
      </c>
      <c r="J351" s="125">
        <v>0.0</v>
      </c>
      <c r="K351" s="125">
        <v>0.0</v>
      </c>
      <c r="L351" s="125">
        <v>0.0</v>
      </c>
    </row>
    <row r="352">
      <c r="A352" s="122" t="s">
        <v>2132</v>
      </c>
      <c r="B352" s="122" t="s">
        <v>2133</v>
      </c>
      <c r="C352" s="122" t="s">
        <v>1829</v>
      </c>
      <c r="D352" s="125">
        <v>0.0</v>
      </c>
      <c r="E352" s="125">
        <v>0.0</v>
      </c>
      <c r="F352" s="125">
        <v>0.0</v>
      </c>
      <c r="G352" s="125">
        <v>0.0</v>
      </c>
      <c r="H352" s="125">
        <v>0.0</v>
      </c>
      <c r="I352" s="125">
        <v>0.0</v>
      </c>
      <c r="J352" s="125">
        <v>0.0</v>
      </c>
      <c r="K352" s="125">
        <v>0.0</v>
      </c>
      <c r="L352" s="125">
        <v>0.0</v>
      </c>
    </row>
    <row r="353">
      <c r="A353" s="122" t="s">
        <v>2134</v>
      </c>
      <c r="B353" s="122" t="s">
        <v>2135</v>
      </c>
      <c r="C353" s="122" t="s">
        <v>1829</v>
      </c>
      <c r="D353" s="125">
        <v>0.0</v>
      </c>
      <c r="E353" s="125">
        <v>0.0</v>
      </c>
      <c r="F353" s="125">
        <v>0.0</v>
      </c>
      <c r="G353" s="125">
        <v>0.0</v>
      </c>
      <c r="H353" s="125">
        <v>0.0</v>
      </c>
      <c r="I353" s="125">
        <v>0.0</v>
      </c>
      <c r="J353" s="125">
        <v>0.0</v>
      </c>
      <c r="K353" s="125">
        <v>0.0</v>
      </c>
      <c r="L353" s="125">
        <v>0.0</v>
      </c>
    </row>
    <row r="354">
      <c r="A354" s="122" t="s">
        <v>2136</v>
      </c>
      <c r="B354" s="122" t="s">
        <v>2039</v>
      </c>
      <c r="C354" s="122" t="s">
        <v>1829</v>
      </c>
      <c r="D354" s="125">
        <v>0.0</v>
      </c>
      <c r="E354" s="125">
        <v>0.0</v>
      </c>
      <c r="F354" s="125">
        <v>0.0</v>
      </c>
      <c r="G354" s="125">
        <v>0.0</v>
      </c>
      <c r="H354" s="125">
        <v>0.0</v>
      </c>
      <c r="I354" s="125">
        <v>0.0</v>
      </c>
      <c r="J354" s="125">
        <v>0.0</v>
      </c>
      <c r="K354" s="125">
        <v>0.0</v>
      </c>
      <c r="L354" s="125">
        <v>0.0</v>
      </c>
    </row>
    <row r="355">
      <c r="A355" s="122" t="s">
        <v>2137</v>
      </c>
      <c r="B355" s="122" t="s">
        <v>2002</v>
      </c>
      <c r="C355" s="122" t="s">
        <v>1829</v>
      </c>
      <c r="D355" s="125">
        <v>0.0</v>
      </c>
      <c r="E355" s="125">
        <v>0.0</v>
      </c>
      <c r="F355" s="125">
        <v>0.0</v>
      </c>
      <c r="G355" s="125">
        <v>0.0</v>
      </c>
      <c r="H355" s="125">
        <v>0.0</v>
      </c>
      <c r="I355" s="125">
        <v>0.0</v>
      </c>
      <c r="J355" s="125">
        <v>0.0</v>
      </c>
      <c r="K355" s="125">
        <v>0.0</v>
      </c>
      <c r="L355" s="125">
        <v>0.0</v>
      </c>
    </row>
    <row r="356">
      <c r="A356" s="122" t="s">
        <v>2138</v>
      </c>
      <c r="B356" s="122" t="s">
        <v>2139</v>
      </c>
      <c r="C356" s="122" t="s">
        <v>1913</v>
      </c>
      <c r="D356" s="125">
        <v>0.0</v>
      </c>
      <c r="E356" s="125">
        <v>0.0</v>
      </c>
      <c r="F356" s="125">
        <v>0.0</v>
      </c>
      <c r="G356" s="125">
        <v>2.0</v>
      </c>
      <c r="H356" s="125">
        <v>3.0</v>
      </c>
      <c r="I356" s="125">
        <v>1.0</v>
      </c>
      <c r="J356" s="125">
        <v>0.0</v>
      </c>
      <c r="K356" s="125">
        <v>1.0</v>
      </c>
      <c r="L356" s="125">
        <v>63.0</v>
      </c>
    </row>
    <row r="357">
      <c r="A357" s="122" t="s">
        <v>771</v>
      </c>
      <c r="B357" s="122" t="s">
        <v>775</v>
      </c>
      <c r="C357" s="122" t="s">
        <v>1829</v>
      </c>
      <c r="D357" s="125">
        <v>0.0</v>
      </c>
      <c r="E357" s="125">
        <v>0.0</v>
      </c>
      <c r="F357" s="125">
        <v>0.0</v>
      </c>
      <c r="G357" s="125">
        <v>0.0</v>
      </c>
      <c r="H357" s="125">
        <v>0.0</v>
      </c>
      <c r="I357" s="125">
        <v>0.0</v>
      </c>
      <c r="J357" s="125">
        <v>0.0</v>
      </c>
      <c r="K357" s="125">
        <v>0.0</v>
      </c>
      <c r="L357" s="125">
        <v>0.0</v>
      </c>
    </row>
    <row r="358">
      <c r="A358" s="122" t="s">
        <v>2140</v>
      </c>
      <c r="B358" s="122" t="s">
        <v>2141</v>
      </c>
      <c r="C358" s="122" t="s">
        <v>1829</v>
      </c>
      <c r="D358" s="125">
        <v>0.0</v>
      </c>
      <c r="E358" s="125">
        <v>0.0</v>
      </c>
      <c r="F358" s="125">
        <v>0.0</v>
      </c>
      <c r="G358" s="125">
        <v>0.0</v>
      </c>
      <c r="H358" s="125">
        <v>0.0</v>
      </c>
      <c r="I358" s="125">
        <v>0.0</v>
      </c>
      <c r="J358" s="125">
        <v>0.0</v>
      </c>
      <c r="K358" s="125">
        <v>0.0</v>
      </c>
      <c r="L358" s="125">
        <v>0.0</v>
      </c>
    </row>
    <row r="359">
      <c r="A359" s="122" t="s">
        <v>2142</v>
      </c>
      <c r="B359" s="122" t="s">
        <v>2143</v>
      </c>
      <c r="C359" s="122" t="s">
        <v>1829</v>
      </c>
      <c r="D359" s="125">
        <v>0.0</v>
      </c>
      <c r="E359" s="125">
        <v>0.0</v>
      </c>
      <c r="F359" s="125">
        <v>0.0</v>
      </c>
      <c r="G359" s="125">
        <v>0.0</v>
      </c>
      <c r="H359" s="125">
        <v>0.0</v>
      </c>
      <c r="I359" s="125">
        <v>0.0</v>
      </c>
      <c r="J359" s="125">
        <v>0.0</v>
      </c>
      <c r="K359" s="125">
        <v>0.0</v>
      </c>
      <c r="L359" s="125">
        <v>0.0</v>
      </c>
    </row>
    <row r="360">
      <c r="A360" s="122" t="s">
        <v>2144</v>
      </c>
      <c r="B360" s="122" t="s">
        <v>2145</v>
      </c>
      <c r="C360" s="122" t="s">
        <v>1829</v>
      </c>
      <c r="D360" s="125">
        <v>0.0</v>
      </c>
      <c r="E360" s="125">
        <v>0.0</v>
      </c>
      <c r="F360" s="125">
        <v>0.0</v>
      </c>
      <c r="G360" s="125">
        <v>0.0</v>
      </c>
      <c r="H360" s="125">
        <v>0.0</v>
      </c>
      <c r="I360" s="125">
        <v>0.0</v>
      </c>
      <c r="J360" s="125">
        <v>0.0</v>
      </c>
      <c r="K360" s="125">
        <v>0.0</v>
      </c>
      <c r="L360" s="125">
        <v>0.0</v>
      </c>
    </row>
    <row r="361">
      <c r="A361" s="122" t="s">
        <v>2146</v>
      </c>
      <c r="B361" s="122" t="s">
        <v>2147</v>
      </c>
      <c r="C361" s="122" t="s">
        <v>1829</v>
      </c>
      <c r="D361" s="125">
        <v>0.0</v>
      </c>
      <c r="E361" s="125">
        <v>0.0</v>
      </c>
      <c r="F361" s="125">
        <v>0.0</v>
      </c>
      <c r="G361" s="125">
        <v>0.0</v>
      </c>
      <c r="H361" s="125">
        <v>0.0</v>
      </c>
      <c r="I361" s="125">
        <v>0.0</v>
      </c>
      <c r="J361" s="125">
        <v>0.0</v>
      </c>
      <c r="K361" s="125">
        <v>0.0</v>
      </c>
      <c r="L361" s="125">
        <v>0.0</v>
      </c>
    </row>
    <row r="362">
      <c r="A362" s="122" t="s">
        <v>879</v>
      </c>
      <c r="B362" s="122" t="s">
        <v>881</v>
      </c>
      <c r="C362" s="122" t="s">
        <v>1829</v>
      </c>
      <c r="D362" s="125">
        <v>0.0</v>
      </c>
      <c r="E362" s="125">
        <v>0.0</v>
      </c>
      <c r="F362" s="125">
        <v>0.0</v>
      </c>
      <c r="G362" s="125">
        <v>0.0</v>
      </c>
      <c r="H362" s="125">
        <v>0.0</v>
      </c>
      <c r="I362" s="125">
        <v>0.0</v>
      </c>
      <c r="J362" s="125">
        <v>0.0</v>
      </c>
      <c r="K362" s="125">
        <v>0.0</v>
      </c>
      <c r="L362" s="125">
        <v>0.0</v>
      </c>
    </row>
    <row r="363">
      <c r="A363" s="122" t="s">
        <v>2148</v>
      </c>
      <c r="B363" s="122" t="s">
        <v>2149</v>
      </c>
      <c r="C363" s="122" t="s">
        <v>1913</v>
      </c>
      <c r="D363" s="125">
        <v>0.0</v>
      </c>
      <c r="E363" s="125">
        <v>11.0</v>
      </c>
      <c r="F363" s="125">
        <v>6.0</v>
      </c>
      <c r="G363" s="125">
        <v>5.0</v>
      </c>
      <c r="H363" s="125">
        <v>2.0</v>
      </c>
      <c r="I363" s="125">
        <v>9.0</v>
      </c>
      <c r="J363" s="125">
        <v>1.0</v>
      </c>
      <c r="K363" s="125">
        <v>7.0</v>
      </c>
      <c r="L363" s="125">
        <v>66.0</v>
      </c>
    </row>
    <row r="364">
      <c r="A364" s="122" t="s">
        <v>2150</v>
      </c>
      <c r="B364" s="122" t="s">
        <v>2151</v>
      </c>
      <c r="C364" s="122" t="s">
        <v>1913</v>
      </c>
      <c r="D364" s="125">
        <v>0.0</v>
      </c>
      <c r="E364" s="125">
        <v>1.0</v>
      </c>
      <c r="F364" s="125">
        <v>0.0</v>
      </c>
      <c r="G364" s="125">
        <v>1.0</v>
      </c>
      <c r="H364" s="125">
        <v>1.0</v>
      </c>
      <c r="I364" s="125">
        <v>0.0</v>
      </c>
      <c r="J364" s="125">
        <v>0.0</v>
      </c>
      <c r="K364" s="125">
        <v>1.0</v>
      </c>
      <c r="L364" s="125">
        <v>165.0</v>
      </c>
    </row>
    <row r="365">
      <c r="A365" s="122" t="s">
        <v>1020</v>
      </c>
      <c r="B365" s="122" t="s">
        <v>2152</v>
      </c>
      <c r="C365" s="122" t="s">
        <v>1829</v>
      </c>
      <c r="D365" s="125">
        <v>0.0</v>
      </c>
      <c r="E365" s="125">
        <v>0.0</v>
      </c>
      <c r="F365" s="125">
        <v>0.0</v>
      </c>
      <c r="G365" s="125">
        <v>0.0</v>
      </c>
      <c r="H365" s="125">
        <v>0.0</v>
      </c>
      <c r="I365" s="125">
        <v>0.0</v>
      </c>
      <c r="J365" s="125">
        <v>0.0</v>
      </c>
      <c r="K365" s="125">
        <v>0.0</v>
      </c>
      <c r="L365" s="125">
        <v>0.0</v>
      </c>
    </row>
    <row r="366">
      <c r="A366" s="122" t="s">
        <v>2153</v>
      </c>
      <c r="B366" s="122" t="s">
        <v>2154</v>
      </c>
      <c r="C366" s="122" t="s">
        <v>1829</v>
      </c>
      <c r="D366" s="125">
        <v>0.0</v>
      </c>
      <c r="E366" s="125">
        <v>0.0</v>
      </c>
      <c r="F366" s="125">
        <v>0.0</v>
      </c>
      <c r="G366" s="125">
        <v>0.0</v>
      </c>
      <c r="H366" s="125">
        <v>0.0</v>
      </c>
      <c r="I366" s="125">
        <v>0.0</v>
      </c>
      <c r="J366" s="125">
        <v>0.0</v>
      </c>
      <c r="K366" s="125">
        <v>0.0</v>
      </c>
      <c r="L366" s="125">
        <v>0.0</v>
      </c>
    </row>
    <row r="367">
      <c r="A367" s="122" t="s">
        <v>2155</v>
      </c>
      <c r="B367" s="122" t="s">
        <v>2156</v>
      </c>
      <c r="C367" s="122" t="s">
        <v>1829</v>
      </c>
      <c r="D367" s="125">
        <v>0.0</v>
      </c>
      <c r="E367" s="125">
        <v>0.0</v>
      </c>
      <c r="F367" s="125">
        <v>0.0</v>
      </c>
      <c r="G367" s="125">
        <v>0.0</v>
      </c>
      <c r="H367" s="125">
        <v>0.0</v>
      </c>
      <c r="I367" s="125">
        <v>0.0</v>
      </c>
      <c r="J367" s="125">
        <v>0.0</v>
      </c>
      <c r="K367" s="125">
        <v>0.0</v>
      </c>
      <c r="L367" s="125">
        <v>0.0</v>
      </c>
    </row>
    <row r="368">
      <c r="A368" s="122" t="s">
        <v>2157</v>
      </c>
      <c r="B368" s="122" t="s">
        <v>2154</v>
      </c>
      <c r="C368" s="122" t="s">
        <v>1829</v>
      </c>
      <c r="D368" s="125">
        <v>0.0</v>
      </c>
      <c r="E368" s="125">
        <v>0.0</v>
      </c>
      <c r="F368" s="125">
        <v>0.0</v>
      </c>
      <c r="G368" s="125">
        <v>0.0</v>
      </c>
      <c r="H368" s="125">
        <v>0.0</v>
      </c>
      <c r="I368" s="125">
        <v>0.0</v>
      </c>
      <c r="J368" s="125">
        <v>0.0</v>
      </c>
      <c r="K368" s="125">
        <v>0.0</v>
      </c>
      <c r="L368" s="125">
        <v>0.0</v>
      </c>
    </row>
    <row r="369">
      <c r="A369" s="122" t="s">
        <v>2158</v>
      </c>
      <c r="B369" s="122" t="s">
        <v>2159</v>
      </c>
      <c r="C369" s="122" t="s">
        <v>1829</v>
      </c>
      <c r="D369" s="125">
        <v>0.0</v>
      </c>
      <c r="E369" s="125">
        <v>0.0</v>
      </c>
      <c r="F369" s="125">
        <v>0.0</v>
      </c>
      <c r="G369" s="125">
        <v>0.0</v>
      </c>
      <c r="H369" s="125">
        <v>0.0</v>
      </c>
      <c r="I369" s="125">
        <v>0.0</v>
      </c>
      <c r="J369" s="125">
        <v>0.0</v>
      </c>
      <c r="K369" s="125">
        <v>0.0</v>
      </c>
      <c r="L369" s="125">
        <v>0.0</v>
      </c>
    </row>
    <row r="370">
      <c r="A370" s="122" t="s">
        <v>2160</v>
      </c>
      <c r="B370" s="122" t="s">
        <v>2154</v>
      </c>
      <c r="C370" s="122" t="s">
        <v>1829</v>
      </c>
      <c r="D370" s="125">
        <v>0.0</v>
      </c>
      <c r="E370" s="125">
        <v>0.0</v>
      </c>
      <c r="F370" s="125">
        <v>0.0</v>
      </c>
      <c r="G370" s="125">
        <v>0.0</v>
      </c>
      <c r="H370" s="125">
        <v>0.0</v>
      </c>
      <c r="I370" s="125">
        <v>0.0</v>
      </c>
      <c r="J370" s="125">
        <v>0.0</v>
      </c>
      <c r="K370" s="125">
        <v>0.0</v>
      </c>
      <c r="L370" s="125">
        <v>0.0</v>
      </c>
    </row>
    <row r="371">
      <c r="A371" s="122" t="s">
        <v>2161</v>
      </c>
      <c r="B371" s="122" t="s">
        <v>2154</v>
      </c>
      <c r="C371" s="122" t="s">
        <v>1829</v>
      </c>
      <c r="D371" s="125">
        <v>0.0</v>
      </c>
      <c r="E371" s="125">
        <v>0.0</v>
      </c>
      <c r="F371" s="125">
        <v>0.0</v>
      </c>
      <c r="G371" s="125">
        <v>0.0</v>
      </c>
      <c r="H371" s="125">
        <v>0.0</v>
      </c>
      <c r="I371" s="125">
        <v>0.0</v>
      </c>
      <c r="J371" s="125">
        <v>0.0</v>
      </c>
      <c r="K371" s="125">
        <v>0.0</v>
      </c>
      <c r="L371" s="125">
        <v>0.0</v>
      </c>
    </row>
    <row r="372">
      <c r="A372" s="122" t="s">
        <v>2162</v>
      </c>
      <c r="B372" s="122" t="s">
        <v>2159</v>
      </c>
      <c r="C372" s="122" t="s">
        <v>1829</v>
      </c>
      <c r="D372" s="125">
        <v>0.0</v>
      </c>
      <c r="E372" s="125">
        <v>0.0</v>
      </c>
      <c r="F372" s="125">
        <v>0.0</v>
      </c>
      <c r="G372" s="125">
        <v>0.0</v>
      </c>
      <c r="H372" s="125">
        <v>0.0</v>
      </c>
      <c r="I372" s="125">
        <v>0.0</v>
      </c>
      <c r="J372" s="125">
        <v>0.0</v>
      </c>
      <c r="K372" s="125">
        <v>0.0</v>
      </c>
      <c r="L372" s="125">
        <v>0.0</v>
      </c>
    </row>
    <row r="373">
      <c r="A373" s="122" t="s">
        <v>2163</v>
      </c>
      <c r="B373" s="122" t="s">
        <v>2154</v>
      </c>
      <c r="C373" s="122" t="s">
        <v>1829</v>
      </c>
      <c r="D373" s="125">
        <v>0.0</v>
      </c>
      <c r="E373" s="125">
        <v>0.0</v>
      </c>
      <c r="F373" s="125">
        <v>0.0</v>
      </c>
      <c r="G373" s="125">
        <v>0.0</v>
      </c>
      <c r="H373" s="125">
        <v>0.0</v>
      </c>
      <c r="I373" s="125">
        <v>0.0</v>
      </c>
      <c r="J373" s="125">
        <v>0.0</v>
      </c>
      <c r="K373" s="125">
        <v>0.0</v>
      </c>
      <c r="L373" s="125">
        <v>0.0</v>
      </c>
    </row>
    <row r="374">
      <c r="A374" s="122" t="s">
        <v>2164</v>
      </c>
      <c r="B374" s="122" t="s">
        <v>2165</v>
      </c>
      <c r="C374" s="122" t="s">
        <v>1829</v>
      </c>
      <c r="D374" s="125">
        <v>0.0</v>
      </c>
      <c r="E374" s="125">
        <v>0.0</v>
      </c>
      <c r="F374" s="125">
        <v>0.0</v>
      </c>
      <c r="G374" s="125">
        <v>0.0</v>
      </c>
      <c r="H374" s="125">
        <v>0.0</v>
      </c>
      <c r="I374" s="125">
        <v>0.0</v>
      </c>
      <c r="J374" s="125">
        <v>0.0</v>
      </c>
      <c r="K374" s="125">
        <v>0.0</v>
      </c>
      <c r="L374" s="125">
        <v>0.0</v>
      </c>
    </row>
    <row r="375">
      <c r="A375" s="122" t="s">
        <v>2166</v>
      </c>
      <c r="B375" s="122" t="s">
        <v>2154</v>
      </c>
      <c r="C375" s="122" t="s">
        <v>1829</v>
      </c>
      <c r="D375" s="125">
        <v>0.0</v>
      </c>
      <c r="E375" s="125">
        <v>0.0</v>
      </c>
      <c r="F375" s="125">
        <v>0.0</v>
      </c>
      <c r="G375" s="125">
        <v>0.0</v>
      </c>
      <c r="H375" s="125">
        <v>0.0</v>
      </c>
      <c r="I375" s="125">
        <v>0.0</v>
      </c>
      <c r="J375" s="125">
        <v>0.0</v>
      </c>
      <c r="K375" s="125">
        <v>0.0</v>
      </c>
      <c r="L375" s="125">
        <v>0.0</v>
      </c>
    </row>
    <row r="376">
      <c r="A376" s="122" t="s">
        <v>2167</v>
      </c>
      <c r="B376" s="122" t="s">
        <v>2168</v>
      </c>
      <c r="C376" s="122" t="s">
        <v>1829</v>
      </c>
      <c r="D376" s="125">
        <v>0.0</v>
      </c>
      <c r="E376" s="125">
        <v>0.0</v>
      </c>
      <c r="F376" s="125">
        <v>0.0</v>
      </c>
      <c r="G376" s="125">
        <v>0.0</v>
      </c>
      <c r="H376" s="125">
        <v>0.0</v>
      </c>
      <c r="I376" s="125">
        <v>0.0</v>
      </c>
      <c r="J376" s="125">
        <v>0.0</v>
      </c>
      <c r="K376" s="125">
        <v>0.0</v>
      </c>
      <c r="L376" s="125">
        <v>0.0</v>
      </c>
    </row>
    <row r="377">
      <c r="A377" s="122" t="s">
        <v>2169</v>
      </c>
      <c r="B377" s="122" t="s">
        <v>2170</v>
      </c>
      <c r="C377" s="122" t="s">
        <v>1913</v>
      </c>
      <c r="D377" s="125">
        <v>0.0</v>
      </c>
      <c r="E377" s="125">
        <v>0.0</v>
      </c>
      <c r="F377" s="125">
        <v>0.0</v>
      </c>
      <c r="G377" s="125">
        <v>1.0</v>
      </c>
      <c r="H377" s="125">
        <v>2.0</v>
      </c>
      <c r="I377" s="125">
        <v>1.0</v>
      </c>
      <c r="J377" s="125">
        <v>0.0</v>
      </c>
      <c r="K377" s="125">
        <v>1.0</v>
      </c>
      <c r="L377" s="125">
        <v>96.0</v>
      </c>
    </row>
    <row r="378">
      <c r="A378" s="122" t="s">
        <v>2171</v>
      </c>
      <c r="B378" s="122" t="s">
        <v>2154</v>
      </c>
      <c r="C378" s="122" t="s">
        <v>1829</v>
      </c>
      <c r="D378" s="125">
        <v>0.0</v>
      </c>
      <c r="E378" s="125">
        <v>0.0</v>
      </c>
      <c r="F378" s="125">
        <v>0.0</v>
      </c>
      <c r="G378" s="125">
        <v>0.0</v>
      </c>
      <c r="H378" s="125">
        <v>0.0</v>
      </c>
      <c r="I378" s="125">
        <v>0.0</v>
      </c>
      <c r="J378" s="125">
        <v>0.0</v>
      </c>
      <c r="K378" s="125">
        <v>0.0</v>
      </c>
      <c r="L378" s="125">
        <v>0.0</v>
      </c>
    </row>
    <row r="379">
      <c r="A379" s="122" t="s">
        <v>2172</v>
      </c>
      <c r="B379" s="122" t="s">
        <v>2159</v>
      </c>
      <c r="C379" s="122" t="s">
        <v>1829</v>
      </c>
      <c r="D379" s="125">
        <v>0.0</v>
      </c>
      <c r="E379" s="125">
        <v>0.0</v>
      </c>
      <c r="F379" s="125">
        <v>0.0</v>
      </c>
      <c r="G379" s="125">
        <v>0.0</v>
      </c>
      <c r="H379" s="125">
        <v>0.0</v>
      </c>
      <c r="I379" s="125">
        <v>0.0</v>
      </c>
      <c r="J379" s="125">
        <v>0.0</v>
      </c>
      <c r="K379" s="125">
        <v>0.0</v>
      </c>
      <c r="L379" s="125">
        <v>0.0</v>
      </c>
    </row>
    <row r="380">
      <c r="A380" s="122" t="s">
        <v>1017</v>
      </c>
      <c r="B380" s="122" t="s">
        <v>2173</v>
      </c>
      <c r="C380" s="122" t="s">
        <v>1829</v>
      </c>
      <c r="D380" s="125">
        <v>0.0</v>
      </c>
      <c r="E380" s="125">
        <v>0.0</v>
      </c>
      <c r="F380" s="125">
        <v>0.0</v>
      </c>
      <c r="G380" s="125">
        <v>0.0</v>
      </c>
      <c r="H380" s="125">
        <v>0.0</v>
      </c>
      <c r="I380" s="125">
        <v>0.0</v>
      </c>
      <c r="J380" s="125">
        <v>0.0</v>
      </c>
      <c r="K380" s="125">
        <v>0.0</v>
      </c>
      <c r="L380" s="125">
        <v>0.0</v>
      </c>
    </row>
    <row r="381">
      <c r="A381" s="122" t="s">
        <v>2174</v>
      </c>
      <c r="B381" s="122" t="s">
        <v>2175</v>
      </c>
      <c r="C381" s="122" t="s">
        <v>1913</v>
      </c>
      <c r="D381" s="125">
        <v>0.0</v>
      </c>
      <c r="E381" s="125">
        <v>14.0</v>
      </c>
      <c r="F381" s="125">
        <v>19.0</v>
      </c>
      <c r="G381" s="125">
        <v>30.0</v>
      </c>
      <c r="H381" s="125">
        <v>15.0</v>
      </c>
      <c r="I381" s="125">
        <v>16.0</v>
      </c>
      <c r="J381" s="125">
        <v>0.0</v>
      </c>
      <c r="K381" s="125">
        <v>19.0</v>
      </c>
      <c r="L381" s="125">
        <v>103.0</v>
      </c>
    </row>
    <row r="382">
      <c r="A382" s="122" t="s">
        <v>2176</v>
      </c>
      <c r="B382" s="122" t="s">
        <v>2177</v>
      </c>
      <c r="C382" s="122" t="s">
        <v>1829</v>
      </c>
      <c r="D382" s="125">
        <v>0.0</v>
      </c>
      <c r="E382" s="125">
        <v>0.0</v>
      </c>
      <c r="F382" s="125">
        <v>0.0</v>
      </c>
      <c r="G382" s="125">
        <v>0.0</v>
      </c>
      <c r="H382" s="125">
        <v>0.0</v>
      </c>
      <c r="I382" s="125">
        <v>0.0</v>
      </c>
      <c r="J382" s="125">
        <v>0.0</v>
      </c>
      <c r="K382" s="125">
        <v>0.0</v>
      </c>
      <c r="L382" s="125">
        <v>0.0</v>
      </c>
    </row>
    <row r="383">
      <c r="A383" s="122" t="s">
        <v>2178</v>
      </c>
      <c r="B383" s="122" t="s">
        <v>2179</v>
      </c>
      <c r="C383" s="122" t="s">
        <v>1913</v>
      </c>
      <c r="D383" s="125">
        <v>0.0</v>
      </c>
      <c r="E383" s="125">
        <v>0.0</v>
      </c>
      <c r="F383" s="125">
        <v>0.0</v>
      </c>
      <c r="G383" s="125">
        <v>2.0</v>
      </c>
      <c r="H383" s="125">
        <v>1.0</v>
      </c>
      <c r="I383" s="125">
        <v>2.0</v>
      </c>
      <c r="J383" s="125">
        <v>0.0</v>
      </c>
      <c r="K383" s="125">
        <v>1.0</v>
      </c>
      <c r="L383" s="125">
        <v>274.0</v>
      </c>
    </row>
    <row r="384">
      <c r="A384" s="122" t="s">
        <v>2180</v>
      </c>
      <c r="B384" s="122" t="s">
        <v>2181</v>
      </c>
      <c r="C384" s="122" t="s">
        <v>1829</v>
      </c>
      <c r="D384" s="125">
        <v>0.0</v>
      </c>
      <c r="E384" s="125">
        <v>1.0</v>
      </c>
      <c r="F384" s="125">
        <v>3.0</v>
      </c>
      <c r="G384" s="125">
        <v>5.0</v>
      </c>
      <c r="H384" s="125">
        <v>4.0</v>
      </c>
      <c r="I384" s="125">
        <v>3.0</v>
      </c>
      <c r="J384" s="125">
        <v>0.0</v>
      </c>
      <c r="K384" s="125">
        <v>3.0</v>
      </c>
      <c r="L384" s="125">
        <v>0.0</v>
      </c>
    </row>
    <row r="385">
      <c r="A385" s="122" t="s">
        <v>2182</v>
      </c>
      <c r="B385" s="122" t="s">
        <v>2183</v>
      </c>
      <c r="C385" s="122" t="s">
        <v>1829</v>
      </c>
      <c r="D385" s="125">
        <v>0.0</v>
      </c>
      <c r="E385" s="125">
        <v>0.0</v>
      </c>
      <c r="F385" s="125">
        <v>1.0</v>
      </c>
      <c r="G385" s="125">
        <v>1.0</v>
      </c>
      <c r="H385" s="125">
        <v>3.0</v>
      </c>
      <c r="I385" s="125">
        <v>2.0</v>
      </c>
      <c r="J385" s="125">
        <v>0.0</v>
      </c>
      <c r="K385" s="125">
        <v>1.0</v>
      </c>
      <c r="L385" s="125">
        <v>0.0</v>
      </c>
    </row>
    <row r="386">
      <c r="A386" s="122" t="s">
        <v>2184</v>
      </c>
      <c r="B386" s="122" t="s">
        <v>2185</v>
      </c>
      <c r="C386" s="122" t="s">
        <v>1829</v>
      </c>
      <c r="D386" s="125">
        <v>0.0</v>
      </c>
      <c r="E386" s="125">
        <v>0.0</v>
      </c>
      <c r="F386" s="125">
        <v>0.0</v>
      </c>
      <c r="G386" s="125">
        <v>0.0</v>
      </c>
      <c r="H386" s="125">
        <v>0.0</v>
      </c>
      <c r="I386" s="125">
        <v>0.0</v>
      </c>
      <c r="J386" s="125">
        <v>0.0</v>
      </c>
      <c r="K386" s="125">
        <v>0.0</v>
      </c>
      <c r="L386" s="125">
        <v>37.0</v>
      </c>
    </row>
    <row r="387">
      <c r="A387" s="122" t="s">
        <v>2186</v>
      </c>
      <c r="B387" s="122" t="s">
        <v>2187</v>
      </c>
      <c r="C387" s="122" t="s">
        <v>1829</v>
      </c>
      <c r="D387" s="125">
        <v>0.0</v>
      </c>
      <c r="E387" s="125">
        <v>0.0</v>
      </c>
      <c r="F387" s="125">
        <v>0.0</v>
      </c>
      <c r="G387" s="125">
        <v>0.0</v>
      </c>
      <c r="H387" s="125">
        <v>0.0</v>
      </c>
      <c r="I387" s="125">
        <v>0.0</v>
      </c>
      <c r="J387" s="125">
        <v>0.0</v>
      </c>
      <c r="K387" s="125">
        <v>0.0</v>
      </c>
      <c r="L387" s="125">
        <v>0.0</v>
      </c>
    </row>
    <row r="388">
      <c r="A388" s="122" t="s">
        <v>2188</v>
      </c>
      <c r="B388" s="122" t="s">
        <v>2189</v>
      </c>
      <c r="C388" s="122" t="s">
        <v>1829</v>
      </c>
      <c r="D388" s="125">
        <v>0.0</v>
      </c>
      <c r="E388" s="125">
        <v>0.0</v>
      </c>
      <c r="F388" s="125">
        <v>0.0</v>
      </c>
      <c r="G388" s="125">
        <v>0.0</v>
      </c>
      <c r="H388" s="125">
        <v>0.0</v>
      </c>
      <c r="I388" s="125">
        <v>0.0</v>
      </c>
      <c r="J388" s="125">
        <v>0.0</v>
      </c>
      <c r="K388" s="125">
        <v>0.0</v>
      </c>
      <c r="L388" s="125">
        <v>0.0</v>
      </c>
    </row>
    <row r="389">
      <c r="A389" s="122" t="s">
        <v>2190</v>
      </c>
      <c r="B389" s="122" t="s">
        <v>2191</v>
      </c>
      <c r="C389" s="122" t="s">
        <v>1829</v>
      </c>
      <c r="D389" s="125">
        <v>0.0</v>
      </c>
      <c r="E389" s="125">
        <v>0.0</v>
      </c>
      <c r="F389" s="125">
        <v>0.0</v>
      </c>
      <c r="G389" s="125">
        <v>0.0</v>
      </c>
      <c r="H389" s="125">
        <v>0.0</v>
      </c>
      <c r="I389" s="125">
        <v>0.0</v>
      </c>
      <c r="J389" s="125">
        <v>0.0</v>
      </c>
      <c r="K389" s="125">
        <v>0.0</v>
      </c>
      <c r="L389" s="125">
        <v>0.0</v>
      </c>
    </row>
    <row r="390">
      <c r="A390" s="122" t="s">
        <v>2192</v>
      </c>
      <c r="B390" s="122" t="s">
        <v>2193</v>
      </c>
      <c r="C390" s="122" t="s">
        <v>1829</v>
      </c>
      <c r="D390" s="125">
        <v>0.0</v>
      </c>
      <c r="E390" s="125">
        <v>0.0</v>
      </c>
      <c r="F390" s="125">
        <v>0.0</v>
      </c>
      <c r="G390" s="125">
        <v>0.0</v>
      </c>
      <c r="H390" s="125">
        <v>0.0</v>
      </c>
      <c r="I390" s="125">
        <v>0.0</v>
      </c>
      <c r="J390" s="125">
        <v>0.0</v>
      </c>
      <c r="K390" s="125">
        <v>0.0</v>
      </c>
      <c r="L390" s="125">
        <v>0.0</v>
      </c>
    </row>
    <row r="391">
      <c r="A391" s="122" t="s">
        <v>2194</v>
      </c>
      <c r="B391" s="122" t="s">
        <v>2195</v>
      </c>
      <c r="C391" s="122" t="s">
        <v>1829</v>
      </c>
      <c r="D391" s="125">
        <v>0.0</v>
      </c>
      <c r="E391" s="125">
        <v>0.0</v>
      </c>
      <c r="F391" s="125">
        <v>0.0</v>
      </c>
      <c r="G391" s="125">
        <v>0.0</v>
      </c>
      <c r="H391" s="125">
        <v>0.0</v>
      </c>
      <c r="I391" s="125">
        <v>1.0</v>
      </c>
      <c r="J391" s="125">
        <v>0.0</v>
      </c>
      <c r="K391" s="125">
        <v>0.0</v>
      </c>
      <c r="L391" s="125">
        <v>9.0</v>
      </c>
    </row>
    <row r="392">
      <c r="A392" s="122" t="s">
        <v>2196</v>
      </c>
      <c r="B392" s="122" t="s">
        <v>2197</v>
      </c>
      <c r="C392" s="122" t="s">
        <v>1829</v>
      </c>
      <c r="D392" s="125">
        <v>0.0</v>
      </c>
      <c r="E392" s="125">
        <v>0.0</v>
      </c>
      <c r="F392" s="125">
        <v>0.0</v>
      </c>
      <c r="G392" s="125">
        <v>0.0</v>
      </c>
      <c r="H392" s="125">
        <v>0.0</v>
      </c>
      <c r="I392" s="125">
        <v>0.0</v>
      </c>
      <c r="J392" s="125">
        <v>0.0</v>
      </c>
      <c r="K392" s="125">
        <v>0.0</v>
      </c>
      <c r="L392" s="125">
        <v>0.0</v>
      </c>
    </row>
    <row r="393">
      <c r="A393" s="122" t="s">
        <v>2198</v>
      </c>
      <c r="B393" s="122" t="s">
        <v>2199</v>
      </c>
      <c r="C393" s="122" t="s">
        <v>1829</v>
      </c>
      <c r="D393" s="125">
        <v>0.0</v>
      </c>
      <c r="E393" s="125">
        <v>0.0</v>
      </c>
      <c r="F393" s="125">
        <v>0.0</v>
      </c>
      <c r="G393" s="125">
        <v>0.0</v>
      </c>
      <c r="H393" s="125">
        <v>0.0</v>
      </c>
      <c r="I393" s="125">
        <v>0.0</v>
      </c>
      <c r="J393" s="125">
        <v>0.0</v>
      </c>
      <c r="K393" s="125">
        <v>0.0</v>
      </c>
      <c r="L393" s="125">
        <v>0.0</v>
      </c>
    </row>
    <row r="394">
      <c r="A394" s="122" t="s">
        <v>2200</v>
      </c>
      <c r="B394" s="122" t="s">
        <v>2201</v>
      </c>
      <c r="C394" s="122" t="s">
        <v>1913</v>
      </c>
      <c r="D394" s="125">
        <v>0.0</v>
      </c>
      <c r="E394" s="125">
        <v>1.0</v>
      </c>
      <c r="F394" s="125">
        <v>0.0</v>
      </c>
      <c r="G394" s="125">
        <v>1.0</v>
      </c>
      <c r="H394" s="125">
        <v>0.0</v>
      </c>
      <c r="I394" s="125">
        <v>0.0</v>
      </c>
      <c r="J394" s="125">
        <v>0.0</v>
      </c>
      <c r="K394" s="125">
        <v>0.0</v>
      </c>
      <c r="L394" s="125">
        <v>46.0</v>
      </c>
    </row>
    <row r="395">
      <c r="A395" s="122" t="s">
        <v>2202</v>
      </c>
      <c r="B395" s="122" t="s">
        <v>2203</v>
      </c>
      <c r="C395" s="122" t="s">
        <v>1913</v>
      </c>
      <c r="D395" s="125">
        <v>0.0</v>
      </c>
      <c r="E395" s="125">
        <v>0.0</v>
      </c>
      <c r="F395" s="125">
        <v>0.0</v>
      </c>
      <c r="G395" s="125">
        <v>0.0</v>
      </c>
      <c r="H395" s="125">
        <v>0.0</v>
      </c>
      <c r="I395" s="125">
        <v>0.0</v>
      </c>
      <c r="J395" s="125">
        <v>0.0</v>
      </c>
      <c r="K395" s="125">
        <v>0.0</v>
      </c>
      <c r="L395" s="125">
        <v>0.0</v>
      </c>
    </row>
    <row r="396">
      <c r="A396" s="122" t="s">
        <v>2204</v>
      </c>
      <c r="B396" s="122" t="s">
        <v>2205</v>
      </c>
      <c r="C396" s="122" t="s">
        <v>1829</v>
      </c>
      <c r="D396" s="125">
        <v>0.0</v>
      </c>
      <c r="E396" s="125">
        <v>0.0</v>
      </c>
      <c r="F396" s="125">
        <v>0.0</v>
      </c>
      <c r="G396" s="125">
        <v>0.0</v>
      </c>
      <c r="H396" s="125">
        <v>0.0</v>
      </c>
      <c r="I396" s="125">
        <v>0.0</v>
      </c>
      <c r="J396" s="125">
        <v>0.0</v>
      </c>
      <c r="K396" s="125">
        <v>0.0</v>
      </c>
      <c r="L396" s="125">
        <v>0.0</v>
      </c>
    </row>
    <row r="397">
      <c r="A397" s="122" t="s">
        <v>2206</v>
      </c>
      <c r="B397" s="122" t="s">
        <v>2207</v>
      </c>
      <c r="C397" s="122" t="s">
        <v>1829</v>
      </c>
      <c r="D397" s="125">
        <v>0.0</v>
      </c>
      <c r="E397" s="125">
        <v>0.0</v>
      </c>
      <c r="F397" s="125">
        <v>0.0</v>
      </c>
      <c r="G397" s="125">
        <v>0.0</v>
      </c>
      <c r="H397" s="125">
        <v>0.0</v>
      </c>
      <c r="I397" s="125">
        <v>0.0</v>
      </c>
      <c r="J397" s="125">
        <v>0.0</v>
      </c>
      <c r="K397" s="125">
        <v>0.0</v>
      </c>
      <c r="L397" s="125">
        <v>0.0</v>
      </c>
    </row>
    <row r="398">
      <c r="A398" s="122" t="s">
        <v>2208</v>
      </c>
      <c r="B398" s="122" t="s">
        <v>2209</v>
      </c>
      <c r="C398" s="122" t="s">
        <v>1829</v>
      </c>
      <c r="D398" s="125">
        <v>0.0</v>
      </c>
      <c r="E398" s="125">
        <v>0.0</v>
      </c>
      <c r="F398" s="125">
        <v>0.0</v>
      </c>
      <c r="G398" s="125">
        <v>0.0</v>
      </c>
      <c r="H398" s="125">
        <v>0.0</v>
      </c>
      <c r="I398" s="125">
        <v>0.0</v>
      </c>
      <c r="J398" s="125">
        <v>0.0</v>
      </c>
      <c r="K398" s="125">
        <v>0.0</v>
      </c>
      <c r="L398" s="125">
        <v>0.0</v>
      </c>
    </row>
    <row r="399">
      <c r="A399" s="122" t="s">
        <v>2210</v>
      </c>
      <c r="B399" s="122" t="s">
        <v>2211</v>
      </c>
      <c r="C399" s="122" t="s">
        <v>1829</v>
      </c>
      <c r="D399" s="125">
        <v>0.0</v>
      </c>
      <c r="E399" s="125">
        <v>0.0</v>
      </c>
      <c r="F399" s="125">
        <v>0.0</v>
      </c>
      <c r="G399" s="125">
        <v>0.0</v>
      </c>
      <c r="H399" s="125">
        <v>0.0</v>
      </c>
      <c r="I399" s="125">
        <v>0.0</v>
      </c>
      <c r="J399" s="125">
        <v>0.0</v>
      </c>
      <c r="K399" s="125">
        <v>0.0</v>
      </c>
      <c r="L399" s="125">
        <v>0.0</v>
      </c>
    </row>
    <row r="400">
      <c r="A400" s="122" t="s">
        <v>2212</v>
      </c>
      <c r="B400" s="122" t="s">
        <v>2213</v>
      </c>
      <c r="C400" s="122" t="s">
        <v>1829</v>
      </c>
      <c r="D400" s="125">
        <v>0.0</v>
      </c>
      <c r="E400" s="125">
        <v>0.0</v>
      </c>
      <c r="F400" s="125">
        <v>0.0</v>
      </c>
      <c r="G400" s="125">
        <v>0.0</v>
      </c>
      <c r="H400" s="125">
        <v>0.0</v>
      </c>
      <c r="I400" s="125">
        <v>0.0</v>
      </c>
      <c r="J400" s="125">
        <v>0.0</v>
      </c>
      <c r="K400" s="125">
        <v>0.0</v>
      </c>
      <c r="L400" s="125">
        <v>0.0</v>
      </c>
    </row>
    <row r="401">
      <c r="A401" s="122" t="s">
        <v>2214</v>
      </c>
      <c r="B401" s="122" t="s">
        <v>2215</v>
      </c>
      <c r="C401" s="122" t="s">
        <v>1913</v>
      </c>
      <c r="D401" s="125">
        <v>0.0</v>
      </c>
      <c r="E401" s="125">
        <v>1.0</v>
      </c>
      <c r="F401" s="125">
        <v>2.0</v>
      </c>
      <c r="G401" s="125">
        <v>1.0</v>
      </c>
      <c r="H401" s="125">
        <v>1.0</v>
      </c>
      <c r="I401" s="125">
        <v>0.0</v>
      </c>
      <c r="J401" s="125">
        <v>0.0</v>
      </c>
      <c r="K401" s="125">
        <v>1.0</v>
      </c>
      <c r="L401" s="125">
        <v>25.0</v>
      </c>
    </row>
    <row r="402">
      <c r="A402" s="122" t="s">
        <v>2216</v>
      </c>
      <c r="B402" s="122" t="s">
        <v>2217</v>
      </c>
      <c r="C402" s="122" t="s">
        <v>1913</v>
      </c>
      <c r="D402" s="125">
        <v>0.0</v>
      </c>
      <c r="E402" s="125">
        <v>0.0</v>
      </c>
      <c r="F402" s="125">
        <v>1.0</v>
      </c>
      <c r="G402" s="125">
        <v>0.0</v>
      </c>
      <c r="H402" s="125">
        <v>0.0</v>
      </c>
      <c r="I402" s="125">
        <v>0.0</v>
      </c>
      <c r="J402" s="125">
        <v>0.0</v>
      </c>
      <c r="K402" s="125">
        <v>0.0</v>
      </c>
      <c r="L402" s="125">
        <v>31.0</v>
      </c>
    </row>
    <row r="403">
      <c r="A403" s="122" t="s">
        <v>2218</v>
      </c>
      <c r="B403" s="122" t="s">
        <v>2219</v>
      </c>
      <c r="C403" s="122" t="s">
        <v>1829</v>
      </c>
      <c r="D403" s="125">
        <v>0.0</v>
      </c>
      <c r="E403" s="125">
        <v>0.0</v>
      </c>
      <c r="F403" s="125">
        <v>0.0</v>
      </c>
      <c r="G403" s="125">
        <v>0.0</v>
      </c>
      <c r="H403" s="125">
        <v>0.0</v>
      </c>
      <c r="I403" s="125">
        <v>0.0</v>
      </c>
      <c r="J403" s="125">
        <v>0.0</v>
      </c>
      <c r="K403" s="125">
        <v>0.0</v>
      </c>
      <c r="L403" s="125">
        <v>0.0</v>
      </c>
    </row>
    <row r="404">
      <c r="A404" s="122" t="s">
        <v>2220</v>
      </c>
      <c r="B404" s="122" t="s">
        <v>2221</v>
      </c>
      <c r="C404" s="122" t="s">
        <v>1829</v>
      </c>
      <c r="D404" s="125">
        <v>0.0</v>
      </c>
      <c r="E404" s="125">
        <v>0.0</v>
      </c>
      <c r="F404" s="125">
        <v>0.0</v>
      </c>
      <c r="G404" s="125">
        <v>1.0</v>
      </c>
      <c r="H404" s="125">
        <v>0.0</v>
      </c>
      <c r="I404" s="125">
        <v>0.0</v>
      </c>
      <c r="J404" s="125">
        <v>0.0</v>
      </c>
      <c r="K404" s="125">
        <v>0.0</v>
      </c>
      <c r="L404" s="125">
        <v>0.0</v>
      </c>
    </row>
    <row r="405">
      <c r="A405" s="122" t="s">
        <v>2222</v>
      </c>
      <c r="B405" s="122" t="s">
        <v>2223</v>
      </c>
      <c r="C405" s="122" t="s">
        <v>1829</v>
      </c>
      <c r="D405" s="125">
        <v>0.0</v>
      </c>
      <c r="E405" s="125">
        <v>0.0</v>
      </c>
      <c r="F405" s="125">
        <v>0.0</v>
      </c>
      <c r="G405" s="125">
        <v>0.0</v>
      </c>
      <c r="H405" s="125">
        <v>0.0</v>
      </c>
      <c r="I405" s="125">
        <v>0.0</v>
      </c>
      <c r="J405" s="125">
        <v>0.0</v>
      </c>
      <c r="K405" s="125">
        <v>0.0</v>
      </c>
      <c r="L405" s="125">
        <v>0.0</v>
      </c>
    </row>
    <row r="406">
      <c r="A406" s="122" t="s">
        <v>2224</v>
      </c>
      <c r="B406" s="122" t="s">
        <v>2224</v>
      </c>
      <c r="C406" s="122" t="s">
        <v>1829</v>
      </c>
      <c r="D406" s="125">
        <v>0.0</v>
      </c>
      <c r="E406" s="125">
        <v>0.0</v>
      </c>
      <c r="F406" s="125">
        <v>0.0</v>
      </c>
      <c r="G406" s="125">
        <v>0.0</v>
      </c>
      <c r="H406" s="125">
        <v>0.0</v>
      </c>
      <c r="I406" s="125">
        <v>0.0</v>
      </c>
      <c r="J406" s="125">
        <v>0.0</v>
      </c>
      <c r="K406" s="125">
        <v>0.0</v>
      </c>
      <c r="L406" s="125">
        <v>0.0</v>
      </c>
    </row>
    <row r="407">
      <c r="A407" s="122" t="s">
        <v>2225</v>
      </c>
      <c r="B407" s="122" t="s">
        <v>2226</v>
      </c>
      <c r="C407" s="122" t="s">
        <v>1829</v>
      </c>
      <c r="D407" s="125">
        <v>0.0</v>
      </c>
      <c r="E407" s="125">
        <v>0.0</v>
      </c>
      <c r="F407" s="125">
        <v>0.0</v>
      </c>
      <c r="G407" s="125">
        <v>0.0</v>
      </c>
      <c r="H407" s="125">
        <v>0.0</v>
      </c>
      <c r="I407" s="125">
        <v>0.0</v>
      </c>
      <c r="J407" s="125">
        <v>0.0</v>
      </c>
      <c r="K407" s="125">
        <v>0.0</v>
      </c>
      <c r="L407" s="125">
        <v>0.0</v>
      </c>
    </row>
    <row r="408">
      <c r="A408" s="122" t="s">
        <v>2227</v>
      </c>
      <c r="B408" s="122" t="s">
        <v>2228</v>
      </c>
      <c r="C408" s="122" t="s">
        <v>1829</v>
      </c>
      <c r="D408" s="125">
        <v>0.0</v>
      </c>
      <c r="E408" s="125">
        <v>0.0</v>
      </c>
      <c r="F408" s="125">
        <v>0.0</v>
      </c>
      <c r="G408" s="125">
        <v>0.0</v>
      </c>
      <c r="H408" s="125">
        <v>0.0</v>
      </c>
      <c r="I408" s="125">
        <v>0.0</v>
      </c>
      <c r="J408" s="125">
        <v>0.0</v>
      </c>
      <c r="K408" s="125">
        <v>0.0</v>
      </c>
      <c r="L408" s="125">
        <v>0.0</v>
      </c>
    </row>
    <row r="409">
      <c r="A409" s="122" t="s">
        <v>2229</v>
      </c>
      <c r="B409" s="122" t="s">
        <v>2230</v>
      </c>
      <c r="C409" s="122" t="s">
        <v>1829</v>
      </c>
      <c r="D409" s="125">
        <v>0.0</v>
      </c>
      <c r="E409" s="125">
        <v>0.0</v>
      </c>
      <c r="F409" s="125">
        <v>0.0</v>
      </c>
      <c r="G409" s="125">
        <v>0.0</v>
      </c>
      <c r="H409" s="125">
        <v>0.0</v>
      </c>
      <c r="I409" s="125">
        <v>0.0</v>
      </c>
      <c r="J409" s="125">
        <v>0.0</v>
      </c>
      <c r="K409" s="125">
        <v>0.0</v>
      </c>
      <c r="L409" s="125">
        <v>0.0</v>
      </c>
    </row>
    <row r="410">
      <c r="A410" s="122" t="s">
        <v>2231</v>
      </c>
      <c r="B410" s="122" t="s">
        <v>2232</v>
      </c>
      <c r="C410" s="122" t="s">
        <v>1829</v>
      </c>
      <c r="D410" s="125">
        <v>0.0</v>
      </c>
      <c r="E410" s="125">
        <v>0.0</v>
      </c>
      <c r="F410" s="125">
        <v>0.0</v>
      </c>
      <c r="G410" s="125">
        <v>0.0</v>
      </c>
      <c r="H410" s="125">
        <v>0.0</v>
      </c>
      <c r="I410" s="125">
        <v>0.0</v>
      </c>
      <c r="J410" s="125">
        <v>0.0</v>
      </c>
      <c r="K410" s="125">
        <v>0.0</v>
      </c>
      <c r="L410" s="125">
        <v>0.0</v>
      </c>
    </row>
    <row r="411">
      <c r="A411" s="122" t="s">
        <v>2233</v>
      </c>
      <c r="B411" s="122" t="s">
        <v>2234</v>
      </c>
      <c r="C411" s="122" t="s">
        <v>1829</v>
      </c>
      <c r="D411" s="125">
        <v>0.0</v>
      </c>
      <c r="E411" s="125">
        <v>0.0</v>
      </c>
      <c r="F411" s="125">
        <v>0.0</v>
      </c>
      <c r="G411" s="125">
        <v>0.0</v>
      </c>
      <c r="H411" s="125">
        <v>0.0</v>
      </c>
      <c r="I411" s="125">
        <v>0.0</v>
      </c>
      <c r="J411" s="125">
        <v>0.0</v>
      </c>
      <c r="K411" s="125">
        <v>0.0</v>
      </c>
      <c r="L411" s="125">
        <v>0.0</v>
      </c>
    </row>
    <row r="412">
      <c r="A412" s="122" t="s">
        <v>2235</v>
      </c>
      <c r="B412" s="122" t="s">
        <v>2236</v>
      </c>
      <c r="C412" s="122" t="s">
        <v>1829</v>
      </c>
      <c r="D412" s="125">
        <v>0.0</v>
      </c>
      <c r="E412" s="125">
        <v>0.0</v>
      </c>
      <c r="F412" s="125">
        <v>0.0</v>
      </c>
      <c r="G412" s="125">
        <v>0.0</v>
      </c>
      <c r="H412" s="125">
        <v>0.0</v>
      </c>
      <c r="I412" s="125">
        <v>0.0</v>
      </c>
      <c r="J412" s="125">
        <v>0.0</v>
      </c>
      <c r="K412" s="125">
        <v>0.0</v>
      </c>
      <c r="L412" s="125">
        <v>0.0</v>
      </c>
    </row>
    <row r="413">
      <c r="A413" s="122" t="s">
        <v>2237</v>
      </c>
      <c r="B413" s="122" t="s">
        <v>1848</v>
      </c>
      <c r="C413" s="122" t="s">
        <v>1829</v>
      </c>
      <c r="D413" s="125">
        <v>0.0</v>
      </c>
      <c r="E413" s="125">
        <v>0.0</v>
      </c>
      <c r="F413" s="125">
        <v>0.0</v>
      </c>
      <c r="G413" s="125">
        <v>0.0</v>
      </c>
      <c r="H413" s="125">
        <v>0.0</v>
      </c>
      <c r="I413" s="125">
        <v>0.0</v>
      </c>
      <c r="J413" s="125">
        <v>0.0</v>
      </c>
      <c r="K413" s="125">
        <v>0.0</v>
      </c>
      <c r="L413" s="125">
        <v>0.0</v>
      </c>
    </row>
    <row r="414">
      <c r="A414" s="122" t="s">
        <v>2238</v>
      </c>
      <c r="B414" s="122" t="s">
        <v>2239</v>
      </c>
      <c r="C414" s="122" t="s">
        <v>1829</v>
      </c>
      <c r="D414" s="125">
        <v>0.0</v>
      </c>
      <c r="E414" s="125">
        <v>0.0</v>
      </c>
      <c r="F414" s="125">
        <v>0.0</v>
      </c>
      <c r="G414" s="125">
        <v>0.0</v>
      </c>
      <c r="H414" s="125">
        <v>0.0</v>
      </c>
      <c r="I414" s="125">
        <v>0.0</v>
      </c>
      <c r="J414" s="125">
        <v>0.0</v>
      </c>
      <c r="K414" s="125">
        <v>0.0</v>
      </c>
      <c r="L414" s="125">
        <v>0.0</v>
      </c>
    </row>
    <row r="415">
      <c r="A415" s="122" t="s">
        <v>2240</v>
      </c>
      <c r="B415" s="122" t="s">
        <v>2241</v>
      </c>
      <c r="C415" s="122" t="s">
        <v>1913</v>
      </c>
      <c r="D415" s="125">
        <v>0.0</v>
      </c>
      <c r="E415" s="125">
        <v>0.0</v>
      </c>
      <c r="F415" s="125">
        <v>0.0</v>
      </c>
      <c r="G415" s="125">
        <v>0.0</v>
      </c>
      <c r="H415" s="125">
        <v>0.0</v>
      </c>
      <c r="I415" s="125">
        <v>0.0</v>
      </c>
      <c r="J415" s="125">
        <v>0.0</v>
      </c>
      <c r="K415" s="125">
        <v>0.0</v>
      </c>
      <c r="L415" s="125">
        <v>0.0</v>
      </c>
    </row>
    <row r="416">
      <c r="A416" s="122" t="s">
        <v>528</v>
      </c>
      <c r="B416" s="122" t="s">
        <v>527</v>
      </c>
      <c r="C416" s="122" t="s">
        <v>1913</v>
      </c>
      <c r="D416" s="125">
        <v>0.0</v>
      </c>
      <c r="E416" s="125">
        <v>0.0</v>
      </c>
      <c r="F416" s="125">
        <v>0.0</v>
      </c>
      <c r="G416" s="125">
        <v>0.0</v>
      </c>
      <c r="H416" s="125">
        <v>0.0</v>
      </c>
      <c r="I416" s="125">
        <v>0.0</v>
      </c>
      <c r="J416" s="125">
        <v>0.0</v>
      </c>
      <c r="K416" s="125">
        <v>0.0</v>
      </c>
      <c r="L416" s="125">
        <v>0.0</v>
      </c>
    </row>
    <row r="417">
      <c r="A417" s="122" t="s">
        <v>557</v>
      </c>
      <c r="B417" s="122" t="s">
        <v>1849</v>
      </c>
      <c r="C417" s="122" t="s">
        <v>1913</v>
      </c>
      <c r="D417" s="125">
        <v>0.0</v>
      </c>
      <c r="E417" s="125">
        <v>0.0</v>
      </c>
      <c r="F417" s="125">
        <v>0.0</v>
      </c>
      <c r="G417" s="125">
        <v>0.0</v>
      </c>
      <c r="H417" s="125">
        <v>0.0</v>
      </c>
      <c r="I417" s="125">
        <v>0.0</v>
      </c>
      <c r="J417" s="125">
        <v>0.0</v>
      </c>
      <c r="K417" s="125">
        <v>0.0</v>
      </c>
      <c r="L417" s="125">
        <v>0.0</v>
      </c>
    </row>
    <row r="418">
      <c r="A418" s="122" t="s">
        <v>859</v>
      </c>
      <c r="B418" s="122" t="s">
        <v>858</v>
      </c>
      <c r="C418" s="122" t="s">
        <v>1913</v>
      </c>
      <c r="D418" s="125">
        <v>0.0</v>
      </c>
      <c r="E418" s="125">
        <v>0.0</v>
      </c>
      <c r="F418" s="125">
        <v>0.0</v>
      </c>
      <c r="G418" s="125">
        <v>0.0</v>
      </c>
      <c r="H418" s="125">
        <v>0.0</v>
      </c>
      <c r="I418" s="125">
        <v>0.0</v>
      </c>
      <c r="J418" s="125">
        <v>0.0</v>
      </c>
      <c r="K418" s="125">
        <v>0.0</v>
      </c>
      <c r="L418" s="125">
        <v>0.0</v>
      </c>
    </row>
    <row r="419">
      <c r="A419" s="122" t="s">
        <v>2242</v>
      </c>
      <c r="B419" s="122" t="s">
        <v>2080</v>
      </c>
      <c r="C419" s="122" t="s">
        <v>1913</v>
      </c>
      <c r="D419" s="125">
        <v>0.0</v>
      </c>
      <c r="E419" s="125">
        <v>0.0</v>
      </c>
      <c r="F419" s="125">
        <v>0.0</v>
      </c>
      <c r="G419" s="125">
        <v>0.0</v>
      </c>
      <c r="H419" s="125">
        <v>0.0</v>
      </c>
      <c r="I419" s="125">
        <v>0.0</v>
      </c>
      <c r="J419" s="125">
        <v>0.0</v>
      </c>
      <c r="K419" s="125">
        <v>0.0</v>
      </c>
      <c r="L419" s="125">
        <v>0.0</v>
      </c>
    </row>
    <row r="420">
      <c r="A420" s="122" t="s">
        <v>1104</v>
      </c>
      <c r="B420" s="122" t="s">
        <v>1935</v>
      </c>
      <c r="C420" s="122" t="s">
        <v>1913</v>
      </c>
      <c r="D420" s="125">
        <v>0.0</v>
      </c>
      <c r="E420" s="125">
        <v>0.0</v>
      </c>
      <c r="F420" s="125">
        <v>0.0</v>
      </c>
      <c r="G420" s="125">
        <v>0.0</v>
      </c>
      <c r="H420" s="125">
        <v>0.0</v>
      </c>
      <c r="I420" s="125">
        <v>0.0</v>
      </c>
      <c r="J420" s="125">
        <v>0.0</v>
      </c>
      <c r="K420" s="125">
        <v>0.0</v>
      </c>
      <c r="L420" s="125">
        <v>0.0</v>
      </c>
    </row>
    <row r="421">
      <c r="A421" s="122" t="s">
        <v>2243</v>
      </c>
      <c r="B421" s="122" t="s">
        <v>2244</v>
      </c>
      <c r="C421" s="122" t="s">
        <v>1913</v>
      </c>
      <c r="D421" s="125">
        <v>0.0</v>
      </c>
      <c r="E421" s="125">
        <v>0.0</v>
      </c>
      <c r="F421" s="125">
        <v>0.0</v>
      </c>
      <c r="G421" s="125">
        <v>0.0</v>
      </c>
      <c r="H421" s="125">
        <v>0.0</v>
      </c>
      <c r="I421" s="125">
        <v>0.0</v>
      </c>
      <c r="J421" s="125">
        <v>0.0</v>
      </c>
      <c r="K421" s="125">
        <v>0.0</v>
      </c>
      <c r="L421" s="125">
        <v>0.0</v>
      </c>
    </row>
    <row r="422">
      <c r="A422" s="122" t="s">
        <v>2245</v>
      </c>
      <c r="B422" s="122" t="s">
        <v>2025</v>
      </c>
      <c r="C422" s="122" t="s">
        <v>1913</v>
      </c>
      <c r="D422" s="125">
        <v>0.0</v>
      </c>
      <c r="E422" s="125">
        <v>0.0</v>
      </c>
      <c r="F422" s="125">
        <v>0.0</v>
      </c>
      <c r="G422" s="125">
        <v>0.0</v>
      </c>
      <c r="H422" s="125">
        <v>0.0</v>
      </c>
      <c r="I422" s="125">
        <v>0.0</v>
      </c>
      <c r="J422" s="125">
        <v>0.0</v>
      </c>
      <c r="K422" s="125">
        <v>0.0</v>
      </c>
      <c r="L422" s="125">
        <v>0.0</v>
      </c>
    </row>
    <row r="423">
      <c r="A423" s="122" t="s">
        <v>595</v>
      </c>
      <c r="B423" s="122" t="s">
        <v>2246</v>
      </c>
      <c r="C423" s="122" t="s">
        <v>1913</v>
      </c>
      <c r="D423" s="125">
        <v>0.0</v>
      </c>
      <c r="E423" s="125">
        <v>0.0</v>
      </c>
      <c r="F423" s="125">
        <v>0.0</v>
      </c>
      <c r="G423" s="125">
        <v>0.0</v>
      </c>
      <c r="H423" s="125">
        <v>0.0</v>
      </c>
      <c r="I423" s="125">
        <v>0.0</v>
      </c>
      <c r="J423" s="125">
        <v>0.0</v>
      </c>
      <c r="K423" s="125">
        <v>0.0</v>
      </c>
      <c r="L423" s="125">
        <v>0.0</v>
      </c>
    </row>
    <row r="424">
      <c r="A424" s="122" t="s">
        <v>707</v>
      </c>
      <c r="B424" s="122" t="s">
        <v>706</v>
      </c>
      <c r="C424" s="122" t="s">
        <v>1913</v>
      </c>
      <c r="D424" s="125">
        <v>0.0</v>
      </c>
      <c r="E424" s="125">
        <v>0.0</v>
      </c>
      <c r="F424" s="125">
        <v>0.0</v>
      </c>
      <c r="G424" s="125">
        <v>0.0</v>
      </c>
      <c r="H424" s="125">
        <v>0.0</v>
      </c>
      <c r="I424" s="125">
        <v>0.0</v>
      </c>
      <c r="J424" s="125">
        <v>0.0</v>
      </c>
      <c r="K424" s="125">
        <v>0.0</v>
      </c>
      <c r="L424" s="125">
        <v>0.0</v>
      </c>
    </row>
    <row r="425">
      <c r="A425" s="122" t="s">
        <v>854</v>
      </c>
      <c r="B425" s="122" t="s">
        <v>853</v>
      </c>
      <c r="C425" s="122" t="s">
        <v>1913</v>
      </c>
      <c r="D425" s="125">
        <v>0.0</v>
      </c>
      <c r="E425" s="125">
        <v>0.0</v>
      </c>
      <c r="F425" s="125">
        <v>0.0</v>
      </c>
      <c r="G425" s="125">
        <v>0.0</v>
      </c>
      <c r="H425" s="125">
        <v>0.0</v>
      </c>
      <c r="I425" s="125">
        <v>0.0</v>
      </c>
      <c r="J425" s="125">
        <v>0.0</v>
      </c>
      <c r="K425" s="125">
        <v>0.0</v>
      </c>
      <c r="L425" s="125">
        <v>0.0</v>
      </c>
    </row>
    <row r="426">
      <c r="A426" s="122" t="s">
        <v>662</v>
      </c>
      <c r="B426" s="122" t="s">
        <v>1881</v>
      </c>
      <c r="C426" s="122" t="s">
        <v>1913</v>
      </c>
      <c r="D426" s="125">
        <v>0.0</v>
      </c>
      <c r="E426" s="125">
        <v>0.0</v>
      </c>
      <c r="F426" s="125">
        <v>0.0</v>
      </c>
      <c r="G426" s="125">
        <v>0.0</v>
      </c>
      <c r="H426" s="125">
        <v>0.0</v>
      </c>
      <c r="I426" s="125">
        <v>0.0</v>
      </c>
      <c r="J426" s="125">
        <v>0.0</v>
      </c>
      <c r="K426" s="125">
        <v>0.0</v>
      </c>
      <c r="L426" s="125">
        <v>0.0</v>
      </c>
    </row>
    <row r="427">
      <c r="A427" s="122" t="s">
        <v>609</v>
      </c>
      <c r="B427" s="122" t="s">
        <v>608</v>
      </c>
      <c r="C427" s="122" t="s">
        <v>1913</v>
      </c>
      <c r="D427" s="125">
        <v>0.0</v>
      </c>
      <c r="E427" s="125">
        <v>0.0</v>
      </c>
      <c r="F427" s="125">
        <v>0.0</v>
      </c>
      <c r="G427" s="125">
        <v>0.0</v>
      </c>
      <c r="H427" s="125">
        <v>0.0</v>
      </c>
      <c r="I427" s="125">
        <v>0.0</v>
      </c>
      <c r="J427" s="125">
        <v>0.0</v>
      </c>
      <c r="K427" s="125">
        <v>0.0</v>
      </c>
      <c r="L427" s="125">
        <v>0.0</v>
      </c>
    </row>
    <row r="428">
      <c r="A428" s="122" t="s">
        <v>2247</v>
      </c>
      <c r="B428" s="122" t="s">
        <v>2093</v>
      </c>
      <c r="C428" s="122" t="s">
        <v>1913</v>
      </c>
      <c r="D428" s="125">
        <v>0.0</v>
      </c>
      <c r="E428" s="125">
        <v>0.0</v>
      </c>
      <c r="F428" s="125">
        <v>0.0</v>
      </c>
      <c r="G428" s="125">
        <v>0.0</v>
      </c>
      <c r="H428" s="125">
        <v>0.0</v>
      </c>
      <c r="I428" s="125">
        <v>0.0</v>
      </c>
      <c r="J428" s="125">
        <v>0.0</v>
      </c>
      <c r="K428" s="125">
        <v>0.0</v>
      </c>
      <c r="L428" s="125">
        <v>0.0</v>
      </c>
    </row>
    <row r="429">
      <c r="A429" s="122" t="s">
        <v>2248</v>
      </c>
      <c r="B429" s="122" t="s">
        <v>858</v>
      </c>
      <c r="C429" s="122" t="s">
        <v>1913</v>
      </c>
      <c r="D429" s="125">
        <v>0.0</v>
      </c>
      <c r="E429" s="125">
        <v>0.0</v>
      </c>
      <c r="F429" s="125">
        <v>0.0</v>
      </c>
      <c r="G429" s="125">
        <v>0.0</v>
      </c>
      <c r="H429" s="125">
        <v>0.0</v>
      </c>
      <c r="I429" s="125">
        <v>0.0</v>
      </c>
      <c r="J429" s="125">
        <v>0.0</v>
      </c>
      <c r="K429" s="125">
        <v>0.0</v>
      </c>
      <c r="L429" s="125">
        <v>0.0</v>
      </c>
    </row>
    <row r="430">
      <c r="A430" s="122" t="s">
        <v>666</v>
      </c>
      <c r="B430" s="122" t="s">
        <v>665</v>
      </c>
      <c r="C430" s="122" t="s">
        <v>1913</v>
      </c>
      <c r="D430" s="125">
        <v>0.0</v>
      </c>
      <c r="E430" s="125">
        <v>0.0</v>
      </c>
      <c r="F430" s="125">
        <v>0.0</v>
      </c>
      <c r="G430" s="125">
        <v>0.0</v>
      </c>
      <c r="H430" s="125">
        <v>0.0</v>
      </c>
      <c r="I430" s="125">
        <v>0.0</v>
      </c>
      <c r="J430" s="125">
        <v>0.0</v>
      </c>
      <c r="K430" s="125">
        <v>0.0</v>
      </c>
      <c r="L430" s="125">
        <v>0.0</v>
      </c>
    </row>
    <row r="431">
      <c r="A431" s="122" t="s">
        <v>2249</v>
      </c>
      <c r="B431" s="122" t="s">
        <v>2250</v>
      </c>
      <c r="C431" s="122" t="s">
        <v>1913</v>
      </c>
      <c r="D431" s="125">
        <v>0.0</v>
      </c>
      <c r="E431" s="125">
        <v>0.0</v>
      </c>
      <c r="F431" s="125">
        <v>0.0</v>
      </c>
      <c r="G431" s="125">
        <v>0.0</v>
      </c>
      <c r="H431" s="125">
        <v>0.0</v>
      </c>
      <c r="I431" s="125">
        <v>0.0</v>
      </c>
      <c r="J431" s="125">
        <v>0.0</v>
      </c>
      <c r="K431" s="125">
        <v>0.0</v>
      </c>
      <c r="L431" s="125">
        <v>0.0</v>
      </c>
    </row>
    <row r="432">
      <c r="A432" s="122" t="s">
        <v>2251</v>
      </c>
      <c r="B432" s="122" t="s">
        <v>2252</v>
      </c>
      <c r="C432" s="122" t="s">
        <v>1913</v>
      </c>
      <c r="D432" s="125">
        <v>0.0</v>
      </c>
      <c r="E432" s="125">
        <v>0.0</v>
      </c>
      <c r="F432" s="125">
        <v>0.0</v>
      </c>
      <c r="G432" s="125">
        <v>0.0</v>
      </c>
      <c r="H432" s="125">
        <v>0.0</v>
      </c>
      <c r="I432" s="125">
        <v>0.0</v>
      </c>
      <c r="J432" s="125">
        <v>0.0</v>
      </c>
      <c r="K432" s="125">
        <v>0.0</v>
      </c>
      <c r="L432" s="125">
        <v>2.0</v>
      </c>
    </row>
    <row r="433">
      <c r="A433" s="122" t="s">
        <v>2253</v>
      </c>
      <c r="B433" s="122" t="s">
        <v>2254</v>
      </c>
      <c r="C433" s="122" t="s">
        <v>1913</v>
      </c>
      <c r="D433" s="125">
        <v>0.0</v>
      </c>
      <c r="E433" s="125">
        <v>1.0</v>
      </c>
      <c r="F433" s="125">
        <v>1.0</v>
      </c>
      <c r="G433" s="125">
        <v>0.0</v>
      </c>
      <c r="H433" s="125">
        <v>1.0</v>
      </c>
      <c r="I433" s="125">
        <v>0.0</v>
      </c>
      <c r="J433" s="125">
        <v>0.0</v>
      </c>
      <c r="K433" s="125">
        <v>1.0</v>
      </c>
      <c r="L433" s="125">
        <v>46.0</v>
      </c>
    </row>
    <row r="434">
      <c r="A434" s="122" t="s">
        <v>2255</v>
      </c>
      <c r="B434" s="122" t="s">
        <v>2256</v>
      </c>
      <c r="C434" s="122" t="s">
        <v>1913</v>
      </c>
      <c r="D434" s="125">
        <v>0.0</v>
      </c>
      <c r="E434" s="125">
        <v>0.0</v>
      </c>
      <c r="F434" s="125">
        <v>0.0</v>
      </c>
      <c r="G434" s="125">
        <v>0.0</v>
      </c>
      <c r="H434" s="125">
        <v>0.0</v>
      </c>
      <c r="I434" s="125">
        <v>0.0</v>
      </c>
      <c r="J434" s="125">
        <v>0.0</v>
      </c>
      <c r="K434" s="125">
        <v>0.0</v>
      </c>
      <c r="L434" s="125">
        <v>4.0</v>
      </c>
    </row>
    <row r="435">
      <c r="A435" s="122" t="s">
        <v>2257</v>
      </c>
      <c r="B435" s="122" t="s">
        <v>2258</v>
      </c>
      <c r="C435" s="122" t="s">
        <v>1913</v>
      </c>
      <c r="D435" s="125">
        <v>0.0</v>
      </c>
      <c r="E435" s="125">
        <v>2.0</v>
      </c>
      <c r="F435" s="125">
        <v>1.0</v>
      </c>
      <c r="G435" s="125">
        <v>4.0</v>
      </c>
      <c r="H435" s="125">
        <v>2.0</v>
      </c>
      <c r="I435" s="125">
        <v>1.0</v>
      </c>
      <c r="J435" s="125">
        <v>0.0</v>
      </c>
      <c r="K435" s="125">
        <v>2.0</v>
      </c>
      <c r="L435" s="125">
        <v>23.0</v>
      </c>
    </row>
    <row r="436">
      <c r="A436" s="122" t="s">
        <v>2259</v>
      </c>
      <c r="B436" s="122" t="s">
        <v>2260</v>
      </c>
      <c r="C436" s="122" t="s">
        <v>1913</v>
      </c>
      <c r="D436" s="125">
        <v>0.0</v>
      </c>
      <c r="E436" s="125">
        <v>0.0</v>
      </c>
      <c r="F436" s="125">
        <v>0.0</v>
      </c>
      <c r="G436" s="125">
        <v>0.0</v>
      </c>
      <c r="H436" s="125">
        <v>0.0</v>
      </c>
      <c r="I436" s="125">
        <v>0.0</v>
      </c>
      <c r="J436" s="125">
        <v>0.0</v>
      </c>
      <c r="K436" s="125">
        <v>0.0</v>
      </c>
      <c r="L436" s="125">
        <v>0.0</v>
      </c>
    </row>
    <row r="437">
      <c r="A437" s="122" t="s">
        <v>2261</v>
      </c>
      <c r="B437" s="122" t="s">
        <v>2262</v>
      </c>
      <c r="C437" s="122" t="s">
        <v>1829</v>
      </c>
      <c r="D437" s="125">
        <v>0.0</v>
      </c>
      <c r="E437" s="125">
        <v>0.0</v>
      </c>
      <c r="F437" s="125">
        <v>0.0</v>
      </c>
      <c r="G437" s="125">
        <v>0.0</v>
      </c>
      <c r="H437" s="125">
        <v>0.0</v>
      </c>
      <c r="I437" s="125">
        <v>0.0</v>
      </c>
      <c r="J437" s="125">
        <v>0.0</v>
      </c>
      <c r="K437" s="125">
        <v>0.0</v>
      </c>
      <c r="L437" s="125">
        <v>0.0</v>
      </c>
    </row>
    <row r="438">
      <c r="A438" s="122" t="s">
        <v>2263</v>
      </c>
      <c r="B438" s="122" t="s">
        <v>2264</v>
      </c>
      <c r="C438" s="122" t="s">
        <v>1829</v>
      </c>
      <c r="D438" s="125">
        <v>0.0</v>
      </c>
      <c r="E438" s="125">
        <v>0.0</v>
      </c>
      <c r="F438" s="125">
        <v>0.0</v>
      </c>
      <c r="G438" s="125">
        <v>0.0</v>
      </c>
      <c r="H438" s="125">
        <v>0.0</v>
      </c>
      <c r="I438" s="125">
        <v>0.0</v>
      </c>
      <c r="J438" s="125">
        <v>0.0</v>
      </c>
      <c r="K438" s="125">
        <v>0.0</v>
      </c>
      <c r="L438" s="125">
        <v>0.0</v>
      </c>
    </row>
    <row r="439">
      <c r="A439" s="122" t="s">
        <v>2265</v>
      </c>
      <c r="B439" s="122" t="s">
        <v>2266</v>
      </c>
      <c r="C439" s="122" t="s">
        <v>1829</v>
      </c>
      <c r="D439" s="125">
        <v>0.0</v>
      </c>
      <c r="E439" s="125">
        <v>0.0</v>
      </c>
      <c r="F439" s="125">
        <v>0.0</v>
      </c>
      <c r="G439" s="125">
        <v>0.0</v>
      </c>
      <c r="H439" s="125">
        <v>0.0</v>
      </c>
      <c r="I439" s="125">
        <v>0.0</v>
      </c>
      <c r="J439" s="125">
        <v>0.0</v>
      </c>
      <c r="K439" s="125">
        <v>0.0</v>
      </c>
      <c r="L439" s="125">
        <v>0.0</v>
      </c>
    </row>
    <row r="440">
      <c r="A440" s="122" t="s">
        <v>2267</v>
      </c>
      <c r="B440" s="122" t="s">
        <v>2268</v>
      </c>
      <c r="C440" s="122" t="s">
        <v>1829</v>
      </c>
      <c r="D440" s="125">
        <v>0.0</v>
      </c>
      <c r="E440" s="125">
        <v>0.0</v>
      </c>
      <c r="F440" s="125">
        <v>0.0</v>
      </c>
      <c r="G440" s="125">
        <v>0.0</v>
      </c>
      <c r="H440" s="125">
        <v>0.0</v>
      </c>
      <c r="I440" s="125">
        <v>0.0</v>
      </c>
      <c r="J440" s="125">
        <v>0.0</v>
      </c>
      <c r="K440" s="125">
        <v>0.0</v>
      </c>
      <c r="L440" s="125">
        <v>0.0</v>
      </c>
    </row>
    <row r="441">
      <c r="A441" s="122" t="s">
        <v>2269</v>
      </c>
      <c r="B441" s="122" t="s">
        <v>2270</v>
      </c>
      <c r="C441" s="122" t="s">
        <v>1829</v>
      </c>
      <c r="D441" s="125">
        <v>0.0</v>
      </c>
      <c r="E441" s="125">
        <v>0.0</v>
      </c>
      <c r="F441" s="125">
        <v>0.0</v>
      </c>
      <c r="G441" s="125">
        <v>0.0</v>
      </c>
      <c r="H441" s="125">
        <v>0.0</v>
      </c>
      <c r="I441" s="125">
        <v>0.0</v>
      </c>
      <c r="J441" s="125">
        <v>0.0</v>
      </c>
      <c r="K441" s="125">
        <v>0.0</v>
      </c>
      <c r="L441" s="125">
        <v>0.0</v>
      </c>
    </row>
    <row r="442">
      <c r="A442" s="122" t="s">
        <v>2271</v>
      </c>
      <c r="B442" s="122" t="s">
        <v>2272</v>
      </c>
      <c r="C442" s="122" t="s">
        <v>1829</v>
      </c>
      <c r="D442" s="125">
        <v>0.0</v>
      </c>
      <c r="E442" s="125">
        <v>0.0</v>
      </c>
      <c r="F442" s="125">
        <v>0.0</v>
      </c>
      <c r="G442" s="125">
        <v>0.0</v>
      </c>
      <c r="H442" s="125">
        <v>0.0</v>
      </c>
      <c r="I442" s="125">
        <v>0.0</v>
      </c>
      <c r="J442" s="125">
        <v>0.0</v>
      </c>
      <c r="K442" s="125">
        <v>0.0</v>
      </c>
      <c r="L442" s="125">
        <v>0.0</v>
      </c>
    </row>
    <row r="443">
      <c r="A443" s="122" t="s">
        <v>2273</v>
      </c>
      <c r="B443" s="122" t="s">
        <v>2193</v>
      </c>
      <c r="C443" s="122" t="s">
        <v>1829</v>
      </c>
      <c r="D443" s="125">
        <v>0.0</v>
      </c>
      <c r="E443" s="125">
        <v>0.0</v>
      </c>
      <c r="F443" s="125">
        <v>0.0</v>
      </c>
      <c r="G443" s="125">
        <v>0.0</v>
      </c>
      <c r="H443" s="125">
        <v>0.0</v>
      </c>
      <c r="I443" s="125">
        <v>0.0</v>
      </c>
      <c r="J443" s="125">
        <v>0.0</v>
      </c>
      <c r="K443" s="125">
        <v>0.0</v>
      </c>
      <c r="L443" s="125">
        <v>0.0</v>
      </c>
    </row>
    <row r="444">
      <c r="A444" s="122" t="s">
        <v>2274</v>
      </c>
      <c r="B444" s="122" t="s">
        <v>2275</v>
      </c>
      <c r="C444" s="122" t="s">
        <v>1829</v>
      </c>
      <c r="D444" s="125">
        <v>0.0</v>
      </c>
      <c r="E444" s="125">
        <v>0.0</v>
      </c>
      <c r="F444" s="125">
        <v>0.0</v>
      </c>
      <c r="G444" s="125">
        <v>0.0</v>
      </c>
      <c r="H444" s="125">
        <v>0.0</v>
      </c>
      <c r="I444" s="125">
        <v>0.0</v>
      </c>
      <c r="J444" s="125">
        <v>0.0</v>
      </c>
      <c r="K444" s="125">
        <v>0.0</v>
      </c>
      <c r="L444" s="125">
        <v>0.0</v>
      </c>
    </row>
    <row r="445">
      <c r="A445" s="122" t="s">
        <v>2276</v>
      </c>
      <c r="B445" s="122" t="s">
        <v>2199</v>
      </c>
      <c r="C445" s="122" t="s">
        <v>1829</v>
      </c>
      <c r="D445" s="125">
        <v>0.0</v>
      </c>
      <c r="E445" s="125">
        <v>0.0</v>
      </c>
      <c r="F445" s="125">
        <v>0.0</v>
      </c>
      <c r="G445" s="125">
        <v>0.0</v>
      </c>
      <c r="H445" s="125">
        <v>0.0</v>
      </c>
      <c r="I445" s="125">
        <v>0.0</v>
      </c>
      <c r="J445" s="125">
        <v>0.0</v>
      </c>
      <c r="K445" s="125">
        <v>0.0</v>
      </c>
      <c r="L445" s="125">
        <v>0.0</v>
      </c>
    </row>
    <row r="446">
      <c r="A446" s="122" t="s">
        <v>2277</v>
      </c>
      <c r="B446" s="122" t="s">
        <v>2199</v>
      </c>
      <c r="C446" s="122" t="s">
        <v>1829</v>
      </c>
      <c r="D446" s="125">
        <v>0.0</v>
      </c>
      <c r="E446" s="125">
        <v>0.0</v>
      </c>
      <c r="F446" s="125">
        <v>0.0</v>
      </c>
      <c r="G446" s="125">
        <v>0.0</v>
      </c>
      <c r="H446" s="125">
        <v>0.0</v>
      </c>
      <c r="I446" s="125">
        <v>0.0</v>
      </c>
      <c r="J446" s="125">
        <v>0.0</v>
      </c>
      <c r="K446" s="125">
        <v>0.0</v>
      </c>
      <c r="L446" s="125">
        <v>0.0</v>
      </c>
    </row>
    <row r="447">
      <c r="A447" s="122" t="s">
        <v>2278</v>
      </c>
      <c r="B447" s="122" t="s">
        <v>2279</v>
      </c>
      <c r="C447" s="122" t="s">
        <v>1829</v>
      </c>
      <c r="D447" s="125">
        <v>0.0</v>
      </c>
      <c r="E447" s="125">
        <v>0.0</v>
      </c>
      <c r="F447" s="125">
        <v>0.0</v>
      </c>
      <c r="G447" s="125">
        <v>0.0</v>
      </c>
      <c r="H447" s="125">
        <v>0.0</v>
      </c>
      <c r="I447" s="125">
        <v>0.0</v>
      </c>
      <c r="J447" s="125">
        <v>0.0</v>
      </c>
      <c r="K447" s="125">
        <v>0.0</v>
      </c>
      <c r="L447" s="125">
        <v>0.0</v>
      </c>
    </row>
    <row r="448">
      <c r="A448" s="122" t="s">
        <v>2280</v>
      </c>
      <c r="B448" s="122" t="s">
        <v>2281</v>
      </c>
      <c r="C448" s="122" t="s">
        <v>1829</v>
      </c>
      <c r="D448" s="125">
        <v>0.0</v>
      </c>
      <c r="E448" s="125">
        <v>0.0</v>
      </c>
      <c r="F448" s="125">
        <v>0.0</v>
      </c>
      <c r="G448" s="125">
        <v>0.0</v>
      </c>
      <c r="H448" s="125">
        <v>0.0</v>
      </c>
      <c r="I448" s="125">
        <v>0.0</v>
      </c>
      <c r="J448" s="125">
        <v>0.0</v>
      </c>
      <c r="K448" s="125">
        <v>0.0</v>
      </c>
      <c r="L448" s="125">
        <v>0.0</v>
      </c>
    </row>
    <row r="449">
      <c r="A449" s="122" t="s">
        <v>1336</v>
      </c>
      <c r="B449" s="122" t="s">
        <v>2282</v>
      </c>
      <c r="C449" s="122" t="s">
        <v>1831</v>
      </c>
      <c r="D449" s="125">
        <v>2.0</v>
      </c>
      <c r="E449" s="125">
        <v>0.0</v>
      </c>
      <c r="F449" s="125">
        <v>1.0</v>
      </c>
      <c r="G449" s="125">
        <v>0.0</v>
      </c>
      <c r="H449" s="125">
        <v>0.0</v>
      </c>
      <c r="I449" s="125">
        <v>0.0</v>
      </c>
      <c r="J449" s="125">
        <v>0.0</v>
      </c>
      <c r="K449" s="125">
        <v>0.0</v>
      </c>
      <c r="L449" s="125">
        <v>18.0</v>
      </c>
    </row>
    <row r="450">
      <c r="A450" s="122" t="s">
        <v>1363</v>
      </c>
      <c r="B450" s="122" t="s">
        <v>2283</v>
      </c>
      <c r="C450" s="122" t="s">
        <v>1831</v>
      </c>
      <c r="D450" s="125">
        <v>6.0</v>
      </c>
      <c r="E450" s="125">
        <v>6.0</v>
      </c>
      <c r="F450" s="125">
        <v>4.0</v>
      </c>
      <c r="G450" s="125">
        <v>3.0</v>
      </c>
      <c r="H450" s="125">
        <v>11.0</v>
      </c>
      <c r="I450" s="125">
        <v>6.0</v>
      </c>
      <c r="J450" s="125">
        <v>0.0</v>
      </c>
      <c r="K450" s="125">
        <v>6.0</v>
      </c>
      <c r="L450" s="125">
        <v>88.0</v>
      </c>
    </row>
    <row r="451">
      <c r="A451" s="122" t="s">
        <v>2284</v>
      </c>
      <c r="B451" s="122" t="s">
        <v>2285</v>
      </c>
      <c r="C451" s="122" t="s">
        <v>1913</v>
      </c>
      <c r="D451" s="125">
        <v>0.0</v>
      </c>
      <c r="E451" s="125">
        <v>15.0</v>
      </c>
      <c r="F451" s="125">
        <v>13.0</v>
      </c>
      <c r="G451" s="125">
        <v>12.0</v>
      </c>
      <c r="H451" s="125">
        <v>6.0</v>
      </c>
      <c r="I451" s="125">
        <v>3.0</v>
      </c>
      <c r="J451" s="125">
        <v>0.0</v>
      </c>
      <c r="K451" s="125">
        <v>10.0</v>
      </c>
      <c r="L451" s="125">
        <v>13.0</v>
      </c>
    </row>
    <row r="452">
      <c r="A452" s="122" t="s">
        <v>2286</v>
      </c>
      <c r="B452" s="122" t="s">
        <v>2287</v>
      </c>
      <c r="C452" s="122" t="s">
        <v>1829</v>
      </c>
      <c r="D452" s="125">
        <v>0.0</v>
      </c>
      <c r="E452" s="125">
        <v>0.0</v>
      </c>
      <c r="F452" s="125">
        <v>0.0</v>
      </c>
      <c r="G452" s="125">
        <v>0.0</v>
      </c>
      <c r="H452" s="125">
        <v>0.0</v>
      </c>
      <c r="I452" s="125">
        <v>0.0</v>
      </c>
      <c r="J452" s="125">
        <v>0.0</v>
      </c>
      <c r="K452" s="125">
        <v>0.0</v>
      </c>
      <c r="L452" s="125">
        <v>0.0</v>
      </c>
    </row>
    <row r="453">
      <c r="A453" s="122" t="s">
        <v>1339</v>
      </c>
      <c r="B453" s="122" t="s">
        <v>2288</v>
      </c>
      <c r="C453" s="122" t="s">
        <v>1831</v>
      </c>
      <c r="D453" s="125">
        <v>2.0</v>
      </c>
      <c r="E453" s="125">
        <v>0.0</v>
      </c>
      <c r="F453" s="125">
        <v>0.0</v>
      </c>
      <c r="G453" s="125">
        <v>1.0</v>
      </c>
      <c r="H453" s="125">
        <v>0.0</v>
      </c>
      <c r="I453" s="125">
        <v>0.0</v>
      </c>
      <c r="J453" s="125">
        <v>0.0</v>
      </c>
      <c r="K453" s="125">
        <v>0.0</v>
      </c>
      <c r="L453" s="125">
        <v>5.0</v>
      </c>
    </row>
    <row r="454">
      <c r="A454" s="122" t="s">
        <v>1285</v>
      </c>
      <c r="B454" s="122" t="s">
        <v>2289</v>
      </c>
      <c r="C454" s="122" t="s">
        <v>1831</v>
      </c>
      <c r="D454" s="125">
        <v>2.0</v>
      </c>
      <c r="E454" s="125">
        <v>1.0</v>
      </c>
      <c r="F454" s="125">
        <v>3.0</v>
      </c>
      <c r="G454" s="125">
        <v>0.0</v>
      </c>
      <c r="H454" s="125">
        <v>5.0</v>
      </c>
      <c r="I454" s="125">
        <v>0.0</v>
      </c>
      <c r="J454" s="125">
        <v>0.0</v>
      </c>
      <c r="K454" s="125">
        <v>2.0</v>
      </c>
      <c r="L454" s="125">
        <v>0.0</v>
      </c>
    </row>
    <row r="455">
      <c r="A455" s="122" t="s">
        <v>1351</v>
      </c>
      <c r="B455" s="122" t="s">
        <v>1353</v>
      </c>
      <c r="C455" s="122" t="s">
        <v>1831</v>
      </c>
      <c r="D455" s="125">
        <v>10.0</v>
      </c>
      <c r="E455" s="125">
        <v>3.0</v>
      </c>
      <c r="F455" s="125">
        <v>0.0</v>
      </c>
      <c r="G455" s="125">
        <v>0.0</v>
      </c>
      <c r="H455" s="125">
        <v>0.0</v>
      </c>
      <c r="I455" s="125">
        <v>1.0</v>
      </c>
      <c r="J455" s="125">
        <v>0.0</v>
      </c>
      <c r="K455" s="125">
        <v>1.0</v>
      </c>
      <c r="L455" s="125">
        <v>0.0</v>
      </c>
    </row>
    <row r="456">
      <c r="A456" s="122" t="s">
        <v>1237</v>
      </c>
      <c r="B456" s="122" t="s">
        <v>2290</v>
      </c>
      <c r="C456" s="122" t="s">
        <v>1829</v>
      </c>
      <c r="D456" s="125">
        <v>0.0</v>
      </c>
      <c r="E456" s="125">
        <v>0.0</v>
      </c>
      <c r="F456" s="125">
        <v>0.0</v>
      </c>
      <c r="G456" s="125">
        <v>0.0</v>
      </c>
      <c r="H456" s="125">
        <v>0.0</v>
      </c>
      <c r="I456" s="125">
        <v>0.0</v>
      </c>
      <c r="J456" s="125">
        <v>0.0</v>
      </c>
      <c r="K456" s="125">
        <v>0.0</v>
      </c>
      <c r="L456" s="125">
        <v>0.0</v>
      </c>
    </row>
    <row r="457">
      <c r="A457" s="122" t="s">
        <v>1282</v>
      </c>
      <c r="B457" s="122" t="s">
        <v>1284</v>
      </c>
      <c r="C457" s="122" t="s">
        <v>1831</v>
      </c>
      <c r="D457" s="125">
        <v>1.0</v>
      </c>
      <c r="E457" s="125">
        <v>1.0</v>
      </c>
      <c r="F457" s="125">
        <v>0.0</v>
      </c>
      <c r="G457" s="125">
        <v>0.0</v>
      </c>
      <c r="H457" s="125">
        <v>0.0</v>
      </c>
      <c r="I457" s="125">
        <v>0.0</v>
      </c>
      <c r="J457" s="125">
        <v>0.0</v>
      </c>
      <c r="K457" s="125">
        <v>0.0</v>
      </c>
      <c r="L457" s="125">
        <v>7.0</v>
      </c>
    </row>
    <row r="458">
      <c r="A458" s="122" t="s">
        <v>1369</v>
      </c>
      <c r="B458" s="122" t="s">
        <v>2291</v>
      </c>
      <c r="C458" s="122" t="s">
        <v>1825</v>
      </c>
      <c r="D458" s="125">
        <v>30.0</v>
      </c>
      <c r="E458" s="125">
        <v>0.0</v>
      </c>
      <c r="F458" s="125">
        <v>10.0</v>
      </c>
      <c r="G458" s="125">
        <v>11.0</v>
      </c>
      <c r="H458" s="125">
        <v>14.0</v>
      </c>
      <c r="I458" s="125">
        <v>7.0</v>
      </c>
      <c r="J458" s="125">
        <v>0.0</v>
      </c>
      <c r="K458" s="125">
        <v>8.0</v>
      </c>
      <c r="L458" s="125">
        <v>802.0</v>
      </c>
    </row>
    <row r="459">
      <c r="A459" s="122" t="s">
        <v>1354</v>
      </c>
      <c r="B459" s="122" t="s">
        <v>2292</v>
      </c>
      <c r="C459" s="122" t="s">
        <v>1831</v>
      </c>
      <c r="D459" s="125">
        <v>20.0</v>
      </c>
      <c r="E459" s="125">
        <v>20.0</v>
      </c>
      <c r="F459" s="125">
        <v>10.0</v>
      </c>
      <c r="G459" s="125">
        <v>22.0</v>
      </c>
      <c r="H459" s="125">
        <v>44.0</v>
      </c>
      <c r="I459" s="125">
        <v>57.0</v>
      </c>
      <c r="J459" s="125">
        <v>2.0</v>
      </c>
      <c r="K459" s="125">
        <v>31.0</v>
      </c>
      <c r="L459" s="125">
        <v>332.0</v>
      </c>
    </row>
    <row r="460">
      <c r="A460" s="122" t="s">
        <v>1366</v>
      </c>
      <c r="B460" s="122" t="s">
        <v>2293</v>
      </c>
      <c r="C460" s="122" t="s">
        <v>1825</v>
      </c>
      <c r="D460" s="125">
        <v>20.0</v>
      </c>
      <c r="E460" s="125">
        <v>74.0</v>
      </c>
      <c r="F460" s="125">
        <v>18.0</v>
      </c>
      <c r="G460" s="125">
        <v>43.0</v>
      </c>
      <c r="H460" s="125">
        <v>85.0</v>
      </c>
      <c r="I460" s="125">
        <v>70.0</v>
      </c>
      <c r="J460" s="125">
        <v>7.0</v>
      </c>
      <c r="K460" s="125">
        <v>58.0</v>
      </c>
      <c r="L460" s="125">
        <v>0.0</v>
      </c>
    </row>
    <row r="461">
      <c r="A461" s="122" t="s">
        <v>1360</v>
      </c>
      <c r="B461" s="122" t="s">
        <v>2294</v>
      </c>
      <c r="C461" s="122" t="s">
        <v>1831</v>
      </c>
      <c r="D461" s="125">
        <v>40.0</v>
      </c>
      <c r="E461" s="125">
        <v>43.0</v>
      </c>
      <c r="F461" s="125">
        <v>54.0</v>
      </c>
      <c r="G461" s="125">
        <v>48.0</v>
      </c>
      <c r="H461" s="125">
        <v>59.0</v>
      </c>
      <c r="I461" s="125">
        <v>58.0</v>
      </c>
      <c r="J461" s="125">
        <v>5.0</v>
      </c>
      <c r="K461" s="125">
        <v>52.0</v>
      </c>
      <c r="L461" s="125">
        <v>110.0</v>
      </c>
    </row>
    <row r="462">
      <c r="A462" s="122" t="s">
        <v>1342</v>
      </c>
      <c r="B462" s="122" t="s">
        <v>2295</v>
      </c>
      <c r="C462" s="122" t="s">
        <v>1831</v>
      </c>
      <c r="D462" s="125">
        <v>7.0</v>
      </c>
      <c r="E462" s="125">
        <v>5.0</v>
      </c>
      <c r="F462" s="125">
        <v>7.0</v>
      </c>
      <c r="G462" s="125">
        <v>3.0</v>
      </c>
      <c r="H462" s="125">
        <v>0.0</v>
      </c>
      <c r="I462" s="125">
        <v>6.0</v>
      </c>
      <c r="J462" s="125">
        <v>0.0</v>
      </c>
      <c r="K462" s="125">
        <v>4.0</v>
      </c>
      <c r="L462" s="125">
        <v>276.0</v>
      </c>
    </row>
    <row r="463">
      <c r="A463" s="122" t="s">
        <v>1407</v>
      </c>
      <c r="B463" s="122" t="s">
        <v>2296</v>
      </c>
      <c r="C463" s="122" t="s">
        <v>1825</v>
      </c>
      <c r="D463" s="125">
        <v>7.0</v>
      </c>
      <c r="E463" s="125">
        <v>1.0</v>
      </c>
      <c r="F463" s="125">
        <v>5.0</v>
      </c>
      <c r="G463" s="125">
        <v>8.0</v>
      </c>
      <c r="H463" s="125">
        <v>3.0</v>
      </c>
      <c r="I463" s="125">
        <v>4.0</v>
      </c>
      <c r="J463" s="125">
        <v>2.0</v>
      </c>
      <c r="K463" s="125">
        <v>4.0</v>
      </c>
      <c r="L463" s="125">
        <v>54.0</v>
      </c>
    </row>
    <row r="464">
      <c r="A464" s="122" t="s">
        <v>1348</v>
      </c>
      <c r="B464" s="122" t="s">
        <v>2297</v>
      </c>
      <c r="C464" s="122" t="s">
        <v>1831</v>
      </c>
      <c r="D464" s="125">
        <v>4.0</v>
      </c>
      <c r="E464" s="125">
        <v>6.0</v>
      </c>
      <c r="F464" s="125">
        <v>0.0</v>
      </c>
      <c r="G464" s="125">
        <v>2.0</v>
      </c>
      <c r="H464" s="125">
        <v>3.0</v>
      </c>
      <c r="I464" s="125">
        <v>2.0</v>
      </c>
      <c r="J464" s="125">
        <v>0.0</v>
      </c>
      <c r="K464" s="125">
        <v>3.0</v>
      </c>
      <c r="L464" s="125">
        <v>67.0</v>
      </c>
    </row>
    <row r="465">
      <c r="A465" s="122" t="s">
        <v>1345</v>
      </c>
      <c r="B465" s="122" t="s">
        <v>1347</v>
      </c>
      <c r="C465" s="122" t="s">
        <v>1825</v>
      </c>
      <c r="D465" s="125">
        <v>20.0</v>
      </c>
      <c r="E465" s="125">
        <v>11.0</v>
      </c>
      <c r="F465" s="125">
        <v>15.0</v>
      </c>
      <c r="G465" s="125">
        <v>42.0</v>
      </c>
      <c r="H465" s="125">
        <v>2.0</v>
      </c>
      <c r="I465" s="125">
        <v>8.0</v>
      </c>
      <c r="J465" s="125">
        <v>0.0</v>
      </c>
      <c r="K465" s="125">
        <v>16.0</v>
      </c>
      <c r="L465" s="125">
        <v>201.0</v>
      </c>
    </row>
    <row r="466">
      <c r="A466" s="122" t="s">
        <v>2298</v>
      </c>
      <c r="B466" s="122" t="s">
        <v>2299</v>
      </c>
      <c r="C466" s="122" t="s">
        <v>1913</v>
      </c>
      <c r="D466" s="125">
        <v>0.0</v>
      </c>
      <c r="E466" s="125">
        <v>0.0</v>
      </c>
      <c r="F466" s="125">
        <v>2.0</v>
      </c>
      <c r="G466" s="125">
        <v>0.0</v>
      </c>
      <c r="H466" s="125">
        <v>0.0</v>
      </c>
      <c r="I466" s="125">
        <v>2.0</v>
      </c>
      <c r="J466" s="125">
        <v>0.0</v>
      </c>
      <c r="K466" s="125">
        <v>1.0</v>
      </c>
      <c r="L466" s="125">
        <v>34.0</v>
      </c>
    </row>
    <row r="467">
      <c r="A467" s="122" t="s">
        <v>2300</v>
      </c>
      <c r="B467" s="122" t="s">
        <v>2301</v>
      </c>
      <c r="C467" s="122" t="s">
        <v>1913</v>
      </c>
      <c r="D467" s="125">
        <v>0.0</v>
      </c>
      <c r="E467" s="125">
        <v>1.0</v>
      </c>
      <c r="F467" s="125">
        <v>0.0</v>
      </c>
      <c r="G467" s="125">
        <v>1.0</v>
      </c>
      <c r="H467" s="125">
        <v>0.0</v>
      </c>
      <c r="I467" s="125">
        <v>0.0</v>
      </c>
      <c r="J467" s="125">
        <v>0.0</v>
      </c>
      <c r="K467" s="125">
        <v>0.0</v>
      </c>
      <c r="L467" s="125">
        <v>48.0</v>
      </c>
    </row>
    <row r="468">
      <c r="A468" s="122" t="s">
        <v>2302</v>
      </c>
      <c r="B468" s="122" t="s">
        <v>2303</v>
      </c>
      <c r="C468" s="122" t="s">
        <v>1913</v>
      </c>
      <c r="D468" s="125">
        <v>0.0</v>
      </c>
      <c r="E468" s="125">
        <v>3.0</v>
      </c>
      <c r="F468" s="125">
        <v>3.0</v>
      </c>
      <c r="G468" s="125">
        <v>9.0</v>
      </c>
      <c r="H468" s="125">
        <v>0.0</v>
      </c>
      <c r="I468" s="125">
        <v>2.0</v>
      </c>
      <c r="J468" s="125">
        <v>0.0</v>
      </c>
      <c r="K468" s="125">
        <v>3.0</v>
      </c>
      <c r="L468" s="125">
        <v>12.0</v>
      </c>
    </row>
    <row r="469">
      <c r="A469" s="122" t="s">
        <v>2304</v>
      </c>
      <c r="B469" s="122" t="s">
        <v>2305</v>
      </c>
      <c r="C469" s="122" t="s">
        <v>1913</v>
      </c>
      <c r="D469" s="125">
        <v>0.0</v>
      </c>
      <c r="E469" s="125">
        <v>1.0</v>
      </c>
      <c r="F469" s="125">
        <v>0.0</v>
      </c>
      <c r="G469" s="125">
        <v>0.0</v>
      </c>
      <c r="H469" s="125">
        <v>0.0</v>
      </c>
      <c r="I469" s="125">
        <v>0.0</v>
      </c>
      <c r="J469" s="125">
        <v>0.0</v>
      </c>
      <c r="K469" s="125">
        <v>0.0</v>
      </c>
      <c r="L469" s="125">
        <v>11.0</v>
      </c>
    </row>
    <row r="470">
      <c r="A470" s="122" t="s">
        <v>2306</v>
      </c>
      <c r="B470" s="122" t="s">
        <v>2307</v>
      </c>
      <c r="C470" s="122" t="s">
        <v>1913</v>
      </c>
      <c r="D470" s="125">
        <v>0.0</v>
      </c>
      <c r="E470" s="125">
        <v>1.0</v>
      </c>
      <c r="F470" s="125">
        <v>2.0</v>
      </c>
      <c r="G470" s="125">
        <v>4.0</v>
      </c>
      <c r="H470" s="125">
        <v>0.0</v>
      </c>
      <c r="I470" s="125">
        <v>1.0</v>
      </c>
      <c r="J470" s="125">
        <v>0.0</v>
      </c>
      <c r="K470" s="125">
        <v>2.0</v>
      </c>
      <c r="L470" s="125">
        <v>35.0</v>
      </c>
    </row>
    <row r="471">
      <c r="A471" s="122" t="s">
        <v>2308</v>
      </c>
      <c r="B471" s="122" t="s">
        <v>2309</v>
      </c>
      <c r="C471" s="122" t="s">
        <v>1913</v>
      </c>
      <c r="D471" s="125">
        <v>0.0</v>
      </c>
      <c r="E471" s="125">
        <v>0.0</v>
      </c>
      <c r="F471" s="125">
        <v>0.0</v>
      </c>
      <c r="G471" s="125">
        <v>0.0</v>
      </c>
      <c r="H471" s="125">
        <v>0.0</v>
      </c>
      <c r="I471" s="125">
        <v>0.0</v>
      </c>
      <c r="J471" s="125">
        <v>0.0</v>
      </c>
      <c r="K471" s="125">
        <v>0.0</v>
      </c>
      <c r="L471" s="125">
        <v>10.0</v>
      </c>
    </row>
    <row r="472">
      <c r="A472" s="122" t="s">
        <v>1413</v>
      </c>
      <c r="B472" s="122" t="s">
        <v>2310</v>
      </c>
      <c r="C472" s="122" t="s">
        <v>1831</v>
      </c>
      <c r="D472" s="125">
        <v>14.0</v>
      </c>
      <c r="E472" s="125">
        <v>5.0</v>
      </c>
      <c r="F472" s="125">
        <v>3.0</v>
      </c>
      <c r="G472" s="125">
        <v>7.0</v>
      </c>
      <c r="H472" s="125">
        <v>4.0</v>
      </c>
      <c r="I472" s="125">
        <v>4.0</v>
      </c>
      <c r="J472" s="125">
        <v>0.0</v>
      </c>
      <c r="K472" s="125">
        <v>5.0</v>
      </c>
      <c r="L472" s="125">
        <v>2154.0</v>
      </c>
    </row>
    <row r="473">
      <c r="A473" s="122" t="s">
        <v>1330</v>
      </c>
      <c r="B473" s="122" t="s">
        <v>2311</v>
      </c>
      <c r="C473" s="122" t="s">
        <v>1825</v>
      </c>
      <c r="D473" s="125">
        <v>30.0</v>
      </c>
      <c r="E473" s="125">
        <v>26.0</v>
      </c>
      <c r="F473" s="125">
        <v>29.0</v>
      </c>
      <c r="G473" s="125">
        <v>22.0</v>
      </c>
      <c r="H473" s="125">
        <v>26.0</v>
      </c>
      <c r="I473" s="125">
        <v>29.0</v>
      </c>
      <c r="J473" s="125">
        <v>0.0</v>
      </c>
      <c r="K473" s="125">
        <v>26.0</v>
      </c>
      <c r="L473" s="125">
        <v>750.0</v>
      </c>
    </row>
    <row r="474">
      <c r="A474" s="122" t="s">
        <v>1419</v>
      </c>
      <c r="B474" s="122" t="s">
        <v>2312</v>
      </c>
      <c r="C474" s="122" t="s">
        <v>1831</v>
      </c>
      <c r="D474" s="125">
        <v>14.0</v>
      </c>
      <c r="E474" s="125">
        <v>0.0</v>
      </c>
      <c r="F474" s="125">
        <v>0.0</v>
      </c>
      <c r="G474" s="125">
        <v>0.0</v>
      </c>
      <c r="H474" s="125">
        <v>1.0</v>
      </c>
      <c r="I474" s="125">
        <v>1.0</v>
      </c>
      <c r="J474" s="125">
        <v>0.0</v>
      </c>
      <c r="K474" s="125">
        <v>0.0</v>
      </c>
      <c r="L474" s="125">
        <v>40.0</v>
      </c>
    </row>
    <row r="475">
      <c r="A475" s="122" t="s">
        <v>1410</v>
      </c>
      <c r="B475" s="122" t="s">
        <v>2313</v>
      </c>
      <c r="C475" s="122" t="s">
        <v>1825</v>
      </c>
      <c r="D475" s="125">
        <v>8.0</v>
      </c>
      <c r="E475" s="125">
        <v>0.0</v>
      </c>
      <c r="F475" s="125">
        <v>0.0</v>
      </c>
      <c r="G475" s="125">
        <v>0.0</v>
      </c>
      <c r="H475" s="125">
        <v>1.0</v>
      </c>
      <c r="I475" s="125">
        <v>8.0</v>
      </c>
      <c r="J475" s="125">
        <v>0.0</v>
      </c>
      <c r="K475" s="125">
        <v>2.0</v>
      </c>
      <c r="L475" s="125">
        <v>290.0</v>
      </c>
    </row>
    <row r="476">
      <c r="A476" s="122" t="s">
        <v>1416</v>
      </c>
      <c r="B476" s="122" t="s">
        <v>2314</v>
      </c>
      <c r="C476" s="122" t="s">
        <v>1831</v>
      </c>
      <c r="D476" s="125">
        <v>14.0</v>
      </c>
      <c r="E476" s="125">
        <v>10.0</v>
      </c>
      <c r="F476" s="125">
        <v>8.0</v>
      </c>
      <c r="G476" s="125">
        <v>4.0</v>
      </c>
      <c r="H476" s="125">
        <v>4.0</v>
      </c>
      <c r="I476" s="125">
        <v>14.0</v>
      </c>
      <c r="J476" s="125">
        <v>0.0</v>
      </c>
      <c r="K476" s="125">
        <v>8.0</v>
      </c>
      <c r="L476" s="125">
        <v>2453.0</v>
      </c>
    </row>
    <row r="477">
      <c r="A477" s="122" t="s">
        <v>1422</v>
      </c>
      <c r="B477" s="122" t="s">
        <v>2315</v>
      </c>
      <c r="C477" s="122" t="s">
        <v>1829</v>
      </c>
      <c r="D477" s="125">
        <v>2.0</v>
      </c>
      <c r="E477" s="125">
        <v>1.0</v>
      </c>
      <c r="F477" s="125">
        <v>1.0</v>
      </c>
      <c r="G477" s="125">
        <v>0.0</v>
      </c>
      <c r="H477" s="125">
        <v>0.0</v>
      </c>
      <c r="I477" s="125">
        <v>0.0</v>
      </c>
      <c r="J477" s="125">
        <v>0.0</v>
      </c>
      <c r="K477" s="125">
        <v>0.0</v>
      </c>
      <c r="L477" s="125">
        <v>0.0</v>
      </c>
    </row>
    <row r="478">
      <c r="A478" s="122" t="s">
        <v>2316</v>
      </c>
      <c r="B478" s="122" t="s">
        <v>2317</v>
      </c>
      <c r="C478" s="122" t="s">
        <v>1829</v>
      </c>
      <c r="D478" s="125">
        <v>0.0</v>
      </c>
      <c r="E478" s="125">
        <v>0.0</v>
      </c>
      <c r="F478" s="125">
        <v>0.0</v>
      </c>
      <c r="G478" s="125">
        <v>0.0</v>
      </c>
      <c r="H478" s="125">
        <v>0.0</v>
      </c>
      <c r="I478" s="125">
        <v>0.0</v>
      </c>
      <c r="J478" s="125">
        <v>0.0</v>
      </c>
      <c r="K478" s="125">
        <v>0.0</v>
      </c>
      <c r="L478" s="125">
        <v>0.0</v>
      </c>
    </row>
    <row r="479">
      <c r="A479" s="122" t="s">
        <v>2318</v>
      </c>
      <c r="B479" s="122" t="s">
        <v>2319</v>
      </c>
      <c r="C479" s="122" t="s">
        <v>1829</v>
      </c>
      <c r="D479" s="125">
        <v>0.0</v>
      </c>
      <c r="E479" s="125">
        <v>0.0</v>
      </c>
      <c r="F479" s="125">
        <v>0.0</v>
      </c>
      <c r="G479" s="125">
        <v>0.0</v>
      </c>
      <c r="H479" s="125">
        <v>0.0</v>
      </c>
      <c r="I479" s="125">
        <v>0.0</v>
      </c>
      <c r="J479" s="125">
        <v>0.0</v>
      </c>
      <c r="K479" s="125">
        <v>0.0</v>
      </c>
      <c r="L479" s="125">
        <v>0.0</v>
      </c>
    </row>
    <row r="480">
      <c r="A480" s="122" t="s">
        <v>2320</v>
      </c>
      <c r="B480" s="122" t="s">
        <v>2321</v>
      </c>
      <c r="C480" s="122" t="s">
        <v>1829</v>
      </c>
      <c r="D480" s="125">
        <v>0.0</v>
      </c>
      <c r="E480" s="125">
        <v>0.0</v>
      </c>
      <c r="F480" s="125">
        <v>0.0</v>
      </c>
      <c r="G480" s="125">
        <v>0.0</v>
      </c>
      <c r="H480" s="125">
        <v>0.0</v>
      </c>
      <c r="I480" s="125">
        <v>0.0</v>
      </c>
      <c r="J480" s="125">
        <v>0.0</v>
      </c>
      <c r="K480" s="125">
        <v>0.0</v>
      </c>
      <c r="L480" s="125">
        <v>0.0</v>
      </c>
    </row>
    <row r="481">
      <c r="A481" s="122" t="s">
        <v>1428</v>
      </c>
      <c r="B481" s="122" t="s">
        <v>2322</v>
      </c>
      <c r="C481" s="122" t="s">
        <v>1831</v>
      </c>
      <c r="D481" s="125">
        <v>2.0</v>
      </c>
      <c r="E481" s="125">
        <v>1.0</v>
      </c>
      <c r="F481" s="125">
        <v>1.0</v>
      </c>
      <c r="G481" s="125">
        <v>0.0</v>
      </c>
      <c r="H481" s="125">
        <v>3.0</v>
      </c>
      <c r="I481" s="125">
        <v>1.0</v>
      </c>
      <c r="J481" s="125">
        <v>0.0</v>
      </c>
      <c r="K481" s="125">
        <v>1.0</v>
      </c>
      <c r="L481" s="125">
        <v>146.0</v>
      </c>
    </row>
    <row r="482">
      <c r="A482" s="122" t="s">
        <v>1425</v>
      </c>
      <c r="B482" s="122" t="s">
        <v>2323</v>
      </c>
      <c r="C482" s="122" t="s">
        <v>1831</v>
      </c>
      <c r="D482" s="125">
        <v>15.0</v>
      </c>
      <c r="E482" s="125">
        <v>14.0</v>
      </c>
      <c r="F482" s="125">
        <v>31.0</v>
      </c>
      <c r="G482" s="125">
        <v>22.0</v>
      </c>
      <c r="H482" s="125">
        <v>10.0</v>
      </c>
      <c r="I482" s="125">
        <v>6.0</v>
      </c>
      <c r="J482" s="125">
        <v>0.0</v>
      </c>
      <c r="K482" s="125">
        <v>17.0</v>
      </c>
      <c r="L482" s="125">
        <v>57.0</v>
      </c>
    </row>
    <row r="483">
      <c r="A483" s="122" t="s">
        <v>2324</v>
      </c>
      <c r="B483" s="122" t="s">
        <v>2317</v>
      </c>
      <c r="C483" s="122" t="s">
        <v>1829</v>
      </c>
      <c r="D483" s="125">
        <v>0.0</v>
      </c>
      <c r="E483" s="125">
        <v>0.0</v>
      </c>
      <c r="F483" s="125">
        <v>0.0</v>
      </c>
      <c r="G483" s="125">
        <v>0.0</v>
      </c>
      <c r="H483" s="125">
        <v>0.0</v>
      </c>
      <c r="I483" s="125">
        <v>0.0</v>
      </c>
      <c r="J483" s="125">
        <v>0.0</v>
      </c>
      <c r="K483" s="125">
        <v>0.0</v>
      </c>
      <c r="L483" s="125">
        <v>0.0</v>
      </c>
    </row>
    <row r="484">
      <c r="A484" s="122" t="s">
        <v>1530</v>
      </c>
      <c r="B484" s="122" t="s">
        <v>2325</v>
      </c>
      <c r="C484" s="122" t="s">
        <v>1825</v>
      </c>
      <c r="D484" s="125">
        <v>70.0</v>
      </c>
      <c r="E484" s="125">
        <v>39.0</v>
      </c>
      <c r="F484" s="125">
        <v>83.0</v>
      </c>
      <c r="G484" s="125">
        <v>148.0</v>
      </c>
      <c r="H484" s="125">
        <v>142.0</v>
      </c>
      <c r="I484" s="125">
        <v>124.0</v>
      </c>
      <c r="J484" s="125">
        <v>3.0</v>
      </c>
      <c r="K484" s="125">
        <v>107.0</v>
      </c>
      <c r="L484" s="125">
        <v>40.0</v>
      </c>
    </row>
    <row r="485">
      <c r="A485" s="122" t="s">
        <v>2326</v>
      </c>
      <c r="B485" s="122" t="s">
        <v>2327</v>
      </c>
      <c r="C485" s="122" t="s">
        <v>1913</v>
      </c>
      <c r="D485" s="125">
        <v>0.0</v>
      </c>
      <c r="E485" s="125">
        <v>1.0</v>
      </c>
      <c r="F485" s="125">
        <v>0.0</v>
      </c>
      <c r="G485" s="125">
        <v>3.0</v>
      </c>
      <c r="H485" s="125">
        <v>0.0</v>
      </c>
      <c r="I485" s="125">
        <v>3.0</v>
      </c>
      <c r="J485" s="125">
        <v>0.0</v>
      </c>
      <c r="K485" s="125">
        <v>1.0</v>
      </c>
      <c r="L485" s="125">
        <v>12.0</v>
      </c>
    </row>
    <row r="486">
      <c r="A486" s="122" t="s">
        <v>1404</v>
      </c>
      <c r="B486" s="122" t="s">
        <v>2328</v>
      </c>
      <c r="C486" s="122" t="s">
        <v>1831</v>
      </c>
      <c r="D486" s="125">
        <v>5.0</v>
      </c>
      <c r="E486" s="125">
        <v>4.0</v>
      </c>
      <c r="F486" s="125">
        <v>7.0</v>
      </c>
      <c r="G486" s="125">
        <v>12.0</v>
      </c>
      <c r="H486" s="125">
        <v>2.0</v>
      </c>
      <c r="I486" s="125">
        <v>5.0</v>
      </c>
      <c r="J486" s="125">
        <v>0.0</v>
      </c>
      <c r="K486" s="125">
        <v>6.0</v>
      </c>
      <c r="L486" s="125">
        <v>130.0</v>
      </c>
    </row>
    <row r="487">
      <c r="A487" s="122" t="s">
        <v>1431</v>
      </c>
      <c r="B487" s="122" t="s">
        <v>2329</v>
      </c>
      <c r="C487" s="122" t="s">
        <v>1831</v>
      </c>
      <c r="D487" s="125">
        <v>5.0</v>
      </c>
      <c r="E487" s="125">
        <v>2.0</v>
      </c>
      <c r="F487" s="125">
        <v>0.0</v>
      </c>
      <c r="G487" s="125">
        <v>6.0</v>
      </c>
      <c r="H487" s="125">
        <v>1.0</v>
      </c>
      <c r="I487" s="125">
        <v>6.0</v>
      </c>
      <c r="J487" s="125">
        <v>3.0</v>
      </c>
      <c r="K487" s="125">
        <v>3.0</v>
      </c>
      <c r="L487" s="125">
        <v>65.0</v>
      </c>
    </row>
    <row r="488">
      <c r="A488" s="122" t="s">
        <v>1440</v>
      </c>
      <c r="B488" s="122" t="s">
        <v>2330</v>
      </c>
      <c r="C488" s="122" t="s">
        <v>1831</v>
      </c>
      <c r="D488" s="125">
        <v>13.0</v>
      </c>
      <c r="E488" s="125">
        <v>16.0</v>
      </c>
      <c r="F488" s="125">
        <v>20.0</v>
      </c>
      <c r="G488" s="125">
        <v>24.0</v>
      </c>
      <c r="H488" s="125">
        <v>10.0</v>
      </c>
      <c r="I488" s="125">
        <v>2.0</v>
      </c>
      <c r="J488" s="125">
        <v>0.0</v>
      </c>
      <c r="K488" s="125">
        <v>14.0</v>
      </c>
      <c r="L488" s="125">
        <v>0.0</v>
      </c>
    </row>
    <row r="489">
      <c r="A489" s="122" t="s">
        <v>1443</v>
      </c>
      <c r="B489" s="122" t="s">
        <v>2331</v>
      </c>
      <c r="C489" s="122" t="s">
        <v>1831</v>
      </c>
      <c r="D489" s="125">
        <v>10.0</v>
      </c>
      <c r="E489" s="125">
        <v>9.0</v>
      </c>
      <c r="F489" s="125">
        <v>18.0</v>
      </c>
      <c r="G489" s="125">
        <v>18.0</v>
      </c>
      <c r="H489" s="125">
        <v>13.0</v>
      </c>
      <c r="I489" s="125">
        <v>3.0</v>
      </c>
      <c r="J489" s="125">
        <v>2.0</v>
      </c>
      <c r="K489" s="125">
        <v>12.0</v>
      </c>
      <c r="L489" s="125">
        <v>14.0</v>
      </c>
    </row>
    <row r="490">
      <c r="A490" s="122" t="s">
        <v>2332</v>
      </c>
      <c r="B490" s="122" t="s">
        <v>2333</v>
      </c>
      <c r="C490" s="122" t="s">
        <v>1913</v>
      </c>
      <c r="D490" s="125">
        <v>0.0</v>
      </c>
      <c r="E490" s="125">
        <v>0.0</v>
      </c>
      <c r="F490" s="125">
        <v>3.0</v>
      </c>
      <c r="G490" s="125">
        <v>2.0</v>
      </c>
      <c r="H490" s="125">
        <v>2.0</v>
      </c>
      <c r="I490" s="125">
        <v>10.0</v>
      </c>
      <c r="J490" s="125">
        <v>0.0</v>
      </c>
      <c r="K490" s="125">
        <v>3.0</v>
      </c>
      <c r="L490" s="125">
        <v>21.0</v>
      </c>
    </row>
    <row r="491">
      <c r="A491" s="122" t="s">
        <v>1434</v>
      </c>
      <c r="B491" s="122" t="s">
        <v>2334</v>
      </c>
      <c r="C491" s="122" t="s">
        <v>1829</v>
      </c>
      <c r="D491" s="125">
        <v>3.0</v>
      </c>
      <c r="E491" s="125">
        <v>0.0</v>
      </c>
      <c r="F491" s="125">
        <v>0.0</v>
      </c>
      <c r="G491" s="125">
        <v>0.0</v>
      </c>
      <c r="H491" s="125">
        <v>0.0</v>
      </c>
      <c r="I491" s="125">
        <v>0.0</v>
      </c>
      <c r="J491" s="125">
        <v>0.0</v>
      </c>
      <c r="K491" s="125">
        <v>0.0</v>
      </c>
      <c r="L491" s="125">
        <v>0.0</v>
      </c>
    </row>
    <row r="492">
      <c r="A492" s="122" t="s">
        <v>2335</v>
      </c>
      <c r="B492" s="122" t="s">
        <v>2336</v>
      </c>
      <c r="C492" s="122" t="s">
        <v>1913</v>
      </c>
      <c r="D492" s="125">
        <v>0.0</v>
      </c>
      <c r="E492" s="125">
        <v>6.0</v>
      </c>
      <c r="F492" s="125">
        <v>1.0</v>
      </c>
      <c r="G492" s="125">
        <v>5.0</v>
      </c>
      <c r="H492" s="125">
        <v>12.0</v>
      </c>
      <c r="I492" s="125">
        <v>9.0</v>
      </c>
      <c r="J492" s="125">
        <v>0.0</v>
      </c>
      <c r="K492" s="125">
        <v>7.0</v>
      </c>
      <c r="L492" s="125">
        <v>23.0</v>
      </c>
    </row>
    <row r="493">
      <c r="A493" s="122" t="s">
        <v>1437</v>
      </c>
      <c r="B493" s="122" t="s">
        <v>1439</v>
      </c>
      <c r="C493" s="122" t="s">
        <v>1824</v>
      </c>
      <c r="D493" s="125">
        <v>15.0</v>
      </c>
      <c r="E493" s="125">
        <v>13.0</v>
      </c>
      <c r="F493" s="125">
        <v>13.0</v>
      </c>
      <c r="G493" s="125">
        <v>13.0</v>
      </c>
      <c r="H493" s="125">
        <v>15.0</v>
      </c>
      <c r="I493" s="125">
        <v>25.0</v>
      </c>
      <c r="J493" s="125">
        <v>1.0</v>
      </c>
      <c r="K493" s="125">
        <v>16.0</v>
      </c>
      <c r="L493" s="125">
        <v>7.0</v>
      </c>
    </row>
    <row r="494">
      <c r="A494" s="122" t="s">
        <v>1357</v>
      </c>
      <c r="B494" s="122" t="s">
        <v>1359</v>
      </c>
      <c r="C494" s="122" t="s">
        <v>1831</v>
      </c>
      <c r="D494" s="125">
        <v>3.0</v>
      </c>
      <c r="E494" s="125">
        <v>6.0</v>
      </c>
      <c r="F494" s="125">
        <v>3.0</v>
      </c>
      <c r="G494" s="125">
        <v>8.0</v>
      </c>
      <c r="H494" s="125">
        <v>4.0</v>
      </c>
      <c r="I494" s="125">
        <v>4.0</v>
      </c>
      <c r="J494" s="125">
        <v>0.0</v>
      </c>
      <c r="K494" s="125">
        <v>5.0</v>
      </c>
      <c r="L494" s="125">
        <v>274.0</v>
      </c>
    </row>
    <row r="495">
      <c r="A495" s="122" t="s">
        <v>1491</v>
      </c>
      <c r="B495" s="122" t="s">
        <v>2337</v>
      </c>
      <c r="C495" s="122" t="s">
        <v>1831</v>
      </c>
      <c r="D495" s="125">
        <v>20.0</v>
      </c>
      <c r="E495" s="125">
        <v>31.0</v>
      </c>
      <c r="F495" s="125">
        <v>23.0</v>
      </c>
      <c r="G495" s="125">
        <v>32.0</v>
      </c>
      <c r="H495" s="125">
        <v>16.0</v>
      </c>
      <c r="I495" s="125">
        <v>20.0</v>
      </c>
      <c r="J495" s="125">
        <v>7.0</v>
      </c>
      <c r="K495" s="125">
        <v>24.0</v>
      </c>
      <c r="L495" s="125">
        <v>157.0</v>
      </c>
    </row>
    <row r="496">
      <c r="A496" s="122" t="s">
        <v>1455</v>
      </c>
      <c r="B496" s="122" t="s">
        <v>2338</v>
      </c>
      <c r="C496" s="122" t="s">
        <v>1831</v>
      </c>
      <c r="D496" s="125">
        <v>10.0</v>
      </c>
      <c r="E496" s="125">
        <v>3.0</v>
      </c>
      <c r="F496" s="125">
        <v>13.0</v>
      </c>
      <c r="G496" s="125">
        <v>28.0</v>
      </c>
      <c r="H496" s="125">
        <v>40.0</v>
      </c>
      <c r="I496" s="125">
        <v>41.0</v>
      </c>
      <c r="J496" s="125">
        <v>1.0</v>
      </c>
      <c r="K496" s="125">
        <v>25.0</v>
      </c>
      <c r="L496" s="125">
        <v>88.0</v>
      </c>
    </row>
    <row r="497">
      <c r="A497" s="122" t="s">
        <v>1500</v>
      </c>
      <c r="B497" s="122" t="s">
        <v>2339</v>
      </c>
      <c r="C497" s="122" t="s">
        <v>1831</v>
      </c>
      <c r="D497" s="125">
        <v>8.0</v>
      </c>
      <c r="E497" s="125">
        <v>0.0</v>
      </c>
      <c r="F497" s="125">
        <v>0.0</v>
      </c>
      <c r="G497" s="125">
        <v>0.0</v>
      </c>
      <c r="H497" s="125">
        <v>0.0</v>
      </c>
      <c r="I497" s="125">
        <v>0.0</v>
      </c>
      <c r="J497" s="125">
        <v>0.0</v>
      </c>
      <c r="K497" s="125">
        <v>0.0</v>
      </c>
      <c r="L497" s="125">
        <v>0.0</v>
      </c>
    </row>
    <row r="498">
      <c r="A498" s="122" t="s">
        <v>1497</v>
      </c>
      <c r="B498" s="122" t="s">
        <v>2340</v>
      </c>
      <c r="C498" s="122" t="s">
        <v>1831</v>
      </c>
      <c r="D498" s="125">
        <v>150.0</v>
      </c>
      <c r="E498" s="125">
        <v>165.0</v>
      </c>
      <c r="F498" s="125">
        <v>50.0</v>
      </c>
      <c r="G498" s="125">
        <v>77.0</v>
      </c>
      <c r="H498" s="125">
        <v>62.0</v>
      </c>
      <c r="I498" s="125">
        <v>158.0</v>
      </c>
      <c r="J498" s="125">
        <v>6.0</v>
      </c>
      <c r="K498" s="125">
        <v>102.0</v>
      </c>
      <c r="L498" s="125">
        <v>589.0</v>
      </c>
    </row>
    <row r="499">
      <c r="A499" s="122" t="s">
        <v>1485</v>
      </c>
      <c r="B499" s="122" t="s">
        <v>2341</v>
      </c>
      <c r="C499" s="122" t="s">
        <v>1825</v>
      </c>
      <c r="D499" s="125">
        <v>30.0</v>
      </c>
      <c r="E499" s="125">
        <v>37.0</v>
      </c>
      <c r="F499" s="125">
        <v>31.0</v>
      </c>
      <c r="G499" s="125">
        <v>31.0</v>
      </c>
      <c r="H499" s="125">
        <v>46.0</v>
      </c>
      <c r="I499" s="125">
        <v>13.0</v>
      </c>
      <c r="J499" s="125">
        <v>3.0</v>
      </c>
      <c r="K499" s="125">
        <v>32.0</v>
      </c>
      <c r="L499" s="125">
        <v>47.0</v>
      </c>
    </row>
    <row r="500">
      <c r="A500" s="122" t="s">
        <v>1488</v>
      </c>
      <c r="B500" s="122" t="s">
        <v>2342</v>
      </c>
      <c r="C500" s="122" t="s">
        <v>1825</v>
      </c>
      <c r="D500" s="125">
        <v>50.0</v>
      </c>
      <c r="E500" s="125">
        <v>38.0</v>
      </c>
      <c r="F500" s="125">
        <v>52.0</v>
      </c>
      <c r="G500" s="125">
        <v>34.0</v>
      </c>
      <c r="H500" s="125">
        <v>44.0</v>
      </c>
      <c r="I500" s="125">
        <v>6.0</v>
      </c>
      <c r="J500" s="125">
        <v>0.0</v>
      </c>
      <c r="K500" s="125">
        <v>35.0</v>
      </c>
      <c r="L500" s="125">
        <v>0.0</v>
      </c>
    </row>
    <row r="501">
      <c r="A501" s="122" t="s">
        <v>1452</v>
      </c>
      <c r="B501" s="122" t="s">
        <v>2343</v>
      </c>
      <c r="C501" s="122" t="s">
        <v>1831</v>
      </c>
      <c r="D501" s="125">
        <v>1.0</v>
      </c>
      <c r="E501" s="125">
        <v>2.0</v>
      </c>
      <c r="F501" s="125">
        <v>5.0</v>
      </c>
      <c r="G501" s="125">
        <v>1.0</v>
      </c>
      <c r="H501" s="125">
        <v>1.0</v>
      </c>
      <c r="I501" s="125">
        <v>4.0</v>
      </c>
      <c r="J501" s="125">
        <v>0.0</v>
      </c>
      <c r="K501" s="125">
        <v>3.0</v>
      </c>
      <c r="L501" s="125">
        <v>31.0</v>
      </c>
    </row>
    <row r="502">
      <c r="A502" s="122" t="s">
        <v>1482</v>
      </c>
      <c r="B502" s="122" t="s">
        <v>2344</v>
      </c>
      <c r="C502" s="122" t="s">
        <v>1825</v>
      </c>
      <c r="D502" s="125">
        <v>40.0</v>
      </c>
      <c r="E502" s="125">
        <v>2.0</v>
      </c>
      <c r="F502" s="125">
        <v>9.0</v>
      </c>
      <c r="G502" s="125">
        <v>7.0</v>
      </c>
      <c r="H502" s="125">
        <v>11.0</v>
      </c>
      <c r="I502" s="125">
        <v>2.0</v>
      </c>
      <c r="J502" s="125">
        <v>0.0</v>
      </c>
      <c r="K502" s="125">
        <v>6.0</v>
      </c>
      <c r="L502" s="125">
        <v>0.0</v>
      </c>
    </row>
    <row r="503">
      <c r="A503" s="122" t="s">
        <v>1536</v>
      </c>
      <c r="B503" s="122" t="s">
        <v>2345</v>
      </c>
      <c r="C503" s="122" t="s">
        <v>1825</v>
      </c>
      <c r="D503" s="125">
        <v>50.0</v>
      </c>
      <c r="E503" s="125">
        <v>0.0</v>
      </c>
      <c r="F503" s="125">
        <v>1.0</v>
      </c>
      <c r="G503" s="125">
        <v>57.0</v>
      </c>
      <c r="H503" s="125">
        <v>64.0</v>
      </c>
      <c r="I503" s="125">
        <v>53.0</v>
      </c>
      <c r="J503" s="125">
        <v>3.0</v>
      </c>
      <c r="K503" s="125">
        <v>35.0</v>
      </c>
      <c r="L503" s="125">
        <v>0.0</v>
      </c>
    </row>
    <row r="504">
      <c r="A504" s="122" t="s">
        <v>2346</v>
      </c>
      <c r="B504" s="122" t="s">
        <v>1933</v>
      </c>
      <c r="C504" s="122" t="s">
        <v>1913</v>
      </c>
      <c r="D504" s="125">
        <v>0.0</v>
      </c>
      <c r="E504" s="125">
        <v>0.0</v>
      </c>
      <c r="F504" s="125">
        <v>0.0</v>
      </c>
      <c r="G504" s="125">
        <v>0.0</v>
      </c>
      <c r="H504" s="125">
        <v>0.0</v>
      </c>
      <c r="I504" s="125">
        <v>0.0</v>
      </c>
      <c r="J504" s="125">
        <v>0.0</v>
      </c>
      <c r="K504" s="125">
        <v>0.0</v>
      </c>
      <c r="L504" s="125">
        <v>0.0</v>
      </c>
    </row>
    <row r="505">
      <c r="A505" s="122" t="s">
        <v>1533</v>
      </c>
      <c r="B505" s="122" t="s">
        <v>2347</v>
      </c>
      <c r="C505" s="122" t="s">
        <v>1831</v>
      </c>
      <c r="D505" s="125">
        <v>1.0</v>
      </c>
      <c r="E505" s="125">
        <v>6.0</v>
      </c>
      <c r="F505" s="125">
        <v>4.0</v>
      </c>
      <c r="G505" s="125">
        <v>4.0</v>
      </c>
      <c r="H505" s="125">
        <v>2.0</v>
      </c>
      <c r="I505" s="125">
        <v>2.0</v>
      </c>
      <c r="J505" s="125">
        <v>0.0</v>
      </c>
      <c r="K505" s="125">
        <v>4.0</v>
      </c>
      <c r="L505" s="125">
        <v>55.0</v>
      </c>
    </row>
    <row r="506">
      <c r="A506" s="122" t="s">
        <v>1449</v>
      </c>
      <c r="B506" s="122" t="s">
        <v>2348</v>
      </c>
      <c r="C506" s="122" t="s">
        <v>1831</v>
      </c>
      <c r="D506" s="125">
        <v>7.0</v>
      </c>
      <c r="E506" s="125">
        <v>1.0</v>
      </c>
      <c r="F506" s="125">
        <v>0.0</v>
      </c>
      <c r="G506" s="125">
        <v>13.0</v>
      </c>
      <c r="H506" s="125">
        <v>26.0</v>
      </c>
      <c r="I506" s="125">
        <v>26.0</v>
      </c>
      <c r="J506" s="125">
        <v>3.0</v>
      </c>
      <c r="K506" s="125">
        <v>13.0</v>
      </c>
      <c r="L506" s="125">
        <v>37.0</v>
      </c>
    </row>
    <row r="507">
      <c r="A507" s="122" t="s">
        <v>1446</v>
      </c>
      <c r="B507" s="122" t="s">
        <v>2349</v>
      </c>
      <c r="C507" s="122" t="s">
        <v>1831</v>
      </c>
      <c r="D507" s="125">
        <v>15.0</v>
      </c>
      <c r="E507" s="125">
        <v>0.0</v>
      </c>
      <c r="F507" s="125">
        <v>0.0</v>
      </c>
      <c r="G507" s="125">
        <v>27.0</v>
      </c>
      <c r="H507" s="125">
        <v>65.0</v>
      </c>
      <c r="I507" s="125">
        <v>8.0</v>
      </c>
      <c r="J507" s="125">
        <v>0.0</v>
      </c>
      <c r="K507" s="125">
        <v>20.0</v>
      </c>
      <c r="L507" s="125">
        <v>0.0</v>
      </c>
    </row>
    <row r="508">
      <c r="A508" s="122" t="s">
        <v>1503</v>
      </c>
      <c r="B508" s="122" t="s">
        <v>2350</v>
      </c>
      <c r="C508" s="122" t="s">
        <v>1825</v>
      </c>
      <c r="D508" s="125">
        <v>6.0</v>
      </c>
      <c r="E508" s="125">
        <v>0.0</v>
      </c>
      <c r="F508" s="125">
        <v>5.0</v>
      </c>
      <c r="G508" s="125">
        <v>25.0</v>
      </c>
      <c r="H508" s="125">
        <v>5.0</v>
      </c>
      <c r="I508" s="125">
        <v>7.0</v>
      </c>
      <c r="J508" s="125">
        <v>2.0</v>
      </c>
      <c r="K508" s="125">
        <v>8.0</v>
      </c>
      <c r="L508" s="125">
        <v>67.0</v>
      </c>
    </row>
    <row r="509">
      <c r="A509" s="122" t="s">
        <v>1508</v>
      </c>
      <c r="B509" s="122" t="s">
        <v>2351</v>
      </c>
      <c r="C509" s="122" t="s">
        <v>1831</v>
      </c>
      <c r="D509" s="125">
        <v>5.0</v>
      </c>
      <c r="E509" s="125">
        <v>1.0</v>
      </c>
      <c r="F509" s="125">
        <v>5.0</v>
      </c>
      <c r="G509" s="125">
        <v>9.0</v>
      </c>
      <c r="H509" s="125">
        <v>4.0</v>
      </c>
      <c r="I509" s="125">
        <v>3.0</v>
      </c>
      <c r="J509" s="125">
        <v>0.0</v>
      </c>
      <c r="K509" s="125">
        <v>4.0</v>
      </c>
      <c r="L509" s="125">
        <v>34.0</v>
      </c>
    </row>
    <row r="510">
      <c r="A510" s="122" t="s">
        <v>1494</v>
      </c>
      <c r="B510" s="122" t="s">
        <v>2352</v>
      </c>
      <c r="C510" s="122" t="s">
        <v>1831</v>
      </c>
      <c r="D510" s="125">
        <v>4.0</v>
      </c>
      <c r="E510" s="125">
        <v>1.0</v>
      </c>
      <c r="F510" s="125">
        <v>6.0</v>
      </c>
      <c r="G510" s="125">
        <v>9.0</v>
      </c>
      <c r="H510" s="125">
        <v>4.0</v>
      </c>
      <c r="I510" s="125">
        <v>7.0</v>
      </c>
      <c r="J510" s="125">
        <v>0.0</v>
      </c>
      <c r="K510" s="125">
        <v>5.0</v>
      </c>
      <c r="L510" s="125">
        <v>179.0</v>
      </c>
    </row>
    <row r="511">
      <c r="A511" s="122" t="s">
        <v>425</v>
      </c>
      <c r="B511" s="122" t="s">
        <v>2353</v>
      </c>
      <c r="C511" s="122" t="s">
        <v>1831</v>
      </c>
      <c r="D511" s="125">
        <v>6.0</v>
      </c>
      <c r="E511" s="125">
        <v>1.0</v>
      </c>
      <c r="F511" s="125">
        <v>6.0</v>
      </c>
      <c r="G511" s="125">
        <v>12.0</v>
      </c>
      <c r="H511" s="125">
        <v>9.0</v>
      </c>
      <c r="I511" s="125">
        <v>9.0</v>
      </c>
      <c r="J511" s="125">
        <v>1.0</v>
      </c>
      <c r="K511" s="125">
        <v>7.0</v>
      </c>
      <c r="L511" s="125">
        <v>62.0</v>
      </c>
    </row>
    <row r="512">
      <c r="A512" s="122" t="s">
        <v>1542</v>
      </c>
      <c r="B512" s="122" t="s">
        <v>2354</v>
      </c>
      <c r="C512" s="122" t="s">
        <v>1831</v>
      </c>
      <c r="D512" s="125">
        <v>7.0</v>
      </c>
      <c r="E512" s="125">
        <v>10.0</v>
      </c>
      <c r="F512" s="125">
        <v>9.0</v>
      </c>
      <c r="G512" s="125">
        <v>7.0</v>
      </c>
      <c r="H512" s="125">
        <v>7.0</v>
      </c>
      <c r="I512" s="125">
        <v>6.0</v>
      </c>
      <c r="J512" s="125">
        <v>0.0</v>
      </c>
      <c r="K512" s="125">
        <v>8.0</v>
      </c>
      <c r="L512" s="125">
        <v>77.0</v>
      </c>
    </row>
    <row r="513">
      <c r="A513" s="122" t="s">
        <v>1578</v>
      </c>
      <c r="B513" s="122" t="s">
        <v>2355</v>
      </c>
      <c r="C513" s="122" t="s">
        <v>1913</v>
      </c>
      <c r="D513" s="125">
        <v>15.0</v>
      </c>
      <c r="E513" s="125">
        <v>0.0</v>
      </c>
      <c r="F513" s="125">
        <v>0.0</v>
      </c>
      <c r="G513" s="125">
        <v>0.0</v>
      </c>
      <c r="H513" s="125">
        <v>0.0</v>
      </c>
      <c r="I513" s="125">
        <v>0.0</v>
      </c>
      <c r="J513" s="125">
        <v>0.0</v>
      </c>
      <c r="K513" s="125">
        <v>0.0</v>
      </c>
      <c r="L513" s="125">
        <v>0.0</v>
      </c>
    </row>
    <row r="514">
      <c r="A514" s="122" t="s">
        <v>1545</v>
      </c>
      <c r="B514" s="122" t="s">
        <v>2356</v>
      </c>
      <c r="C514" s="122" t="s">
        <v>1913</v>
      </c>
      <c r="D514" s="125">
        <v>12.0</v>
      </c>
      <c r="E514" s="125">
        <v>15.0</v>
      </c>
      <c r="F514" s="125">
        <v>19.0</v>
      </c>
      <c r="G514" s="125">
        <v>34.0</v>
      </c>
      <c r="H514" s="125">
        <v>12.0</v>
      </c>
      <c r="I514" s="125">
        <v>9.0</v>
      </c>
      <c r="J514" s="125">
        <v>0.0</v>
      </c>
      <c r="K514" s="125">
        <v>18.0</v>
      </c>
      <c r="L514" s="125">
        <v>56.0</v>
      </c>
    </row>
    <row r="515">
      <c r="A515" s="122" t="s">
        <v>1560</v>
      </c>
      <c r="B515" s="122" t="s">
        <v>2357</v>
      </c>
      <c r="C515" s="122" t="s">
        <v>1913</v>
      </c>
      <c r="D515" s="125">
        <v>20.0</v>
      </c>
      <c r="E515" s="125">
        <v>0.0</v>
      </c>
      <c r="F515" s="125">
        <v>0.0</v>
      </c>
      <c r="G515" s="125">
        <v>0.0</v>
      </c>
      <c r="H515" s="125">
        <v>0.0</v>
      </c>
      <c r="I515" s="125">
        <v>0.0</v>
      </c>
      <c r="J515" s="125">
        <v>0.0</v>
      </c>
      <c r="K515" s="125">
        <v>0.0</v>
      </c>
      <c r="L515" s="125">
        <v>0.0</v>
      </c>
    </row>
    <row r="516">
      <c r="A516" s="122" t="s">
        <v>1563</v>
      </c>
      <c r="B516" s="122" t="s">
        <v>2358</v>
      </c>
      <c r="C516" s="122" t="s">
        <v>1913</v>
      </c>
      <c r="D516" s="125">
        <v>20.0</v>
      </c>
      <c r="E516" s="125">
        <v>13.0</v>
      </c>
      <c r="F516" s="125">
        <v>13.0</v>
      </c>
      <c r="G516" s="125">
        <v>24.0</v>
      </c>
      <c r="H516" s="125">
        <v>27.0</v>
      </c>
      <c r="I516" s="125">
        <v>11.0</v>
      </c>
      <c r="J516" s="125">
        <v>3.0</v>
      </c>
      <c r="K516" s="125">
        <v>18.0</v>
      </c>
      <c r="L516" s="125">
        <v>14.0</v>
      </c>
    </row>
    <row r="517">
      <c r="A517" s="122" t="s">
        <v>1572</v>
      </c>
      <c r="B517" s="122" t="s">
        <v>2359</v>
      </c>
      <c r="C517" s="122" t="s">
        <v>1913</v>
      </c>
      <c r="D517" s="125">
        <v>7.0</v>
      </c>
      <c r="E517" s="125">
        <v>15.0</v>
      </c>
      <c r="F517" s="125">
        <v>8.0</v>
      </c>
      <c r="G517" s="125">
        <v>12.0</v>
      </c>
      <c r="H517" s="125">
        <v>13.0</v>
      </c>
      <c r="I517" s="125">
        <v>4.0</v>
      </c>
      <c r="J517" s="125">
        <v>1.0</v>
      </c>
      <c r="K517" s="125">
        <v>10.0</v>
      </c>
      <c r="L517" s="125">
        <v>19.0</v>
      </c>
    </row>
    <row r="518">
      <c r="A518" s="122" t="s">
        <v>1557</v>
      </c>
      <c r="B518" s="122" t="s">
        <v>2360</v>
      </c>
      <c r="C518" s="122" t="s">
        <v>1913</v>
      </c>
      <c r="D518" s="125">
        <v>20.0</v>
      </c>
      <c r="E518" s="125">
        <v>0.0</v>
      </c>
      <c r="F518" s="125">
        <v>0.0</v>
      </c>
      <c r="G518" s="125">
        <v>0.0</v>
      </c>
      <c r="H518" s="125">
        <v>0.0</v>
      </c>
      <c r="I518" s="125">
        <v>0.0</v>
      </c>
      <c r="J518" s="125">
        <v>0.0</v>
      </c>
      <c r="K518" s="125">
        <v>0.0</v>
      </c>
      <c r="L518" s="125">
        <v>0.0</v>
      </c>
    </row>
    <row r="519">
      <c r="A519" s="122" t="s">
        <v>1575</v>
      </c>
      <c r="B519" s="122" t="s">
        <v>2361</v>
      </c>
      <c r="C519" s="122" t="s">
        <v>1913</v>
      </c>
      <c r="D519" s="125">
        <v>20.0</v>
      </c>
      <c r="E519" s="125">
        <v>0.0</v>
      </c>
      <c r="F519" s="125">
        <v>0.0</v>
      </c>
      <c r="G519" s="125">
        <v>0.0</v>
      </c>
      <c r="H519" s="125">
        <v>0.0</v>
      </c>
      <c r="I519" s="125">
        <v>0.0</v>
      </c>
      <c r="J519" s="125">
        <v>0.0</v>
      </c>
      <c r="K519" s="125">
        <v>0.0</v>
      </c>
      <c r="L519" s="125">
        <v>0.0</v>
      </c>
    </row>
    <row r="520">
      <c r="A520" s="122" t="s">
        <v>1551</v>
      </c>
      <c r="B520" s="122" t="s">
        <v>2362</v>
      </c>
      <c r="C520" s="122" t="s">
        <v>1913</v>
      </c>
      <c r="D520" s="125">
        <v>20.0</v>
      </c>
      <c r="E520" s="125">
        <v>0.0</v>
      </c>
      <c r="F520" s="125">
        <v>0.0</v>
      </c>
      <c r="G520" s="125">
        <v>0.0</v>
      </c>
      <c r="H520" s="125">
        <v>0.0</v>
      </c>
      <c r="I520" s="125">
        <v>0.0</v>
      </c>
      <c r="J520" s="125">
        <v>0.0</v>
      </c>
      <c r="K520" s="125">
        <v>0.0</v>
      </c>
      <c r="L520" s="125">
        <v>0.0</v>
      </c>
    </row>
    <row r="521">
      <c r="A521" s="122" t="s">
        <v>1566</v>
      </c>
      <c r="B521" s="122" t="s">
        <v>2363</v>
      </c>
      <c r="C521" s="122" t="s">
        <v>1913</v>
      </c>
      <c r="D521" s="125">
        <v>5.0</v>
      </c>
      <c r="E521" s="125">
        <v>11.0</v>
      </c>
      <c r="F521" s="125">
        <v>11.0</v>
      </c>
      <c r="G521" s="125">
        <v>6.0</v>
      </c>
      <c r="H521" s="125">
        <v>8.0</v>
      </c>
      <c r="I521" s="125">
        <v>25.0</v>
      </c>
      <c r="J521" s="125">
        <v>4.0</v>
      </c>
      <c r="K521" s="125">
        <v>12.0</v>
      </c>
      <c r="L521" s="125">
        <v>345.0</v>
      </c>
    </row>
    <row r="522">
      <c r="A522" s="122" t="s">
        <v>1569</v>
      </c>
      <c r="B522" s="122" t="s">
        <v>2364</v>
      </c>
      <c r="C522" s="122" t="s">
        <v>1913</v>
      </c>
      <c r="D522" s="125">
        <v>8.0</v>
      </c>
      <c r="E522" s="125">
        <v>9.0</v>
      </c>
      <c r="F522" s="125">
        <v>5.0</v>
      </c>
      <c r="G522" s="125">
        <v>10.0</v>
      </c>
      <c r="H522" s="125">
        <v>6.0</v>
      </c>
      <c r="I522" s="125">
        <v>8.0</v>
      </c>
      <c r="J522" s="125">
        <v>1.0</v>
      </c>
      <c r="K522" s="125">
        <v>8.0</v>
      </c>
      <c r="L522" s="125">
        <v>190.0</v>
      </c>
    </row>
    <row r="523">
      <c r="A523" s="122" t="s">
        <v>2365</v>
      </c>
      <c r="B523" s="122" t="s">
        <v>2366</v>
      </c>
      <c r="C523" s="122" t="s">
        <v>1913</v>
      </c>
      <c r="D523" s="125">
        <v>0.0</v>
      </c>
      <c r="E523" s="125">
        <v>0.0</v>
      </c>
      <c r="F523" s="125">
        <v>0.0</v>
      </c>
      <c r="G523" s="125">
        <v>0.0</v>
      </c>
      <c r="H523" s="125">
        <v>0.0</v>
      </c>
      <c r="I523" s="125">
        <v>0.0</v>
      </c>
      <c r="J523" s="125">
        <v>0.0</v>
      </c>
      <c r="K523" s="125">
        <v>0.0</v>
      </c>
      <c r="L523" s="125">
        <v>0.0</v>
      </c>
    </row>
    <row r="524">
      <c r="A524" s="122" t="s">
        <v>2367</v>
      </c>
      <c r="B524" s="122" t="s">
        <v>2368</v>
      </c>
      <c r="C524" s="122" t="s">
        <v>1913</v>
      </c>
      <c r="D524" s="125">
        <v>0.0</v>
      </c>
      <c r="E524" s="125">
        <v>10.0</v>
      </c>
      <c r="F524" s="125">
        <v>0.0</v>
      </c>
      <c r="G524" s="125">
        <v>0.0</v>
      </c>
      <c r="H524" s="125">
        <v>1.0</v>
      </c>
      <c r="I524" s="125">
        <v>4.0</v>
      </c>
      <c r="J524" s="125">
        <v>0.0</v>
      </c>
      <c r="K524" s="125">
        <v>3.0</v>
      </c>
      <c r="L524" s="125">
        <v>24.0</v>
      </c>
    </row>
    <row r="525">
      <c r="A525" s="122" t="s">
        <v>2369</v>
      </c>
      <c r="B525" s="122" t="s">
        <v>2370</v>
      </c>
      <c r="C525" s="122" t="s">
        <v>1913</v>
      </c>
      <c r="D525" s="125">
        <v>0.0</v>
      </c>
      <c r="E525" s="125">
        <v>1.0</v>
      </c>
      <c r="F525" s="125">
        <v>2.0</v>
      </c>
      <c r="G525" s="125">
        <v>3.0</v>
      </c>
      <c r="H525" s="125">
        <v>2.0</v>
      </c>
      <c r="I525" s="125">
        <v>8.0</v>
      </c>
      <c r="J525" s="125">
        <v>0.0</v>
      </c>
      <c r="K525" s="125">
        <v>3.0</v>
      </c>
      <c r="L525" s="125">
        <v>18.0</v>
      </c>
    </row>
    <row r="526">
      <c r="A526" s="122" t="s">
        <v>2371</v>
      </c>
      <c r="B526" s="122" t="s">
        <v>2372</v>
      </c>
      <c r="C526" s="122" t="s">
        <v>1913</v>
      </c>
      <c r="D526" s="125">
        <v>0.0</v>
      </c>
      <c r="E526" s="125">
        <v>29.0</v>
      </c>
      <c r="F526" s="125">
        <v>18.0</v>
      </c>
      <c r="G526" s="125">
        <v>31.0</v>
      </c>
      <c r="H526" s="125">
        <v>18.0</v>
      </c>
      <c r="I526" s="125">
        <v>39.0</v>
      </c>
      <c r="J526" s="125">
        <v>3.0</v>
      </c>
      <c r="K526" s="125">
        <v>27.0</v>
      </c>
      <c r="L526" s="125">
        <v>76.0</v>
      </c>
    </row>
    <row r="527">
      <c r="A527" s="122" t="s">
        <v>1593</v>
      </c>
      <c r="B527" s="122" t="s">
        <v>2373</v>
      </c>
      <c r="C527" s="122" t="s">
        <v>1913</v>
      </c>
      <c r="D527" s="125">
        <v>8.0</v>
      </c>
      <c r="E527" s="125">
        <v>8.0</v>
      </c>
      <c r="F527" s="125">
        <v>15.0</v>
      </c>
      <c r="G527" s="125">
        <v>8.0</v>
      </c>
      <c r="H527" s="125">
        <v>8.0</v>
      </c>
      <c r="I527" s="125">
        <v>4.0</v>
      </c>
      <c r="J527" s="125">
        <v>3.0</v>
      </c>
      <c r="K527" s="125">
        <v>9.0</v>
      </c>
      <c r="L527" s="125">
        <v>34.0</v>
      </c>
    </row>
    <row r="528">
      <c r="A528" s="122" t="s">
        <v>52</v>
      </c>
      <c r="B528" s="122" t="s">
        <v>2374</v>
      </c>
      <c r="C528" s="122" t="s">
        <v>1913</v>
      </c>
      <c r="D528" s="125">
        <v>10.0</v>
      </c>
      <c r="E528" s="125">
        <v>0.0</v>
      </c>
      <c r="F528" s="125">
        <v>0.0</v>
      </c>
      <c r="G528" s="125">
        <v>0.0</v>
      </c>
      <c r="H528" s="125">
        <v>0.0</v>
      </c>
      <c r="I528" s="125">
        <v>0.0</v>
      </c>
      <c r="J528" s="125">
        <v>0.0</v>
      </c>
      <c r="K528" s="125">
        <v>0.0</v>
      </c>
      <c r="L528" s="125">
        <v>0.0</v>
      </c>
    </row>
    <row r="529">
      <c r="A529" s="122" t="s">
        <v>53</v>
      </c>
      <c r="B529" s="122" t="s">
        <v>2375</v>
      </c>
      <c r="C529" s="122" t="s">
        <v>1913</v>
      </c>
      <c r="D529" s="125">
        <v>2.0</v>
      </c>
      <c r="E529" s="125">
        <v>6.0</v>
      </c>
      <c r="F529" s="125">
        <v>4.0</v>
      </c>
      <c r="G529" s="125">
        <v>10.0</v>
      </c>
      <c r="H529" s="125">
        <v>3.0</v>
      </c>
      <c r="I529" s="125">
        <v>4.0</v>
      </c>
      <c r="J529" s="125">
        <v>0.0</v>
      </c>
      <c r="K529" s="125">
        <v>5.0</v>
      </c>
      <c r="L529" s="125">
        <v>0.0</v>
      </c>
    </row>
    <row r="530">
      <c r="A530" s="122" t="s">
        <v>1590</v>
      </c>
      <c r="B530" s="122" t="s">
        <v>2376</v>
      </c>
      <c r="C530" s="122" t="s">
        <v>1913</v>
      </c>
      <c r="D530" s="125">
        <v>7.0</v>
      </c>
      <c r="E530" s="125">
        <v>12.0</v>
      </c>
      <c r="F530" s="125">
        <v>5.0</v>
      </c>
      <c r="G530" s="125">
        <v>3.0</v>
      </c>
      <c r="H530" s="125">
        <v>8.0</v>
      </c>
      <c r="I530" s="125">
        <v>11.0</v>
      </c>
      <c r="J530" s="125">
        <v>0.0</v>
      </c>
      <c r="K530" s="125">
        <v>8.0</v>
      </c>
      <c r="L530" s="125">
        <v>390.0</v>
      </c>
    </row>
    <row r="531">
      <c r="A531" s="122" t="s">
        <v>2377</v>
      </c>
      <c r="B531" s="122" t="s">
        <v>2378</v>
      </c>
      <c r="C531" s="122" t="s">
        <v>1913</v>
      </c>
      <c r="D531" s="125">
        <v>0.0</v>
      </c>
      <c r="E531" s="125">
        <v>0.0</v>
      </c>
      <c r="F531" s="125">
        <v>0.0</v>
      </c>
      <c r="G531" s="125">
        <v>0.0</v>
      </c>
      <c r="H531" s="125">
        <v>0.0</v>
      </c>
      <c r="I531" s="125">
        <v>0.0</v>
      </c>
      <c r="J531" s="125">
        <v>0.0</v>
      </c>
      <c r="K531" s="125">
        <v>0.0</v>
      </c>
      <c r="L531" s="125">
        <v>50.0</v>
      </c>
    </row>
    <row r="532">
      <c r="A532" s="122" t="s">
        <v>51</v>
      </c>
      <c r="B532" s="122" t="s">
        <v>2379</v>
      </c>
      <c r="C532" s="122" t="s">
        <v>1913</v>
      </c>
      <c r="D532" s="125">
        <v>1.0</v>
      </c>
      <c r="E532" s="125">
        <v>4.0</v>
      </c>
      <c r="F532" s="125">
        <v>7.0</v>
      </c>
      <c r="G532" s="125">
        <v>7.0</v>
      </c>
      <c r="H532" s="125">
        <v>5.0</v>
      </c>
      <c r="I532" s="125">
        <v>0.0</v>
      </c>
      <c r="J532" s="125">
        <v>0.0</v>
      </c>
      <c r="K532" s="125">
        <v>5.0</v>
      </c>
      <c r="L532" s="125">
        <v>0.0</v>
      </c>
    </row>
    <row r="533">
      <c r="A533" s="122" t="s">
        <v>50</v>
      </c>
      <c r="B533" s="122" t="s">
        <v>2380</v>
      </c>
      <c r="C533" s="122" t="s">
        <v>1913</v>
      </c>
      <c r="D533" s="125">
        <v>1.0</v>
      </c>
      <c r="E533" s="125">
        <v>0.0</v>
      </c>
      <c r="F533" s="125">
        <v>4.0</v>
      </c>
      <c r="G533" s="125">
        <v>35.0</v>
      </c>
      <c r="H533" s="125">
        <v>7.0</v>
      </c>
      <c r="I533" s="125">
        <v>3.0</v>
      </c>
      <c r="J533" s="125">
        <v>0.0</v>
      </c>
      <c r="K533" s="125">
        <v>10.0</v>
      </c>
      <c r="L533" s="125">
        <v>35.0</v>
      </c>
    </row>
    <row r="534">
      <c r="A534" s="122" t="s">
        <v>420</v>
      </c>
      <c r="B534" s="122" t="s">
        <v>2381</v>
      </c>
      <c r="C534" s="122" t="s">
        <v>1913</v>
      </c>
      <c r="D534" s="125">
        <v>1.0</v>
      </c>
      <c r="E534" s="125">
        <v>1.0</v>
      </c>
      <c r="F534" s="125">
        <v>1.0</v>
      </c>
      <c r="G534" s="125">
        <v>0.0</v>
      </c>
      <c r="H534" s="125">
        <v>2.0</v>
      </c>
      <c r="I534" s="125">
        <v>1.0</v>
      </c>
      <c r="J534" s="125">
        <v>0.0</v>
      </c>
      <c r="K534" s="125">
        <v>1.0</v>
      </c>
      <c r="L534" s="125">
        <v>12.0</v>
      </c>
    </row>
    <row r="535">
      <c r="A535" s="122" t="s">
        <v>422</v>
      </c>
      <c r="B535" s="122" t="s">
        <v>2382</v>
      </c>
      <c r="C535" s="122" t="s">
        <v>1913</v>
      </c>
      <c r="D535" s="125">
        <v>1.0</v>
      </c>
      <c r="E535" s="125">
        <v>0.0</v>
      </c>
      <c r="F535" s="125">
        <v>0.0</v>
      </c>
      <c r="G535" s="125">
        <v>3.0</v>
      </c>
      <c r="H535" s="125">
        <v>3.0</v>
      </c>
      <c r="I535" s="125">
        <v>3.0</v>
      </c>
      <c r="J535" s="125">
        <v>0.0</v>
      </c>
      <c r="K535" s="125">
        <v>2.0</v>
      </c>
      <c r="L535" s="125">
        <v>19.0</v>
      </c>
    </row>
    <row r="536">
      <c r="A536" s="122" t="s">
        <v>42</v>
      </c>
      <c r="B536" s="122" t="s">
        <v>2383</v>
      </c>
      <c r="C536" s="122" t="s">
        <v>1913</v>
      </c>
      <c r="D536" s="125">
        <v>2.0</v>
      </c>
      <c r="E536" s="125">
        <v>2.0</v>
      </c>
      <c r="F536" s="125">
        <v>1.0</v>
      </c>
      <c r="G536" s="125">
        <v>18.0</v>
      </c>
      <c r="H536" s="125">
        <v>4.0</v>
      </c>
      <c r="I536" s="125">
        <v>7.0</v>
      </c>
      <c r="J536" s="125">
        <v>1.0</v>
      </c>
      <c r="K536" s="125">
        <v>6.0</v>
      </c>
      <c r="L536" s="125">
        <v>22.0</v>
      </c>
    </row>
    <row r="537">
      <c r="A537" s="122" t="s">
        <v>419</v>
      </c>
      <c r="B537" s="122" t="s">
        <v>2384</v>
      </c>
      <c r="C537" s="122" t="s">
        <v>1913</v>
      </c>
      <c r="D537" s="125">
        <v>20.0</v>
      </c>
      <c r="E537" s="125">
        <v>37.0</v>
      </c>
      <c r="F537" s="125">
        <v>31.0</v>
      </c>
      <c r="G537" s="125">
        <v>57.0</v>
      </c>
      <c r="H537" s="125">
        <v>45.0</v>
      </c>
      <c r="I537" s="125">
        <v>27.0</v>
      </c>
      <c r="J537" s="125">
        <v>1.0</v>
      </c>
      <c r="K537" s="125">
        <v>39.0</v>
      </c>
      <c r="L537" s="125">
        <v>43.0</v>
      </c>
    </row>
    <row r="538">
      <c r="A538" s="122" t="s">
        <v>120</v>
      </c>
      <c r="B538" s="122" t="s">
        <v>2385</v>
      </c>
      <c r="C538" s="122" t="s">
        <v>1913</v>
      </c>
      <c r="D538" s="125">
        <v>2.0</v>
      </c>
      <c r="E538" s="125">
        <v>0.0</v>
      </c>
      <c r="F538" s="125">
        <v>2.0</v>
      </c>
      <c r="G538" s="125">
        <v>7.0</v>
      </c>
      <c r="H538" s="125">
        <v>5.0</v>
      </c>
      <c r="I538" s="125">
        <v>7.0</v>
      </c>
      <c r="J538" s="125">
        <v>1.0</v>
      </c>
      <c r="K538" s="125">
        <v>4.0</v>
      </c>
      <c r="L538" s="125">
        <v>197.0</v>
      </c>
    </row>
    <row r="539">
      <c r="A539" s="122" t="s">
        <v>41</v>
      </c>
      <c r="B539" s="122" t="s">
        <v>2386</v>
      </c>
      <c r="C539" s="122" t="s">
        <v>1913</v>
      </c>
      <c r="D539" s="125">
        <v>15.0</v>
      </c>
      <c r="E539" s="125">
        <v>9.0</v>
      </c>
      <c r="F539" s="125">
        <v>1.0</v>
      </c>
      <c r="G539" s="125">
        <v>15.0</v>
      </c>
      <c r="H539" s="125">
        <v>0.0</v>
      </c>
      <c r="I539" s="125">
        <v>3.0</v>
      </c>
      <c r="J539" s="125">
        <v>1.0</v>
      </c>
      <c r="K539" s="125">
        <v>6.0</v>
      </c>
      <c r="L539" s="125">
        <v>8.0</v>
      </c>
    </row>
    <row r="540">
      <c r="A540" s="122" t="s">
        <v>80</v>
      </c>
      <c r="B540" s="122" t="s">
        <v>2387</v>
      </c>
      <c r="C540" s="122" t="s">
        <v>1913</v>
      </c>
      <c r="D540" s="125">
        <v>10.0</v>
      </c>
      <c r="E540" s="125">
        <v>24.0</v>
      </c>
      <c r="F540" s="125">
        <v>18.0</v>
      </c>
      <c r="G540" s="125">
        <v>18.0</v>
      </c>
      <c r="H540" s="125">
        <v>38.0</v>
      </c>
      <c r="I540" s="125">
        <v>31.0</v>
      </c>
      <c r="J540" s="125">
        <v>2.0</v>
      </c>
      <c r="K540" s="125">
        <v>26.0</v>
      </c>
      <c r="L540" s="125">
        <v>7.0</v>
      </c>
    </row>
    <row r="541">
      <c r="A541" s="122" t="s">
        <v>82</v>
      </c>
      <c r="B541" s="122" t="s">
        <v>2388</v>
      </c>
      <c r="C541" s="122" t="s">
        <v>1913</v>
      </c>
      <c r="D541" s="125">
        <v>4.0</v>
      </c>
      <c r="E541" s="125">
        <v>6.0</v>
      </c>
      <c r="F541" s="125">
        <v>1.0</v>
      </c>
      <c r="G541" s="125">
        <v>2.0</v>
      </c>
      <c r="H541" s="125">
        <v>3.0</v>
      </c>
      <c r="I541" s="125">
        <v>1.0</v>
      </c>
      <c r="J541" s="125">
        <v>0.0</v>
      </c>
      <c r="K541" s="125">
        <v>3.0</v>
      </c>
      <c r="L541" s="125">
        <v>0.0</v>
      </c>
    </row>
    <row r="542">
      <c r="A542" s="122" t="s">
        <v>83</v>
      </c>
      <c r="B542" s="122" t="s">
        <v>2389</v>
      </c>
      <c r="C542" s="122" t="s">
        <v>1913</v>
      </c>
      <c r="D542" s="125">
        <v>4.0</v>
      </c>
      <c r="E542" s="125">
        <v>5.0</v>
      </c>
      <c r="F542" s="125">
        <v>3.0</v>
      </c>
      <c r="G542" s="125">
        <v>3.0</v>
      </c>
      <c r="H542" s="125">
        <v>0.0</v>
      </c>
      <c r="I542" s="125">
        <v>0.0</v>
      </c>
      <c r="J542" s="125">
        <v>0.0</v>
      </c>
      <c r="K542" s="125">
        <v>2.0</v>
      </c>
      <c r="L542" s="125">
        <v>0.0</v>
      </c>
    </row>
    <row r="543">
      <c r="A543" s="122" t="s">
        <v>86</v>
      </c>
      <c r="B543" s="122" t="s">
        <v>2390</v>
      </c>
      <c r="C543" s="122" t="s">
        <v>1913</v>
      </c>
      <c r="D543" s="125">
        <v>2.0</v>
      </c>
      <c r="E543" s="125">
        <v>2.0</v>
      </c>
      <c r="F543" s="125">
        <v>2.0</v>
      </c>
      <c r="G543" s="125">
        <v>1.0</v>
      </c>
      <c r="H543" s="125">
        <v>1.0</v>
      </c>
      <c r="I543" s="125">
        <v>1.0</v>
      </c>
      <c r="J543" s="125">
        <v>0.0</v>
      </c>
      <c r="K543" s="125">
        <v>1.0</v>
      </c>
      <c r="L543" s="125">
        <v>25.0</v>
      </c>
    </row>
    <row r="544">
      <c r="A544" s="122" t="s">
        <v>85</v>
      </c>
      <c r="B544" s="122" t="s">
        <v>2391</v>
      </c>
      <c r="C544" s="122" t="s">
        <v>1913</v>
      </c>
      <c r="D544" s="125">
        <v>2.0</v>
      </c>
      <c r="E544" s="125">
        <v>0.0</v>
      </c>
      <c r="F544" s="125">
        <v>3.0</v>
      </c>
      <c r="G544" s="125">
        <v>2.0</v>
      </c>
      <c r="H544" s="125">
        <v>3.0</v>
      </c>
      <c r="I544" s="125">
        <v>5.0</v>
      </c>
      <c r="J544" s="125">
        <v>0.0</v>
      </c>
      <c r="K544" s="125">
        <v>3.0</v>
      </c>
      <c r="L544" s="125">
        <v>12.0</v>
      </c>
    </row>
    <row r="545">
      <c r="A545" s="122" t="s">
        <v>44</v>
      </c>
      <c r="B545" s="122" t="s">
        <v>2392</v>
      </c>
      <c r="C545" s="122" t="s">
        <v>1913</v>
      </c>
      <c r="D545" s="125">
        <v>2.0</v>
      </c>
      <c r="E545" s="125">
        <v>0.0</v>
      </c>
      <c r="F545" s="125">
        <v>0.0</v>
      </c>
      <c r="G545" s="125">
        <v>0.0</v>
      </c>
      <c r="H545" s="125">
        <v>0.0</v>
      </c>
      <c r="I545" s="125">
        <v>0.0</v>
      </c>
      <c r="J545" s="125">
        <v>0.0</v>
      </c>
      <c r="K545" s="125">
        <v>0.0</v>
      </c>
      <c r="L545" s="125">
        <v>25.0</v>
      </c>
    </row>
    <row r="546">
      <c r="A546" s="122" t="s">
        <v>45</v>
      </c>
      <c r="B546" s="122" t="s">
        <v>2393</v>
      </c>
      <c r="C546" s="122" t="s">
        <v>1913</v>
      </c>
      <c r="D546" s="125">
        <v>2.0</v>
      </c>
      <c r="E546" s="125">
        <v>1.0</v>
      </c>
      <c r="F546" s="125">
        <v>1.0</v>
      </c>
      <c r="G546" s="125">
        <v>2.0</v>
      </c>
      <c r="H546" s="125">
        <v>1.0</v>
      </c>
      <c r="I546" s="125">
        <v>0.0</v>
      </c>
      <c r="J546" s="125">
        <v>0.0</v>
      </c>
      <c r="K546" s="125">
        <v>1.0</v>
      </c>
      <c r="L546" s="125">
        <v>16.0</v>
      </c>
    </row>
    <row r="547">
      <c r="A547" s="122" t="s">
        <v>43</v>
      </c>
      <c r="B547" s="122" t="s">
        <v>2394</v>
      </c>
      <c r="C547" s="122" t="s">
        <v>1913</v>
      </c>
      <c r="D547" s="125">
        <v>3.0</v>
      </c>
      <c r="E547" s="125">
        <v>0.0</v>
      </c>
      <c r="F547" s="125">
        <v>2.0</v>
      </c>
      <c r="G547" s="125">
        <v>8.0</v>
      </c>
      <c r="H547" s="125">
        <v>3.0</v>
      </c>
      <c r="I547" s="125">
        <v>0.0</v>
      </c>
      <c r="J547" s="125">
        <v>0.0</v>
      </c>
      <c r="K547" s="125">
        <v>3.0</v>
      </c>
      <c r="L547" s="125">
        <v>0.0</v>
      </c>
    </row>
    <row r="548">
      <c r="A548" s="122" t="s">
        <v>84</v>
      </c>
      <c r="B548" s="122" t="s">
        <v>2395</v>
      </c>
      <c r="C548" s="122" t="s">
        <v>1913</v>
      </c>
      <c r="D548" s="125">
        <v>4.0</v>
      </c>
      <c r="E548" s="125">
        <v>3.0</v>
      </c>
      <c r="F548" s="125">
        <v>2.0</v>
      </c>
      <c r="G548" s="125">
        <v>1.0</v>
      </c>
      <c r="H548" s="125">
        <v>2.0</v>
      </c>
      <c r="I548" s="125">
        <v>3.0</v>
      </c>
      <c r="J548" s="125">
        <v>0.0</v>
      </c>
      <c r="K548" s="125">
        <v>2.0</v>
      </c>
      <c r="L548" s="125">
        <v>2.0</v>
      </c>
    </row>
    <row r="549">
      <c r="A549" s="122" t="s">
        <v>115</v>
      </c>
      <c r="B549" s="122" t="s">
        <v>1638</v>
      </c>
      <c r="C549" s="122" t="s">
        <v>1913</v>
      </c>
      <c r="D549" s="125">
        <v>2.0</v>
      </c>
      <c r="E549" s="125">
        <v>0.0</v>
      </c>
      <c r="F549" s="125">
        <v>0.0</v>
      </c>
      <c r="G549" s="125">
        <v>4.0</v>
      </c>
      <c r="H549" s="125">
        <v>2.0</v>
      </c>
      <c r="I549" s="125">
        <v>8.0</v>
      </c>
      <c r="J549" s="125">
        <v>0.0</v>
      </c>
      <c r="K549" s="125">
        <v>3.0</v>
      </c>
      <c r="L549" s="125">
        <v>69.0</v>
      </c>
    </row>
    <row r="550">
      <c r="A550" s="122" t="s">
        <v>48</v>
      </c>
      <c r="B550" s="122" t="s">
        <v>1607</v>
      </c>
      <c r="C550" s="122" t="s">
        <v>1913</v>
      </c>
      <c r="D550" s="125">
        <v>1.0</v>
      </c>
      <c r="E550" s="125">
        <v>4.0</v>
      </c>
      <c r="F550" s="125">
        <v>3.0</v>
      </c>
      <c r="G550" s="125">
        <v>6.0</v>
      </c>
      <c r="H550" s="125">
        <v>1.0</v>
      </c>
      <c r="I550" s="125">
        <v>2.0</v>
      </c>
      <c r="J550" s="125">
        <v>0.0</v>
      </c>
      <c r="K550" s="125">
        <v>3.0</v>
      </c>
      <c r="L550" s="125">
        <v>174.0</v>
      </c>
    </row>
    <row r="551">
      <c r="A551" s="122" t="s">
        <v>119</v>
      </c>
      <c r="B551" s="122" t="s">
        <v>1642</v>
      </c>
      <c r="C551" s="122" t="s">
        <v>1913</v>
      </c>
      <c r="D551" s="125">
        <v>4.0</v>
      </c>
      <c r="E551" s="125">
        <v>0.0</v>
      </c>
      <c r="F551" s="125">
        <v>4.0</v>
      </c>
      <c r="G551" s="125">
        <v>1.0</v>
      </c>
      <c r="H551" s="125">
        <v>6.0</v>
      </c>
      <c r="I551" s="125">
        <v>6.0</v>
      </c>
      <c r="J551" s="125">
        <v>0.0</v>
      </c>
      <c r="K551" s="125">
        <v>3.0</v>
      </c>
      <c r="L551" s="125">
        <v>8.0</v>
      </c>
    </row>
    <row r="552">
      <c r="A552" s="122" t="s">
        <v>114</v>
      </c>
      <c r="B552" s="122" t="s">
        <v>1637</v>
      </c>
      <c r="C552" s="122" t="s">
        <v>1913</v>
      </c>
      <c r="D552" s="125">
        <v>2.0</v>
      </c>
      <c r="E552" s="125">
        <v>0.0</v>
      </c>
      <c r="F552" s="125">
        <v>0.0</v>
      </c>
      <c r="G552" s="125">
        <v>9.0</v>
      </c>
      <c r="H552" s="125">
        <v>10.0</v>
      </c>
      <c r="I552" s="125">
        <v>16.0</v>
      </c>
      <c r="J552" s="125">
        <v>0.0</v>
      </c>
      <c r="K552" s="125">
        <v>7.0</v>
      </c>
      <c r="L552" s="125">
        <v>14.0</v>
      </c>
    </row>
    <row r="553">
      <c r="A553" s="122" t="s">
        <v>49</v>
      </c>
      <c r="B553" s="122" t="s">
        <v>1609</v>
      </c>
      <c r="C553" s="122" t="s">
        <v>1913</v>
      </c>
      <c r="D553" s="125">
        <v>1.0</v>
      </c>
      <c r="E553" s="125">
        <v>1.0</v>
      </c>
      <c r="F553" s="125">
        <v>3.0</v>
      </c>
      <c r="G553" s="125">
        <v>5.0</v>
      </c>
      <c r="H553" s="125">
        <v>6.0</v>
      </c>
      <c r="I553" s="125">
        <v>1.0</v>
      </c>
      <c r="J553" s="125">
        <v>0.0</v>
      </c>
      <c r="K553" s="125">
        <v>3.0</v>
      </c>
      <c r="L553" s="125">
        <v>169.0</v>
      </c>
    </row>
    <row r="554">
      <c r="A554" s="122" t="s">
        <v>117</v>
      </c>
      <c r="B554" s="122" t="s">
        <v>1640</v>
      </c>
      <c r="C554" s="122" t="s">
        <v>1913</v>
      </c>
      <c r="D554" s="125">
        <v>1.0</v>
      </c>
      <c r="E554" s="125">
        <v>0.0</v>
      </c>
      <c r="F554" s="125">
        <v>0.0</v>
      </c>
      <c r="G554" s="125">
        <v>2.0</v>
      </c>
      <c r="H554" s="125">
        <v>2.0</v>
      </c>
      <c r="I554" s="125">
        <v>0.0</v>
      </c>
      <c r="J554" s="125">
        <v>0.0</v>
      </c>
      <c r="K554" s="125">
        <v>1.0</v>
      </c>
      <c r="L554" s="125">
        <v>41.0</v>
      </c>
    </row>
    <row r="555">
      <c r="A555" s="122" t="s">
        <v>118</v>
      </c>
      <c r="B555" s="122" t="s">
        <v>1641</v>
      </c>
      <c r="C555" s="122" t="s">
        <v>1913</v>
      </c>
      <c r="D555" s="125">
        <v>1.0</v>
      </c>
      <c r="E555" s="125">
        <v>0.0</v>
      </c>
      <c r="F555" s="125">
        <v>0.0</v>
      </c>
      <c r="G555" s="125">
        <v>0.0</v>
      </c>
      <c r="H555" s="125">
        <v>0.0</v>
      </c>
      <c r="I555" s="125">
        <v>1.0</v>
      </c>
      <c r="J555" s="125">
        <v>0.0</v>
      </c>
      <c r="K555" s="125">
        <v>0.0</v>
      </c>
      <c r="L555" s="125">
        <v>24.0</v>
      </c>
    </row>
    <row r="556">
      <c r="A556" s="122" t="s">
        <v>47</v>
      </c>
      <c r="B556" s="122" t="s">
        <v>1605</v>
      </c>
      <c r="C556" s="122" t="s">
        <v>1913</v>
      </c>
      <c r="D556" s="125">
        <v>1.0</v>
      </c>
      <c r="E556" s="125">
        <v>4.0</v>
      </c>
      <c r="F556" s="125">
        <v>11.0</v>
      </c>
      <c r="G556" s="125">
        <v>11.0</v>
      </c>
      <c r="H556" s="125">
        <v>4.0</v>
      </c>
      <c r="I556" s="125">
        <v>10.0</v>
      </c>
      <c r="J556" s="125">
        <v>0.0</v>
      </c>
      <c r="K556" s="125">
        <v>8.0</v>
      </c>
      <c r="L556" s="125">
        <v>166.0</v>
      </c>
    </row>
    <row r="557">
      <c r="A557" s="122" t="s">
        <v>116</v>
      </c>
      <c r="B557" s="122" t="s">
        <v>1639</v>
      </c>
      <c r="C557" s="122" t="s">
        <v>1913</v>
      </c>
      <c r="D557" s="125">
        <v>1.0</v>
      </c>
      <c r="E557" s="125">
        <v>0.0</v>
      </c>
      <c r="F557" s="125">
        <v>0.0</v>
      </c>
      <c r="G557" s="125">
        <v>0.0</v>
      </c>
      <c r="H557" s="125">
        <v>2.0</v>
      </c>
      <c r="I557" s="125">
        <v>2.0</v>
      </c>
      <c r="J557" s="125">
        <v>0.0</v>
      </c>
      <c r="K557" s="125">
        <v>1.0</v>
      </c>
      <c r="L557" s="125">
        <v>46.0</v>
      </c>
    </row>
    <row r="558">
      <c r="A558" s="122" t="s">
        <v>46</v>
      </c>
      <c r="B558" s="122" t="s">
        <v>1603</v>
      </c>
      <c r="C558" s="122" t="s">
        <v>1913</v>
      </c>
      <c r="D558" s="125">
        <v>1.0</v>
      </c>
      <c r="E558" s="125">
        <v>6.0</v>
      </c>
      <c r="F558" s="125">
        <v>1.0</v>
      </c>
      <c r="G558" s="125">
        <v>7.0</v>
      </c>
      <c r="H558" s="125">
        <v>5.0</v>
      </c>
      <c r="I558" s="125">
        <v>4.0</v>
      </c>
      <c r="J558" s="125">
        <v>1.0</v>
      </c>
      <c r="K558" s="125">
        <v>5.0</v>
      </c>
      <c r="L558" s="125">
        <v>182.0</v>
      </c>
    </row>
    <row r="559">
      <c r="A559" s="122" t="s">
        <v>95</v>
      </c>
      <c r="B559" s="122" t="s">
        <v>1677</v>
      </c>
      <c r="C559" s="122" t="s">
        <v>1913</v>
      </c>
      <c r="D559" s="125">
        <v>30.0</v>
      </c>
      <c r="E559" s="125">
        <v>80.0</v>
      </c>
      <c r="F559" s="125">
        <v>6.0</v>
      </c>
      <c r="G559" s="125">
        <v>0.0</v>
      </c>
      <c r="H559" s="125">
        <v>18.0</v>
      </c>
      <c r="I559" s="125">
        <v>1.0</v>
      </c>
      <c r="J559" s="125">
        <v>0.0</v>
      </c>
      <c r="K559" s="125">
        <v>21.0</v>
      </c>
      <c r="L559" s="125">
        <v>0.0</v>
      </c>
    </row>
    <row r="560">
      <c r="A560" s="122" t="s">
        <v>2396</v>
      </c>
      <c r="B560" s="122" t="s">
        <v>2397</v>
      </c>
      <c r="C560" s="122" t="s">
        <v>1829</v>
      </c>
      <c r="D560" s="125">
        <v>0.0</v>
      </c>
      <c r="E560" s="125">
        <v>0.0</v>
      </c>
      <c r="F560" s="125">
        <v>0.0</v>
      </c>
      <c r="G560" s="125">
        <v>0.0</v>
      </c>
      <c r="H560" s="125">
        <v>0.0</v>
      </c>
      <c r="I560" s="125">
        <v>0.0</v>
      </c>
      <c r="J560" s="125">
        <v>0.0</v>
      </c>
      <c r="K560" s="125">
        <v>0.0</v>
      </c>
      <c r="L560" s="125">
        <v>0.0</v>
      </c>
    </row>
    <row r="561">
      <c r="A561" s="122" t="s">
        <v>2398</v>
      </c>
      <c r="B561" s="122" t="s">
        <v>2399</v>
      </c>
      <c r="C561" s="122" t="s">
        <v>1829</v>
      </c>
      <c r="D561" s="125">
        <v>0.0</v>
      </c>
      <c r="E561" s="125">
        <v>0.0</v>
      </c>
      <c r="F561" s="125">
        <v>0.0</v>
      </c>
      <c r="G561" s="125">
        <v>0.0</v>
      </c>
      <c r="H561" s="125">
        <v>0.0</v>
      </c>
      <c r="I561" s="125">
        <v>0.0</v>
      </c>
      <c r="J561" s="125">
        <v>0.0</v>
      </c>
      <c r="K561" s="125">
        <v>0.0</v>
      </c>
      <c r="L561" s="125">
        <v>0.0</v>
      </c>
    </row>
    <row r="562">
      <c r="A562" s="122" t="s">
        <v>2400</v>
      </c>
      <c r="B562" s="122" t="s">
        <v>2401</v>
      </c>
      <c r="C562" s="122" t="s">
        <v>1829</v>
      </c>
      <c r="D562" s="125">
        <v>0.0</v>
      </c>
      <c r="E562" s="125">
        <v>0.0</v>
      </c>
      <c r="F562" s="125">
        <v>0.0</v>
      </c>
      <c r="G562" s="125">
        <v>0.0</v>
      </c>
      <c r="H562" s="125">
        <v>0.0</v>
      </c>
      <c r="I562" s="125">
        <v>0.0</v>
      </c>
      <c r="J562" s="125">
        <v>0.0</v>
      </c>
      <c r="K562" s="125">
        <v>0.0</v>
      </c>
      <c r="L562" s="125">
        <v>0.0</v>
      </c>
    </row>
    <row r="563">
      <c r="A563" s="122" t="s">
        <v>2402</v>
      </c>
      <c r="B563" s="122" t="s">
        <v>2268</v>
      </c>
      <c r="C563" s="122" t="s">
        <v>1829</v>
      </c>
      <c r="D563" s="125">
        <v>0.0</v>
      </c>
      <c r="E563" s="125">
        <v>0.0</v>
      </c>
      <c r="F563" s="125">
        <v>0.0</v>
      </c>
      <c r="G563" s="125">
        <v>0.0</v>
      </c>
      <c r="H563" s="125">
        <v>0.0</v>
      </c>
      <c r="I563" s="125">
        <v>0.0</v>
      </c>
      <c r="J563" s="125">
        <v>0.0</v>
      </c>
      <c r="K563" s="125">
        <v>0.0</v>
      </c>
      <c r="L563" s="125">
        <v>0.0</v>
      </c>
    </row>
    <row r="564">
      <c r="A564" s="122" t="s">
        <v>2403</v>
      </c>
      <c r="B564" s="122" t="s">
        <v>2404</v>
      </c>
      <c r="C564" s="122" t="s">
        <v>1829</v>
      </c>
      <c r="D564" s="125">
        <v>0.0</v>
      </c>
      <c r="E564" s="125">
        <v>0.0</v>
      </c>
      <c r="F564" s="125">
        <v>0.0</v>
      </c>
      <c r="G564" s="125">
        <v>0.0</v>
      </c>
      <c r="H564" s="125">
        <v>0.0</v>
      </c>
      <c r="I564" s="125">
        <v>0.0</v>
      </c>
      <c r="J564" s="125">
        <v>0.0</v>
      </c>
      <c r="K564" s="125">
        <v>0.0</v>
      </c>
      <c r="L564" s="125">
        <v>0.0</v>
      </c>
    </row>
    <row r="565">
      <c r="A565" s="122" t="s">
        <v>2405</v>
      </c>
      <c r="B565" s="122" t="s">
        <v>2406</v>
      </c>
      <c r="C565" s="122" t="s">
        <v>1829</v>
      </c>
      <c r="D565" s="125">
        <v>0.0</v>
      </c>
      <c r="E565" s="125">
        <v>0.0</v>
      </c>
      <c r="F565" s="125">
        <v>0.0</v>
      </c>
      <c r="G565" s="125">
        <v>0.0</v>
      </c>
      <c r="H565" s="125">
        <v>0.0</v>
      </c>
      <c r="I565" s="125">
        <v>0.0</v>
      </c>
      <c r="J565" s="125">
        <v>0.0</v>
      </c>
      <c r="K565" s="125">
        <v>0.0</v>
      </c>
      <c r="L565" s="125">
        <v>0.0</v>
      </c>
    </row>
    <row r="566">
      <c r="A566" s="122" t="s">
        <v>2407</v>
      </c>
      <c r="B566" s="122" t="s">
        <v>2408</v>
      </c>
      <c r="C566" s="122" t="s">
        <v>1829</v>
      </c>
      <c r="D566" s="125">
        <v>0.0</v>
      </c>
      <c r="E566" s="125">
        <v>0.0</v>
      </c>
      <c r="F566" s="125">
        <v>0.0</v>
      </c>
      <c r="G566" s="125">
        <v>0.0</v>
      </c>
      <c r="H566" s="125">
        <v>0.0</v>
      </c>
      <c r="I566" s="125">
        <v>0.0</v>
      </c>
      <c r="J566" s="125">
        <v>0.0</v>
      </c>
      <c r="K566" s="125">
        <v>0.0</v>
      </c>
      <c r="L566" s="125">
        <v>0.0</v>
      </c>
    </row>
    <row r="567">
      <c r="A567" s="122" t="s">
        <v>2409</v>
      </c>
      <c r="B567" s="122" t="s">
        <v>2410</v>
      </c>
      <c r="C567" s="122" t="s">
        <v>1829</v>
      </c>
      <c r="D567" s="125">
        <v>0.0</v>
      </c>
      <c r="E567" s="125">
        <v>0.0</v>
      </c>
      <c r="F567" s="125">
        <v>0.0</v>
      </c>
      <c r="G567" s="125">
        <v>0.0</v>
      </c>
      <c r="H567" s="125">
        <v>0.0</v>
      </c>
      <c r="I567" s="125">
        <v>0.0</v>
      </c>
      <c r="J567" s="125">
        <v>0.0</v>
      </c>
      <c r="K567" s="125">
        <v>0.0</v>
      </c>
      <c r="L567" s="125">
        <v>0.0</v>
      </c>
    </row>
    <row r="568">
      <c r="A568" s="122" t="s">
        <v>2411</v>
      </c>
      <c r="B568" s="122" t="s">
        <v>2412</v>
      </c>
      <c r="C568" s="122" t="s">
        <v>1829</v>
      </c>
      <c r="D568" s="125">
        <v>0.0</v>
      </c>
      <c r="E568" s="125">
        <v>0.0</v>
      </c>
      <c r="F568" s="125">
        <v>0.0</v>
      </c>
      <c r="G568" s="125">
        <v>0.0</v>
      </c>
      <c r="H568" s="125">
        <v>0.0</v>
      </c>
      <c r="I568" s="125">
        <v>0.0</v>
      </c>
      <c r="J568" s="125">
        <v>0.0</v>
      </c>
      <c r="K568" s="125">
        <v>0.0</v>
      </c>
      <c r="L568" s="125">
        <v>0.0</v>
      </c>
    </row>
    <row r="569">
      <c r="A569" s="122" t="s">
        <v>2413</v>
      </c>
      <c r="B569" s="122" t="s">
        <v>2414</v>
      </c>
      <c r="C569" s="122" t="s">
        <v>1829</v>
      </c>
      <c r="D569" s="125">
        <v>0.0</v>
      </c>
      <c r="E569" s="125">
        <v>0.0</v>
      </c>
      <c r="F569" s="125">
        <v>0.0</v>
      </c>
      <c r="G569" s="125">
        <v>0.0</v>
      </c>
      <c r="H569" s="125">
        <v>0.0</v>
      </c>
      <c r="I569" s="125">
        <v>0.0</v>
      </c>
      <c r="J569" s="125">
        <v>0.0</v>
      </c>
      <c r="K569" s="125">
        <v>0.0</v>
      </c>
      <c r="L569" s="125">
        <v>0.0</v>
      </c>
    </row>
    <row r="570">
      <c r="A570" s="122" t="s">
        <v>2415</v>
      </c>
      <c r="B570" s="122" t="s">
        <v>2416</v>
      </c>
      <c r="C570" s="122" t="s">
        <v>1829</v>
      </c>
      <c r="D570" s="125">
        <v>0.0</v>
      </c>
      <c r="E570" s="125">
        <v>0.0</v>
      </c>
      <c r="F570" s="125">
        <v>0.0</v>
      </c>
      <c r="G570" s="125">
        <v>0.0</v>
      </c>
      <c r="H570" s="125">
        <v>0.0</v>
      </c>
      <c r="I570" s="125">
        <v>0.0</v>
      </c>
      <c r="J570" s="125">
        <v>0.0</v>
      </c>
      <c r="K570" s="125">
        <v>0.0</v>
      </c>
      <c r="L570" s="125">
        <v>0.0</v>
      </c>
    </row>
    <row r="571">
      <c r="A571" s="122" t="s">
        <v>2417</v>
      </c>
      <c r="B571" s="122" t="s">
        <v>2418</v>
      </c>
      <c r="C571" s="122" t="s">
        <v>1829</v>
      </c>
      <c r="D571" s="125">
        <v>0.0</v>
      </c>
      <c r="E571" s="125">
        <v>0.0</v>
      </c>
      <c r="F571" s="125">
        <v>0.0</v>
      </c>
      <c r="G571" s="125">
        <v>0.0</v>
      </c>
      <c r="H571" s="125">
        <v>0.0</v>
      </c>
      <c r="I571" s="125">
        <v>0.0</v>
      </c>
      <c r="J571" s="125">
        <v>0.0</v>
      </c>
      <c r="K571" s="125">
        <v>0.0</v>
      </c>
      <c r="L571" s="125">
        <v>0.0</v>
      </c>
    </row>
    <row r="572">
      <c r="A572" s="122" t="s">
        <v>2419</v>
      </c>
      <c r="B572" s="122" t="s">
        <v>2418</v>
      </c>
      <c r="C572" s="122" t="s">
        <v>1829</v>
      </c>
      <c r="D572" s="125">
        <v>0.0</v>
      </c>
      <c r="E572" s="125">
        <v>0.0</v>
      </c>
      <c r="F572" s="125">
        <v>0.0</v>
      </c>
      <c r="G572" s="125">
        <v>0.0</v>
      </c>
      <c r="H572" s="125">
        <v>0.0</v>
      </c>
      <c r="I572" s="125">
        <v>0.0</v>
      </c>
      <c r="J572" s="125">
        <v>0.0</v>
      </c>
      <c r="K572" s="125">
        <v>0.0</v>
      </c>
      <c r="L572" s="125">
        <v>0.0</v>
      </c>
    </row>
    <row r="573">
      <c r="A573" s="122" t="s">
        <v>2420</v>
      </c>
      <c r="B573" s="122" t="s">
        <v>2418</v>
      </c>
      <c r="C573" s="122" t="s">
        <v>1829</v>
      </c>
      <c r="D573" s="125">
        <v>0.0</v>
      </c>
      <c r="E573" s="125">
        <v>0.0</v>
      </c>
      <c r="F573" s="125">
        <v>0.0</v>
      </c>
      <c r="G573" s="125">
        <v>0.0</v>
      </c>
      <c r="H573" s="125">
        <v>0.0</v>
      </c>
      <c r="I573" s="125">
        <v>0.0</v>
      </c>
      <c r="J573" s="125">
        <v>0.0</v>
      </c>
      <c r="K573" s="125">
        <v>0.0</v>
      </c>
      <c r="L573" s="125">
        <v>0.0</v>
      </c>
    </row>
    <row r="574">
      <c r="A574" s="122" t="s">
        <v>2421</v>
      </c>
      <c r="B574" s="122" t="s">
        <v>2418</v>
      </c>
      <c r="C574" s="122" t="s">
        <v>1829</v>
      </c>
      <c r="D574" s="125">
        <v>0.0</v>
      </c>
      <c r="E574" s="125">
        <v>0.0</v>
      </c>
      <c r="F574" s="125">
        <v>0.0</v>
      </c>
      <c r="G574" s="125">
        <v>0.0</v>
      </c>
      <c r="H574" s="125">
        <v>0.0</v>
      </c>
      <c r="I574" s="125">
        <v>0.0</v>
      </c>
      <c r="J574" s="125">
        <v>0.0</v>
      </c>
      <c r="K574" s="125">
        <v>0.0</v>
      </c>
      <c r="L574" s="125">
        <v>0.0</v>
      </c>
    </row>
    <row r="575">
      <c r="A575" s="122" t="s">
        <v>2422</v>
      </c>
      <c r="B575" s="122" t="s">
        <v>2418</v>
      </c>
      <c r="C575" s="122" t="s">
        <v>1829</v>
      </c>
      <c r="D575" s="125">
        <v>0.0</v>
      </c>
      <c r="E575" s="125">
        <v>0.0</v>
      </c>
      <c r="F575" s="125">
        <v>0.0</v>
      </c>
      <c r="G575" s="125">
        <v>0.0</v>
      </c>
      <c r="H575" s="125">
        <v>0.0</v>
      </c>
      <c r="I575" s="125">
        <v>0.0</v>
      </c>
      <c r="J575" s="125">
        <v>0.0</v>
      </c>
      <c r="K575" s="125">
        <v>0.0</v>
      </c>
      <c r="L575" s="125">
        <v>0.0</v>
      </c>
    </row>
    <row r="576">
      <c r="A576" s="122" t="s">
        <v>2423</v>
      </c>
      <c r="B576" s="122" t="s">
        <v>2424</v>
      </c>
      <c r="C576" s="122" t="s">
        <v>1829</v>
      </c>
      <c r="D576" s="125">
        <v>0.0</v>
      </c>
      <c r="E576" s="125">
        <v>0.0</v>
      </c>
      <c r="F576" s="125">
        <v>0.0</v>
      </c>
      <c r="G576" s="125">
        <v>0.0</v>
      </c>
      <c r="H576" s="125">
        <v>0.0</v>
      </c>
      <c r="I576" s="125">
        <v>0.0</v>
      </c>
      <c r="J576" s="125">
        <v>0.0</v>
      </c>
      <c r="K576" s="125">
        <v>0.0</v>
      </c>
      <c r="L576" s="125">
        <v>0.0</v>
      </c>
    </row>
    <row r="577">
      <c r="A577" s="122" t="s">
        <v>2425</v>
      </c>
      <c r="B577" s="122" t="s">
        <v>2426</v>
      </c>
      <c r="C577" s="122" t="s">
        <v>1829</v>
      </c>
      <c r="D577" s="125">
        <v>0.0</v>
      </c>
      <c r="E577" s="125">
        <v>0.0</v>
      </c>
      <c r="F577" s="125">
        <v>0.0</v>
      </c>
      <c r="G577" s="125">
        <v>0.0</v>
      </c>
      <c r="H577" s="125">
        <v>0.0</v>
      </c>
      <c r="I577" s="125">
        <v>0.0</v>
      </c>
      <c r="J577" s="125">
        <v>0.0</v>
      </c>
      <c r="K577" s="125">
        <v>0.0</v>
      </c>
      <c r="L577" s="125">
        <v>0.0</v>
      </c>
    </row>
    <row r="578">
      <c r="A578" s="122" t="s">
        <v>2427</v>
      </c>
      <c r="B578" s="122" t="s">
        <v>2428</v>
      </c>
      <c r="C578" s="122" t="s">
        <v>1829</v>
      </c>
      <c r="D578" s="125">
        <v>0.0</v>
      </c>
      <c r="E578" s="125">
        <v>0.0</v>
      </c>
      <c r="F578" s="125">
        <v>0.0</v>
      </c>
      <c r="G578" s="125">
        <v>0.0</v>
      </c>
      <c r="H578" s="125">
        <v>0.0</v>
      </c>
      <c r="I578" s="125">
        <v>0.0</v>
      </c>
      <c r="J578" s="125">
        <v>0.0</v>
      </c>
      <c r="K578" s="125">
        <v>0.0</v>
      </c>
      <c r="L578" s="125">
        <v>0.0</v>
      </c>
    </row>
    <row r="579">
      <c r="A579" s="122" t="s">
        <v>2429</v>
      </c>
      <c r="B579" s="122" t="s">
        <v>2430</v>
      </c>
      <c r="C579" s="122" t="s">
        <v>1829</v>
      </c>
      <c r="D579" s="125">
        <v>0.0</v>
      </c>
      <c r="E579" s="125">
        <v>0.0</v>
      </c>
      <c r="F579" s="125">
        <v>0.0</v>
      </c>
      <c r="G579" s="125">
        <v>0.0</v>
      </c>
      <c r="H579" s="125">
        <v>0.0</v>
      </c>
      <c r="I579" s="125">
        <v>0.0</v>
      </c>
      <c r="J579" s="125">
        <v>0.0</v>
      </c>
      <c r="K579" s="125">
        <v>0.0</v>
      </c>
      <c r="L579" s="125">
        <v>0.0</v>
      </c>
    </row>
    <row r="580">
      <c r="A580" s="122" t="s">
        <v>2431</v>
      </c>
      <c r="B580" s="122" t="s">
        <v>2432</v>
      </c>
      <c r="C580" s="122" t="s">
        <v>1829</v>
      </c>
      <c r="D580" s="125">
        <v>0.0</v>
      </c>
      <c r="E580" s="125">
        <v>0.0</v>
      </c>
      <c r="F580" s="125">
        <v>0.0</v>
      </c>
      <c r="G580" s="125">
        <v>0.0</v>
      </c>
      <c r="H580" s="125">
        <v>0.0</v>
      </c>
      <c r="I580" s="125">
        <v>0.0</v>
      </c>
      <c r="J580" s="125">
        <v>0.0</v>
      </c>
      <c r="K580" s="125">
        <v>0.0</v>
      </c>
      <c r="L580" s="125">
        <v>0.0</v>
      </c>
    </row>
    <row r="581">
      <c r="A581" s="122" t="s">
        <v>2433</v>
      </c>
      <c r="B581" s="122" t="s">
        <v>2434</v>
      </c>
      <c r="C581" s="122" t="s">
        <v>1829</v>
      </c>
      <c r="D581" s="125">
        <v>0.0</v>
      </c>
      <c r="E581" s="125">
        <v>0.0</v>
      </c>
      <c r="F581" s="125">
        <v>0.0</v>
      </c>
      <c r="G581" s="125">
        <v>0.0</v>
      </c>
      <c r="H581" s="125">
        <v>0.0</v>
      </c>
      <c r="I581" s="125">
        <v>0.0</v>
      </c>
      <c r="J581" s="125">
        <v>0.0</v>
      </c>
      <c r="K581" s="125">
        <v>0.0</v>
      </c>
      <c r="L581" s="125">
        <v>0.0</v>
      </c>
    </row>
    <row r="582">
      <c r="A582" s="122" t="s">
        <v>2435</v>
      </c>
      <c r="B582" s="122" t="s">
        <v>2436</v>
      </c>
      <c r="C582" s="122" t="s">
        <v>1829</v>
      </c>
      <c r="D582" s="125">
        <v>0.0</v>
      </c>
      <c r="E582" s="125">
        <v>0.0</v>
      </c>
      <c r="F582" s="125">
        <v>0.0</v>
      </c>
      <c r="G582" s="125">
        <v>0.0</v>
      </c>
      <c r="H582" s="125">
        <v>0.0</v>
      </c>
      <c r="I582" s="125">
        <v>0.0</v>
      </c>
      <c r="J582" s="125">
        <v>0.0</v>
      </c>
      <c r="K582" s="125">
        <v>0.0</v>
      </c>
      <c r="L582" s="125">
        <v>0.0</v>
      </c>
    </row>
    <row r="583">
      <c r="A583" s="122" t="s">
        <v>2437</v>
      </c>
      <c r="B583" s="122" t="s">
        <v>2438</v>
      </c>
      <c r="C583" s="122" t="s">
        <v>1829</v>
      </c>
      <c r="D583" s="125">
        <v>0.0</v>
      </c>
      <c r="E583" s="125">
        <v>0.0</v>
      </c>
      <c r="F583" s="125">
        <v>0.0</v>
      </c>
      <c r="G583" s="125">
        <v>0.0</v>
      </c>
      <c r="H583" s="125">
        <v>0.0</v>
      </c>
      <c r="I583" s="125">
        <v>0.0</v>
      </c>
      <c r="J583" s="125">
        <v>0.0</v>
      </c>
      <c r="K583" s="125">
        <v>0.0</v>
      </c>
      <c r="L583" s="125">
        <v>0.0</v>
      </c>
    </row>
    <row r="584">
      <c r="A584" s="122" t="s">
        <v>2439</v>
      </c>
      <c r="B584" s="122" t="s">
        <v>2440</v>
      </c>
      <c r="C584" s="122" t="s">
        <v>1829</v>
      </c>
      <c r="D584" s="125">
        <v>0.0</v>
      </c>
      <c r="E584" s="125">
        <v>0.0</v>
      </c>
      <c r="F584" s="125">
        <v>0.0</v>
      </c>
      <c r="G584" s="125">
        <v>0.0</v>
      </c>
      <c r="H584" s="125">
        <v>0.0</v>
      </c>
      <c r="I584" s="125">
        <v>0.0</v>
      </c>
      <c r="J584" s="125">
        <v>0.0</v>
      </c>
      <c r="K584" s="125">
        <v>0.0</v>
      </c>
      <c r="L584" s="125">
        <v>0.0</v>
      </c>
    </row>
    <row r="585">
      <c r="A585" s="122" t="s">
        <v>2441</v>
      </c>
      <c r="B585" s="122" t="s">
        <v>2442</v>
      </c>
      <c r="C585" s="122" t="s">
        <v>1829</v>
      </c>
      <c r="D585" s="125">
        <v>0.0</v>
      </c>
      <c r="E585" s="125">
        <v>0.0</v>
      </c>
      <c r="F585" s="125">
        <v>0.0</v>
      </c>
      <c r="G585" s="125">
        <v>0.0</v>
      </c>
      <c r="H585" s="125">
        <v>0.0</v>
      </c>
      <c r="I585" s="125">
        <v>0.0</v>
      </c>
      <c r="J585" s="125">
        <v>0.0</v>
      </c>
      <c r="K585" s="125">
        <v>0.0</v>
      </c>
      <c r="L585" s="125">
        <v>0.0</v>
      </c>
    </row>
    <row r="586">
      <c r="A586" s="122" t="s">
        <v>2443</v>
      </c>
      <c r="B586" s="122" t="s">
        <v>2444</v>
      </c>
      <c r="C586" s="122" t="s">
        <v>1829</v>
      </c>
      <c r="D586" s="125">
        <v>0.0</v>
      </c>
      <c r="E586" s="125">
        <v>0.0</v>
      </c>
      <c r="F586" s="125">
        <v>0.0</v>
      </c>
      <c r="G586" s="125">
        <v>0.0</v>
      </c>
      <c r="H586" s="125">
        <v>0.0</v>
      </c>
      <c r="I586" s="125">
        <v>0.0</v>
      </c>
      <c r="J586" s="125">
        <v>0.0</v>
      </c>
      <c r="K586" s="125">
        <v>0.0</v>
      </c>
      <c r="L586" s="125">
        <v>0.0</v>
      </c>
    </row>
    <row r="587">
      <c r="A587" s="122" t="s">
        <v>2445</v>
      </c>
      <c r="B587" s="122" t="s">
        <v>2446</v>
      </c>
      <c r="C587" s="122" t="s">
        <v>1829</v>
      </c>
      <c r="D587" s="125">
        <v>0.0</v>
      </c>
      <c r="E587" s="125">
        <v>0.0</v>
      </c>
      <c r="F587" s="125">
        <v>0.0</v>
      </c>
      <c r="G587" s="125">
        <v>0.0</v>
      </c>
      <c r="H587" s="125">
        <v>0.0</v>
      </c>
      <c r="I587" s="125">
        <v>0.0</v>
      </c>
      <c r="J587" s="125">
        <v>0.0</v>
      </c>
      <c r="K587" s="125">
        <v>0.0</v>
      </c>
      <c r="L587" s="125">
        <v>0.0</v>
      </c>
    </row>
    <row r="588">
      <c r="A588" s="122" t="s">
        <v>2447</v>
      </c>
      <c r="B588" s="122" t="s">
        <v>2448</v>
      </c>
      <c r="C588" s="122" t="s">
        <v>1829</v>
      </c>
      <c r="D588" s="125">
        <v>0.0</v>
      </c>
      <c r="E588" s="125">
        <v>0.0</v>
      </c>
      <c r="F588" s="125">
        <v>0.0</v>
      </c>
      <c r="G588" s="125">
        <v>0.0</v>
      </c>
      <c r="H588" s="125">
        <v>0.0</v>
      </c>
      <c r="I588" s="125">
        <v>0.0</v>
      </c>
      <c r="J588" s="125">
        <v>0.0</v>
      </c>
      <c r="K588" s="125">
        <v>0.0</v>
      </c>
      <c r="L588" s="125">
        <v>0.0</v>
      </c>
    </row>
    <row r="589">
      <c r="A589" s="122" t="s">
        <v>2449</v>
      </c>
      <c r="B589" s="122" t="s">
        <v>2450</v>
      </c>
      <c r="C589" s="122" t="s">
        <v>1829</v>
      </c>
      <c r="D589" s="125">
        <v>0.0</v>
      </c>
      <c r="E589" s="125">
        <v>0.0</v>
      </c>
      <c r="F589" s="125">
        <v>0.0</v>
      </c>
      <c r="G589" s="125">
        <v>0.0</v>
      </c>
      <c r="H589" s="125">
        <v>0.0</v>
      </c>
      <c r="I589" s="125">
        <v>0.0</v>
      </c>
      <c r="J589" s="125">
        <v>0.0</v>
      </c>
      <c r="K589" s="125">
        <v>0.0</v>
      </c>
      <c r="L589" s="125">
        <v>0.0</v>
      </c>
    </row>
    <row r="590">
      <c r="A590" s="122" t="s">
        <v>2451</v>
      </c>
      <c r="B590" s="122" t="s">
        <v>2452</v>
      </c>
      <c r="C590" s="122" t="s">
        <v>1829</v>
      </c>
      <c r="D590" s="125">
        <v>0.0</v>
      </c>
      <c r="E590" s="125">
        <v>0.0</v>
      </c>
      <c r="F590" s="125">
        <v>0.0</v>
      </c>
      <c r="G590" s="125">
        <v>0.0</v>
      </c>
      <c r="H590" s="125">
        <v>0.0</v>
      </c>
      <c r="I590" s="125">
        <v>0.0</v>
      </c>
      <c r="J590" s="125">
        <v>0.0</v>
      </c>
      <c r="K590" s="125">
        <v>0.0</v>
      </c>
      <c r="L590" s="125">
        <v>0.0</v>
      </c>
    </row>
    <row r="591">
      <c r="A591" s="122" t="s">
        <v>2453</v>
      </c>
      <c r="B591" s="122" t="s">
        <v>2454</v>
      </c>
      <c r="C591" s="122" t="s">
        <v>1829</v>
      </c>
      <c r="D591" s="125">
        <v>0.0</v>
      </c>
      <c r="E591" s="125">
        <v>0.0</v>
      </c>
      <c r="F591" s="125">
        <v>0.0</v>
      </c>
      <c r="G591" s="125">
        <v>0.0</v>
      </c>
      <c r="H591" s="125">
        <v>0.0</v>
      </c>
      <c r="I591" s="125">
        <v>0.0</v>
      </c>
      <c r="J591" s="125">
        <v>0.0</v>
      </c>
      <c r="K591" s="125">
        <v>0.0</v>
      </c>
      <c r="L591" s="125">
        <v>0.0</v>
      </c>
    </row>
    <row r="592">
      <c r="A592" s="122" t="s">
        <v>2455</v>
      </c>
      <c r="B592" s="122" t="s">
        <v>2456</v>
      </c>
      <c r="C592" s="122" t="s">
        <v>1829</v>
      </c>
      <c r="D592" s="125">
        <v>0.0</v>
      </c>
      <c r="E592" s="125">
        <v>0.0</v>
      </c>
      <c r="F592" s="125">
        <v>0.0</v>
      </c>
      <c r="G592" s="125">
        <v>0.0</v>
      </c>
      <c r="H592" s="125">
        <v>0.0</v>
      </c>
      <c r="I592" s="125">
        <v>0.0</v>
      </c>
      <c r="J592" s="125">
        <v>0.0</v>
      </c>
      <c r="K592" s="125">
        <v>0.0</v>
      </c>
      <c r="L592" s="125">
        <v>0.0</v>
      </c>
    </row>
    <row r="593">
      <c r="A593" s="122" t="s">
        <v>2457</v>
      </c>
      <c r="B593" s="122" t="s">
        <v>2456</v>
      </c>
      <c r="C593" s="122" t="s">
        <v>1829</v>
      </c>
      <c r="D593" s="125">
        <v>0.0</v>
      </c>
      <c r="E593" s="125">
        <v>0.0</v>
      </c>
      <c r="F593" s="125">
        <v>0.0</v>
      </c>
      <c r="G593" s="125">
        <v>0.0</v>
      </c>
      <c r="H593" s="125">
        <v>0.0</v>
      </c>
      <c r="I593" s="125">
        <v>0.0</v>
      </c>
      <c r="J593" s="125">
        <v>0.0</v>
      </c>
      <c r="K593" s="125">
        <v>0.0</v>
      </c>
      <c r="L593" s="125">
        <v>0.0</v>
      </c>
    </row>
    <row r="594">
      <c r="A594" s="122" t="s">
        <v>2458</v>
      </c>
      <c r="B594" s="122" t="s">
        <v>2459</v>
      </c>
      <c r="C594" s="122" t="s">
        <v>1829</v>
      </c>
      <c r="D594" s="125">
        <v>0.0</v>
      </c>
      <c r="E594" s="125">
        <v>0.0</v>
      </c>
      <c r="F594" s="125">
        <v>0.0</v>
      </c>
      <c r="G594" s="125">
        <v>0.0</v>
      </c>
      <c r="H594" s="125">
        <v>0.0</v>
      </c>
      <c r="I594" s="125">
        <v>0.0</v>
      </c>
      <c r="J594" s="125">
        <v>0.0</v>
      </c>
      <c r="K594" s="125">
        <v>0.0</v>
      </c>
      <c r="L594" s="125">
        <v>0.0</v>
      </c>
    </row>
    <row r="595">
      <c r="A595" s="122" t="s">
        <v>2460</v>
      </c>
      <c r="B595" s="122" t="s">
        <v>2461</v>
      </c>
      <c r="C595" s="122" t="s">
        <v>1829</v>
      </c>
      <c r="D595" s="125">
        <v>0.0</v>
      </c>
      <c r="E595" s="125">
        <v>0.0</v>
      </c>
      <c r="F595" s="125">
        <v>0.0</v>
      </c>
      <c r="G595" s="125">
        <v>0.0</v>
      </c>
      <c r="H595" s="125">
        <v>0.0</v>
      </c>
      <c r="I595" s="125">
        <v>0.0</v>
      </c>
      <c r="J595" s="125">
        <v>0.0</v>
      </c>
      <c r="K595" s="125">
        <v>0.0</v>
      </c>
      <c r="L595" s="125">
        <v>0.0</v>
      </c>
    </row>
    <row r="596">
      <c r="A596" s="122" t="s">
        <v>2462</v>
      </c>
      <c r="B596" s="122" t="s">
        <v>2463</v>
      </c>
      <c r="C596" s="122" t="s">
        <v>1829</v>
      </c>
      <c r="D596" s="125">
        <v>0.0</v>
      </c>
      <c r="E596" s="125">
        <v>0.0</v>
      </c>
      <c r="F596" s="125">
        <v>0.0</v>
      </c>
      <c r="G596" s="125">
        <v>0.0</v>
      </c>
      <c r="H596" s="125">
        <v>0.0</v>
      </c>
      <c r="I596" s="125">
        <v>0.0</v>
      </c>
      <c r="J596" s="125">
        <v>0.0</v>
      </c>
      <c r="K596" s="125">
        <v>0.0</v>
      </c>
      <c r="L596" s="125">
        <v>0.0</v>
      </c>
    </row>
    <row r="597">
      <c r="A597" s="122" t="s">
        <v>2464</v>
      </c>
      <c r="B597" s="122" t="s">
        <v>2465</v>
      </c>
      <c r="C597" s="122" t="s">
        <v>1829</v>
      </c>
      <c r="D597" s="125">
        <v>0.0</v>
      </c>
      <c r="E597" s="125">
        <v>0.0</v>
      </c>
      <c r="F597" s="125">
        <v>0.0</v>
      </c>
      <c r="G597" s="125">
        <v>0.0</v>
      </c>
      <c r="H597" s="125">
        <v>0.0</v>
      </c>
      <c r="I597" s="125">
        <v>0.0</v>
      </c>
      <c r="J597" s="125">
        <v>0.0</v>
      </c>
      <c r="K597" s="125">
        <v>0.0</v>
      </c>
      <c r="L597" s="125">
        <v>0.0</v>
      </c>
    </row>
    <row r="598">
      <c r="A598" s="122" t="s">
        <v>2466</v>
      </c>
      <c r="B598" s="122" t="s">
        <v>2467</v>
      </c>
      <c r="C598" s="122" t="s">
        <v>1829</v>
      </c>
      <c r="D598" s="125">
        <v>0.0</v>
      </c>
      <c r="E598" s="125">
        <v>0.0</v>
      </c>
      <c r="F598" s="125">
        <v>0.0</v>
      </c>
      <c r="G598" s="125">
        <v>0.0</v>
      </c>
      <c r="H598" s="125">
        <v>0.0</v>
      </c>
      <c r="I598" s="125">
        <v>0.0</v>
      </c>
      <c r="J598" s="125">
        <v>0.0</v>
      </c>
      <c r="K598" s="125">
        <v>0.0</v>
      </c>
      <c r="L598" s="125">
        <v>0.0</v>
      </c>
    </row>
    <row r="599">
      <c r="A599" s="122" t="s">
        <v>2468</v>
      </c>
      <c r="B599" s="122" t="s">
        <v>2469</v>
      </c>
      <c r="C599" s="122" t="s">
        <v>1829</v>
      </c>
      <c r="D599" s="125">
        <v>0.0</v>
      </c>
      <c r="E599" s="125">
        <v>0.0</v>
      </c>
      <c r="F599" s="125">
        <v>0.0</v>
      </c>
      <c r="G599" s="125">
        <v>0.0</v>
      </c>
      <c r="H599" s="125">
        <v>0.0</v>
      </c>
      <c r="I599" s="125">
        <v>0.0</v>
      </c>
      <c r="J599" s="125">
        <v>0.0</v>
      </c>
      <c r="K599" s="125">
        <v>0.0</v>
      </c>
      <c r="L599" s="125">
        <v>0.0</v>
      </c>
    </row>
    <row r="600">
      <c r="A600" s="122" t="s">
        <v>2470</v>
      </c>
      <c r="B600" s="122" t="s">
        <v>2471</v>
      </c>
      <c r="C600" s="122" t="s">
        <v>1829</v>
      </c>
      <c r="D600" s="125">
        <v>0.0</v>
      </c>
      <c r="E600" s="125">
        <v>0.0</v>
      </c>
      <c r="F600" s="125">
        <v>0.0</v>
      </c>
      <c r="G600" s="125">
        <v>0.0</v>
      </c>
      <c r="H600" s="125">
        <v>0.0</v>
      </c>
      <c r="I600" s="125">
        <v>0.0</v>
      </c>
      <c r="J600" s="125">
        <v>0.0</v>
      </c>
      <c r="K600" s="125">
        <v>0.0</v>
      </c>
      <c r="L600" s="125">
        <v>0.0</v>
      </c>
    </row>
    <row r="601">
      <c r="A601" s="122" t="s">
        <v>2472</v>
      </c>
      <c r="B601" s="122" t="s">
        <v>2473</v>
      </c>
      <c r="C601" s="122" t="s">
        <v>1829</v>
      </c>
      <c r="D601" s="125">
        <v>0.0</v>
      </c>
      <c r="E601" s="125">
        <v>0.0</v>
      </c>
      <c r="F601" s="125">
        <v>0.0</v>
      </c>
      <c r="G601" s="125">
        <v>0.0</v>
      </c>
      <c r="H601" s="125">
        <v>0.0</v>
      </c>
      <c r="I601" s="125">
        <v>0.0</v>
      </c>
      <c r="J601" s="125">
        <v>0.0</v>
      </c>
      <c r="K601" s="125">
        <v>0.0</v>
      </c>
      <c r="L601" s="125">
        <v>0.0</v>
      </c>
    </row>
    <row r="602">
      <c r="A602" s="122" t="s">
        <v>2474</v>
      </c>
      <c r="B602" s="122" t="s">
        <v>2475</v>
      </c>
      <c r="C602" s="122" t="s">
        <v>1829</v>
      </c>
      <c r="D602" s="125">
        <v>0.0</v>
      </c>
      <c r="E602" s="125">
        <v>0.0</v>
      </c>
      <c r="F602" s="125">
        <v>0.0</v>
      </c>
      <c r="G602" s="125">
        <v>0.0</v>
      </c>
      <c r="H602" s="125">
        <v>0.0</v>
      </c>
      <c r="I602" s="125">
        <v>0.0</v>
      </c>
      <c r="J602" s="125">
        <v>0.0</v>
      </c>
      <c r="K602" s="125">
        <v>0.0</v>
      </c>
      <c r="L602" s="125">
        <v>0.0</v>
      </c>
    </row>
    <row r="603">
      <c r="A603" s="122" t="s">
        <v>2476</v>
      </c>
      <c r="B603" s="122" t="s">
        <v>2477</v>
      </c>
      <c r="C603" s="122" t="s">
        <v>1829</v>
      </c>
      <c r="D603" s="125">
        <v>0.0</v>
      </c>
      <c r="E603" s="125">
        <v>0.0</v>
      </c>
      <c r="F603" s="125">
        <v>0.0</v>
      </c>
      <c r="G603" s="125">
        <v>0.0</v>
      </c>
      <c r="H603" s="125">
        <v>0.0</v>
      </c>
      <c r="I603" s="125">
        <v>0.0</v>
      </c>
      <c r="J603" s="125">
        <v>0.0</v>
      </c>
      <c r="K603" s="125">
        <v>0.0</v>
      </c>
      <c r="L603" s="125">
        <v>0.0</v>
      </c>
    </row>
    <row r="604">
      <c r="A604" s="126">
        <v>5.94832E17</v>
      </c>
      <c r="B604" s="122" t="s">
        <v>2478</v>
      </c>
      <c r="C604" s="122" t="s">
        <v>1913</v>
      </c>
      <c r="D604" s="125">
        <v>0.0</v>
      </c>
      <c r="E604" s="125">
        <v>0.0</v>
      </c>
      <c r="F604" s="125">
        <v>0.0</v>
      </c>
      <c r="G604" s="125">
        <v>0.0</v>
      </c>
      <c r="H604" s="125">
        <v>0.0</v>
      </c>
      <c r="I604" s="125">
        <v>0.0</v>
      </c>
      <c r="J604" s="125">
        <v>0.0</v>
      </c>
      <c r="K604" s="125">
        <v>0.0</v>
      </c>
      <c r="L604" s="125">
        <v>0.0</v>
      </c>
    </row>
    <row r="605">
      <c r="A605" s="122" t="s">
        <v>2479</v>
      </c>
      <c r="B605" s="122" t="s">
        <v>2480</v>
      </c>
      <c r="C605" s="122" t="s">
        <v>1913</v>
      </c>
      <c r="D605" s="125">
        <v>0.0</v>
      </c>
      <c r="E605" s="125">
        <v>0.0</v>
      </c>
      <c r="F605" s="125">
        <v>0.0</v>
      </c>
      <c r="G605" s="125">
        <v>0.0</v>
      </c>
      <c r="H605" s="125">
        <v>1.0</v>
      </c>
      <c r="I605" s="125">
        <v>1.0</v>
      </c>
      <c r="J605" s="125">
        <v>2.0</v>
      </c>
      <c r="K605" s="125">
        <v>0.0</v>
      </c>
      <c r="L605" s="125">
        <v>28.0</v>
      </c>
    </row>
    <row r="606">
      <c r="A606" s="122" t="s">
        <v>1616</v>
      </c>
      <c r="B606" s="122" t="s">
        <v>2481</v>
      </c>
      <c r="C606" s="122" t="s">
        <v>1913</v>
      </c>
      <c r="D606" s="125">
        <v>10.0</v>
      </c>
      <c r="E606" s="125">
        <v>0.0</v>
      </c>
      <c r="F606" s="125">
        <v>6.0</v>
      </c>
      <c r="G606" s="125">
        <v>5.0</v>
      </c>
      <c r="H606" s="125">
        <v>7.0</v>
      </c>
      <c r="I606" s="125">
        <v>7.0</v>
      </c>
      <c r="J606" s="125">
        <v>6.0</v>
      </c>
      <c r="K606" s="125">
        <v>5.0</v>
      </c>
      <c r="L606" s="125">
        <v>271.0</v>
      </c>
    </row>
    <row r="607">
      <c r="A607" s="122" t="s">
        <v>2482</v>
      </c>
      <c r="B607" s="122" t="s">
        <v>2483</v>
      </c>
      <c r="C607" s="122" t="s">
        <v>1913</v>
      </c>
      <c r="D607" s="125">
        <v>0.0</v>
      </c>
      <c r="E607" s="125">
        <v>0.0</v>
      </c>
      <c r="F607" s="125">
        <v>3.0</v>
      </c>
      <c r="G607" s="125">
        <v>2.0</v>
      </c>
      <c r="H607" s="125">
        <v>2.0</v>
      </c>
      <c r="I607" s="125">
        <v>2.0</v>
      </c>
      <c r="J607" s="125">
        <v>0.0</v>
      </c>
      <c r="K607" s="125">
        <v>2.0</v>
      </c>
      <c r="L607" s="125">
        <v>39.0</v>
      </c>
    </row>
    <row r="608">
      <c r="A608" s="122" t="s">
        <v>2484</v>
      </c>
      <c r="B608" s="122" t="s">
        <v>2485</v>
      </c>
      <c r="C608" s="122" t="s">
        <v>1829</v>
      </c>
      <c r="D608" s="125">
        <v>0.0</v>
      </c>
      <c r="E608" s="125">
        <v>0.0</v>
      </c>
      <c r="F608" s="125">
        <v>0.0</v>
      </c>
      <c r="G608" s="125">
        <v>0.0</v>
      </c>
      <c r="H608" s="125">
        <v>0.0</v>
      </c>
      <c r="I608" s="125">
        <v>0.0</v>
      </c>
      <c r="J608" s="125">
        <v>0.0</v>
      </c>
      <c r="K608" s="125">
        <v>0.0</v>
      </c>
      <c r="L608" s="125">
        <v>0.0</v>
      </c>
    </row>
    <row r="609">
      <c r="A609" s="122" t="s">
        <v>2486</v>
      </c>
      <c r="B609" s="122" t="s">
        <v>2487</v>
      </c>
      <c r="C609" s="122" t="s">
        <v>1829</v>
      </c>
      <c r="D609" s="125">
        <v>0.0</v>
      </c>
      <c r="E609" s="125">
        <v>0.0</v>
      </c>
      <c r="F609" s="125">
        <v>0.0</v>
      </c>
      <c r="G609" s="125">
        <v>0.0</v>
      </c>
      <c r="H609" s="125">
        <v>0.0</v>
      </c>
      <c r="I609" s="125">
        <v>0.0</v>
      </c>
      <c r="J609" s="125">
        <v>0.0</v>
      </c>
      <c r="K609" s="125">
        <v>0.0</v>
      </c>
      <c r="L609" s="125">
        <v>0.0</v>
      </c>
    </row>
    <row r="610">
      <c r="A610" s="122" t="s">
        <v>2488</v>
      </c>
      <c r="B610" s="122" t="s">
        <v>2489</v>
      </c>
      <c r="C610" s="122" t="s">
        <v>1829</v>
      </c>
      <c r="D610" s="125">
        <v>0.0</v>
      </c>
      <c r="E610" s="125">
        <v>0.0</v>
      </c>
      <c r="F610" s="125">
        <v>0.0</v>
      </c>
      <c r="G610" s="125">
        <v>0.0</v>
      </c>
      <c r="H610" s="125">
        <v>0.0</v>
      </c>
      <c r="I610" s="125">
        <v>0.0</v>
      </c>
      <c r="J610" s="125">
        <v>0.0</v>
      </c>
      <c r="K610" s="125">
        <v>0.0</v>
      </c>
      <c r="L610" s="125">
        <v>0.0</v>
      </c>
    </row>
    <row r="611">
      <c r="A611" s="122" t="s">
        <v>2490</v>
      </c>
      <c r="B611" s="122" t="s">
        <v>2491</v>
      </c>
      <c r="C611" s="122" t="s">
        <v>1913</v>
      </c>
      <c r="D611" s="125">
        <v>0.0</v>
      </c>
      <c r="E611" s="125">
        <v>0.0</v>
      </c>
      <c r="F611" s="125">
        <v>0.0</v>
      </c>
      <c r="G611" s="125">
        <v>0.0</v>
      </c>
      <c r="H611" s="125">
        <v>0.0</v>
      </c>
      <c r="I611" s="125">
        <v>0.0</v>
      </c>
      <c r="J611" s="125">
        <v>0.0</v>
      </c>
      <c r="K611" s="125">
        <v>0.0</v>
      </c>
      <c r="L611" s="125">
        <v>0.0</v>
      </c>
    </row>
    <row r="612">
      <c r="A612" s="122" t="s">
        <v>2492</v>
      </c>
      <c r="B612" s="122" t="s">
        <v>2493</v>
      </c>
      <c r="C612" s="122" t="s">
        <v>1829</v>
      </c>
      <c r="D612" s="125">
        <v>0.0</v>
      </c>
      <c r="E612" s="125">
        <v>0.0</v>
      </c>
      <c r="F612" s="125">
        <v>0.0</v>
      </c>
      <c r="G612" s="125">
        <v>0.0</v>
      </c>
      <c r="H612" s="125">
        <v>0.0</v>
      </c>
      <c r="I612" s="125">
        <v>0.0</v>
      </c>
      <c r="J612" s="125">
        <v>0.0</v>
      </c>
      <c r="K612" s="125">
        <v>0.0</v>
      </c>
      <c r="L612" s="125">
        <v>0.0</v>
      </c>
    </row>
    <row r="613">
      <c r="A613" s="122" t="s">
        <v>2494</v>
      </c>
      <c r="B613" s="122" t="s">
        <v>2495</v>
      </c>
      <c r="C613" s="122" t="s">
        <v>1829</v>
      </c>
      <c r="D613" s="125">
        <v>0.0</v>
      </c>
      <c r="E613" s="125">
        <v>0.0</v>
      </c>
      <c r="F613" s="125">
        <v>0.0</v>
      </c>
      <c r="G613" s="125">
        <v>0.0</v>
      </c>
      <c r="H613" s="125">
        <v>0.0</v>
      </c>
      <c r="I613" s="125">
        <v>0.0</v>
      </c>
      <c r="J613" s="125">
        <v>0.0</v>
      </c>
      <c r="K613" s="125">
        <v>0.0</v>
      </c>
      <c r="L613" s="125">
        <v>0.0</v>
      </c>
    </row>
    <row r="614">
      <c r="A614" s="122" t="s">
        <v>2496</v>
      </c>
      <c r="B614" s="122" t="s">
        <v>2497</v>
      </c>
      <c r="C614" s="122" t="s">
        <v>1913</v>
      </c>
      <c r="D614" s="125">
        <v>0.0</v>
      </c>
      <c r="E614" s="125">
        <v>0.0</v>
      </c>
      <c r="F614" s="125">
        <v>0.0</v>
      </c>
      <c r="G614" s="125">
        <v>0.0</v>
      </c>
      <c r="H614" s="125">
        <v>0.0</v>
      </c>
      <c r="I614" s="125">
        <v>0.0</v>
      </c>
      <c r="J614" s="125">
        <v>0.0</v>
      </c>
      <c r="K614" s="125">
        <v>0.0</v>
      </c>
      <c r="L614" s="125">
        <v>0.0</v>
      </c>
    </row>
    <row r="615">
      <c r="A615" s="122" t="s">
        <v>2498</v>
      </c>
      <c r="B615" s="122" t="s">
        <v>2499</v>
      </c>
      <c r="C615" s="122" t="s">
        <v>1913</v>
      </c>
      <c r="D615" s="125">
        <v>0.0</v>
      </c>
      <c r="E615" s="125">
        <v>0.0</v>
      </c>
      <c r="F615" s="125">
        <v>0.0</v>
      </c>
      <c r="G615" s="125">
        <v>0.0</v>
      </c>
      <c r="H615" s="125">
        <v>0.0</v>
      </c>
      <c r="I615" s="125">
        <v>0.0</v>
      </c>
      <c r="J615" s="125">
        <v>0.0</v>
      </c>
      <c r="K615" s="125">
        <v>0.0</v>
      </c>
      <c r="L615" s="125">
        <v>0.0</v>
      </c>
    </row>
    <row r="616">
      <c r="A616" s="122" t="s">
        <v>2500</v>
      </c>
      <c r="B616" s="122" t="s">
        <v>2501</v>
      </c>
      <c r="C616" s="122" t="s">
        <v>1913</v>
      </c>
      <c r="D616" s="125">
        <v>0.0</v>
      </c>
      <c r="E616" s="125">
        <v>0.0</v>
      </c>
      <c r="F616" s="125">
        <v>0.0</v>
      </c>
      <c r="G616" s="125">
        <v>0.0</v>
      </c>
      <c r="H616" s="125">
        <v>0.0</v>
      </c>
      <c r="I616" s="125">
        <v>0.0</v>
      </c>
      <c r="J616" s="125">
        <v>0.0</v>
      </c>
      <c r="K616" s="125">
        <v>0.0</v>
      </c>
      <c r="L616" s="125">
        <v>0.0</v>
      </c>
    </row>
    <row r="617">
      <c r="A617" s="122" t="s">
        <v>2502</v>
      </c>
      <c r="B617" s="122" t="s">
        <v>2503</v>
      </c>
      <c r="C617" s="122" t="s">
        <v>1829</v>
      </c>
      <c r="D617" s="125">
        <v>0.0</v>
      </c>
      <c r="E617" s="125">
        <v>0.0</v>
      </c>
      <c r="F617" s="125">
        <v>0.0</v>
      </c>
      <c r="G617" s="125">
        <v>0.0</v>
      </c>
      <c r="H617" s="125">
        <v>0.0</v>
      </c>
      <c r="I617" s="125">
        <v>0.0</v>
      </c>
      <c r="J617" s="125">
        <v>0.0</v>
      </c>
      <c r="K617" s="125">
        <v>0.0</v>
      </c>
      <c r="L617" s="125">
        <v>0.0</v>
      </c>
    </row>
    <row r="618">
      <c r="A618" s="122" t="s">
        <v>2504</v>
      </c>
      <c r="B618" s="122" t="s">
        <v>2505</v>
      </c>
      <c r="C618" s="122" t="s">
        <v>1829</v>
      </c>
      <c r="D618" s="125">
        <v>0.0</v>
      </c>
      <c r="E618" s="125">
        <v>0.0</v>
      </c>
      <c r="F618" s="125">
        <v>0.0</v>
      </c>
      <c r="G618" s="125">
        <v>0.0</v>
      </c>
      <c r="H618" s="125">
        <v>0.0</v>
      </c>
      <c r="I618" s="125">
        <v>0.0</v>
      </c>
      <c r="J618" s="125">
        <v>0.0</v>
      </c>
      <c r="K618" s="125">
        <v>0.0</v>
      </c>
      <c r="L618" s="125">
        <v>0.0</v>
      </c>
    </row>
    <row r="619">
      <c r="A619" s="122" t="s">
        <v>2506</v>
      </c>
      <c r="B619" s="122" t="s">
        <v>2507</v>
      </c>
      <c r="C619" s="122" t="s">
        <v>1829</v>
      </c>
      <c r="D619" s="125">
        <v>0.0</v>
      </c>
      <c r="E619" s="125">
        <v>0.0</v>
      </c>
      <c r="F619" s="125">
        <v>0.0</v>
      </c>
      <c r="G619" s="125">
        <v>0.0</v>
      </c>
      <c r="H619" s="125">
        <v>0.0</v>
      </c>
      <c r="I619" s="125">
        <v>0.0</v>
      </c>
      <c r="J619" s="125">
        <v>0.0</v>
      </c>
      <c r="K619" s="125">
        <v>0.0</v>
      </c>
      <c r="L619" s="125">
        <v>0.0</v>
      </c>
    </row>
    <row r="620">
      <c r="A620" s="122" t="s">
        <v>2508</v>
      </c>
      <c r="B620" s="122" t="s">
        <v>2509</v>
      </c>
      <c r="C620" s="122" t="s">
        <v>1913</v>
      </c>
      <c r="D620" s="125">
        <v>0.0</v>
      </c>
      <c r="E620" s="125">
        <v>0.0</v>
      </c>
      <c r="F620" s="125">
        <v>0.0</v>
      </c>
      <c r="G620" s="125">
        <v>0.0</v>
      </c>
      <c r="H620" s="125">
        <v>0.0</v>
      </c>
      <c r="I620" s="125">
        <v>0.0</v>
      </c>
      <c r="J620" s="125">
        <v>0.0</v>
      </c>
      <c r="K620" s="125">
        <v>0.0</v>
      </c>
      <c r="L620" s="125">
        <v>0.0</v>
      </c>
    </row>
    <row r="621">
      <c r="A621" s="122" t="s">
        <v>2510</v>
      </c>
      <c r="B621" s="122" t="s">
        <v>2511</v>
      </c>
      <c r="C621" s="122" t="s">
        <v>1829</v>
      </c>
      <c r="D621" s="125">
        <v>0.0</v>
      </c>
      <c r="E621" s="125">
        <v>0.0</v>
      </c>
      <c r="F621" s="125">
        <v>0.0</v>
      </c>
      <c r="G621" s="125">
        <v>0.0</v>
      </c>
      <c r="H621" s="125">
        <v>0.0</v>
      </c>
      <c r="I621" s="125">
        <v>0.0</v>
      </c>
      <c r="J621" s="125">
        <v>0.0</v>
      </c>
      <c r="K621" s="125">
        <v>0.0</v>
      </c>
      <c r="L621" s="125">
        <v>0.0</v>
      </c>
    </row>
    <row r="622">
      <c r="A622" s="122" t="s">
        <v>2512</v>
      </c>
      <c r="B622" s="122" t="s">
        <v>2513</v>
      </c>
      <c r="C622" s="122" t="s">
        <v>1829</v>
      </c>
      <c r="D622" s="125">
        <v>0.0</v>
      </c>
      <c r="E622" s="125">
        <v>0.0</v>
      </c>
      <c r="F622" s="125">
        <v>0.0</v>
      </c>
      <c r="G622" s="125">
        <v>0.0</v>
      </c>
      <c r="H622" s="125">
        <v>0.0</v>
      </c>
      <c r="I622" s="125">
        <v>0.0</v>
      </c>
      <c r="J622" s="125">
        <v>0.0</v>
      </c>
      <c r="K622" s="125">
        <v>0.0</v>
      </c>
      <c r="L622" s="125">
        <v>0.0</v>
      </c>
    </row>
    <row r="623">
      <c r="A623" s="122" t="s">
        <v>2514</v>
      </c>
      <c r="B623" s="122" t="s">
        <v>2515</v>
      </c>
      <c r="C623" s="122" t="s">
        <v>1913</v>
      </c>
      <c r="D623" s="125">
        <v>0.0</v>
      </c>
      <c r="E623" s="125">
        <v>0.0</v>
      </c>
      <c r="F623" s="125">
        <v>0.0</v>
      </c>
      <c r="G623" s="125">
        <v>0.0</v>
      </c>
      <c r="H623" s="125">
        <v>0.0</v>
      </c>
      <c r="I623" s="125">
        <v>0.0</v>
      </c>
      <c r="J623" s="125">
        <v>0.0</v>
      </c>
      <c r="K623" s="125">
        <v>0.0</v>
      </c>
      <c r="L623" s="125">
        <v>0.0</v>
      </c>
    </row>
    <row r="624">
      <c r="A624" s="122" t="s">
        <v>2516</v>
      </c>
      <c r="B624" s="122" t="s">
        <v>2517</v>
      </c>
      <c r="C624" s="122" t="s">
        <v>1829</v>
      </c>
      <c r="D624" s="125">
        <v>0.0</v>
      </c>
      <c r="E624" s="125">
        <v>0.0</v>
      </c>
      <c r="F624" s="125">
        <v>0.0</v>
      </c>
      <c r="G624" s="125">
        <v>0.0</v>
      </c>
      <c r="H624" s="125">
        <v>0.0</v>
      </c>
      <c r="I624" s="125">
        <v>0.0</v>
      </c>
      <c r="J624" s="125">
        <v>0.0</v>
      </c>
      <c r="K624" s="125">
        <v>0.0</v>
      </c>
      <c r="L624" s="125">
        <v>0.0</v>
      </c>
    </row>
    <row r="625">
      <c r="A625" s="122" t="s">
        <v>2518</v>
      </c>
      <c r="B625" s="122" t="s">
        <v>2519</v>
      </c>
      <c r="C625" s="122" t="s">
        <v>1829</v>
      </c>
      <c r="D625" s="125">
        <v>0.0</v>
      </c>
      <c r="E625" s="125">
        <v>0.0</v>
      </c>
      <c r="F625" s="125">
        <v>0.0</v>
      </c>
      <c r="G625" s="125">
        <v>0.0</v>
      </c>
      <c r="H625" s="125">
        <v>0.0</v>
      </c>
      <c r="I625" s="125">
        <v>0.0</v>
      </c>
      <c r="J625" s="125">
        <v>0.0</v>
      </c>
      <c r="K625" s="125">
        <v>0.0</v>
      </c>
      <c r="L625" s="125">
        <v>0.0</v>
      </c>
    </row>
    <row r="626">
      <c r="A626" s="122" t="s">
        <v>2520</v>
      </c>
      <c r="B626" s="122" t="s">
        <v>2521</v>
      </c>
      <c r="C626" s="122" t="s">
        <v>1829</v>
      </c>
      <c r="D626" s="125">
        <v>0.0</v>
      </c>
      <c r="E626" s="125">
        <v>0.0</v>
      </c>
      <c r="F626" s="125">
        <v>0.0</v>
      </c>
      <c r="G626" s="125">
        <v>0.0</v>
      </c>
      <c r="H626" s="125">
        <v>0.0</v>
      </c>
      <c r="I626" s="125">
        <v>0.0</v>
      </c>
      <c r="J626" s="125">
        <v>0.0</v>
      </c>
      <c r="K626" s="125">
        <v>0.0</v>
      </c>
      <c r="L626" s="125">
        <v>0.0</v>
      </c>
    </row>
    <row r="627">
      <c r="A627" s="122" t="s">
        <v>2522</v>
      </c>
      <c r="B627" s="122" t="s">
        <v>2523</v>
      </c>
      <c r="C627" s="122" t="s">
        <v>1829</v>
      </c>
      <c r="D627" s="125">
        <v>0.0</v>
      </c>
      <c r="E627" s="125">
        <v>0.0</v>
      </c>
      <c r="F627" s="125">
        <v>0.0</v>
      </c>
      <c r="G627" s="125">
        <v>0.0</v>
      </c>
      <c r="H627" s="125">
        <v>0.0</v>
      </c>
      <c r="I627" s="125">
        <v>0.0</v>
      </c>
      <c r="J627" s="125">
        <v>0.0</v>
      </c>
      <c r="K627" s="125">
        <v>0.0</v>
      </c>
      <c r="L627" s="125">
        <v>0.0</v>
      </c>
    </row>
    <row r="628">
      <c r="A628" s="122" t="s">
        <v>2524</v>
      </c>
      <c r="B628" s="122" t="s">
        <v>2525</v>
      </c>
      <c r="C628" s="122" t="s">
        <v>1829</v>
      </c>
      <c r="D628" s="125">
        <v>0.0</v>
      </c>
      <c r="E628" s="125">
        <v>0.0</v>
      </c>
      <c r="F628" s="125">
        <v>0.0</v>
      </c>
      <c r="G628" s="125">
        <v>0.0</v>
      </c>
      <c r="H628" s="125">
        <v>0.0</v>
      </c>
      <c r="I628" s="125">
        <v>0.0</v>
      </c>
      <c r="J628" s="125">
        <v>0.0</v>
      </c>
      <c r="K628" s="125">
        <v>0.0</v>
      </c>
      <c r="L628" s="125">
        <v>0.0</v>
      </c>
    </row>
    <row r="629">
      <c r="A629" s="122" t="s">
        <v>2526</v>
      </c>
      <c r="B629" s="122" t="s">
        <v>2527</v>
      </c>
      <c r="C629" s="122" t="s">
        <v>1829</v>
      </c>
      <c r="D629" s="125">
        <v>0.0</v>
      </c>
      <c r="E629" s="125">
        <v>0.0</v>
      </c>
      <c r="F629" s="125">
        <v>0.0</v>
      </c>
      <c r="G629" s="125">
        <v>0.0</v>
      </c>
      <c r="H629" s="125">
        <v>0.0</v>
      </c>
      <c r="I629" s="125">
        <v>0.0</v>
      </c>
      <c r="J629" s="125">
        <v>0.0</v>
      </c>
      <c r="K629" s="125">
        <v>0.0</v>
      </c>
      <c r="L629" s="125">
        <v>0.0</v>
      </c>
    </row>
    <row r="630">
      <c r="A630" s="122" t="s">
        <v>2528</v>
      </c>
      <c r="B630" s="122" t="s">
        <v>2529</v>
      </c>
      <c r="C630" s="122" t="s">
        <v>1829</v>
      </c>
      <c r="D630" s="125">
        <v>0.0</v>
      </c>
      <c r="E630" s="125">
        <v>0.0</v>
      </c>
      <c r="F630" s="125">
        <v>0.0</v>
      </c>
      <c r="G630" s="125">
        <v>0.0</v>
      </c>
      <c r="H630" s="125">
        <v>0.0</v>
      </c>
      <c r="I630" s="125">
        <v>0.0</v>
      </c>
      <c r="J630" s="125">
        <v>0.0</v>
      </c>
      <c r="K630" s="125">
        <v>0.0</v>
      </c>
      <c r="L630" s="125">
        <v>0.0</v>
      </c>
    </row>
    <row r="631">
      <c r="A631" s="122" t="s">
        <v>2530</v>
      </c>
      <c r="B631" s="122" t="s">
        <v>2531</v>
      </c>
      <c r="C631" s="122" t="s">
        <v>1829</v>
      </c>
      <c r="D631" s="125">
        <v>0.0</v>
      </c>
      <c r="E631" s="125">
        <v>0.0</v>
      </c>
      <c r="F631" s="125">
        <v>0.0</v>
      </c>
      <c r="G631" s="125">
        <v>0.0</v>
      </c>
      <c r="H631" s="125">
        <v>0.0</v>
      </c>
      <c r="I631" s="125">
        <v>0.0</v>
      </c>
      <c r="J631" s="125">
        <v>0.0</v>
      </c>
      <c r="K631" s="125">
        <v>0.0</v>
      </c>
      <c r="L631" s="125">
        <v>0.0</v>
      </c>
    </row>
    <row r="632">
      <c r="A632" s="122" t="s">
        <v>2532</v>
      </c>
      <c r="B632" s="122" t="s">
        <v>2533</v>
      </c>
      <c r="C632" s="122" t="s">
        <v>1829</v>
      </c>
      <c r="D632" s="125">
        <v>0.0</v>
      </c>
      <c r="E632" s="125">
        <v>0.0</v>
      </c>
      <c r="F632" s="125">
        <v>0.0</v>
      </c>
      <c r="G632" s="125">
        <v>0.0</v>
      </c>
      <c r="H632" s="125">
        <v>0.0</v>
      </c>
      <c r="I632" s="125">
        <v>0.0</v>
      </c>
      <c r="J632" s="125">
        <v>0.0</v>
      </c>
      <c r="K632" s="125">
        <v>0.0</v>
      </c>
      <c r="L632" s="125">
        <v>0.0</v>
      </c>
    </row>
    <row r="633">
      <c r="A633" s="122" t="s">
        <v>2534</v>
      </c>
      <c r="B633" s="122" t="s">
        <v>2535</v>
      </c>
      <c r="C633" s="122" t="s">
        <v>1829</v>
      </c>
      <c r="D633" s="125">
        <v>0.0</v>
      </c>
      <c r="E633" s="125">
        <v>0.0</v>
      </c>
      <c r="F633" s="125">
        <v>0.0</v>
      </c>
      <c r="G633" s="125">
        <v>0.0</v>
      </c>
      <c r="H633" s="125">
        <v>0.0</v>
      </c>
      <c r="I633" s="125">
        <v>0.0</v>
      </c>
      <c r="J633" s="125">
        <v>0.0</v>
      </c>
      <c r="K633" s="125">
        <v>0.0</v>
      </c>
      <c r="L633" s="125">
        <v>0.0</v>
      </c>
    </row>
    <row r="634">
      <c r="A634" s="122" t="s">
        <v>2536</v>
      </c>
      <c r="B634" s="122" t="s">
        <v>2537</v>
      </c>
      <c r="C634" s="122" t="s">
        <v>1829</v>
      </c>
      <c r="D634" s="125">
        <v>0.0</v>
      </c>
      <c r="E634" s="125">
        <v>0.0</v>
      </c>
      <c r="F634" s="125">
        <v>0.0</v>
      </c>
      <c r="G634" s="125">
        <v>0.0</v>
      </c>
      <c r="H634" s="125">
        <v>0.0</v>
      </c>
      <c r="I634" s="125">
        <v>0.0</v>
      </c>
      <c r="J634" s="125">
        <v>0.0</v>
      </c>
      <c r="K634" s="125">
        <v>0.0</v>
      </c>
      <c r="L634" s="125">
        <v>0.0</v>
      </c>
    </row>
    <row r="635">
      <c r="A635" s="122" t="s">
        <v>2538</v>
      </c>
      <c r="B635" s="122" t="s">
        <v>2539</v>
      </c>
      <c r="C635" s="122" t="s">
        <v>1829</v>
      </c>
      <c r="D635" s="125">
        <v>0.0</v>
      </c>
      <c r="E635" s="125">
        <v>0.0</v>
      </c>
      <c r="F635" s="125">
        <v>0.0</v>
      </c>
      <c r="G635" s="125">
        <v>0.0</v>
      </c>
      <c r="H635" s="125">
        <v>0.0</v>
      </c>
      <c r="I635" s="125">
        <v>0.0</v>
      </c>
      <c r="J635" s="125">
        <v>0.0</v>
      </c>
      <c r="K635" s="125">
        <v>0.0</v>
      </c>
      <c r="L635" s="125">
        <v>0.0</v>
      </c>
    </row>
    <row r="636">
      <c r="A636" s="122" t="s">
        <v>2540</v>
      </c>
      <c r="B636" s="122" t="s">
        <v>2541</v>
      </c>
      <c r="C636" s="122" t="s">
        <v>1829</v>
      </c>
      <c r="D636" s="125">
        <v>0.0</v>
      </c>
      <c r="E636" s="125">
        <v>0.0</v>
      </c>
      <c r="F636" s="125">
        <v>0.0</v>
      </c>
      <c r="G636" s="125">
        <v>0.0</v>
      </c>
      <c r="H636" s="125">
        <v>0.0</v>
      </c>
      <c r="I636" s="125">
        <v>0.0</v>
      </c>
      <c r="J636" s="125">
        <v>0.0</v>
      </c>
      <c r="K636" s="125">
        <v>0.0</v>
      </c>
      <c r="L636" s="125">
        <v>0.0</v>
      </c>
    </row>
    <row r="637">
      <c r="A637" s="122" t="s">
        <v>2542</v>
      </c>
      <c r="B637" s="122" t="s">
        <v>2543</v>
      </c>
      <c r="C637" s="122" t="s">
        <v>1829</v>
      </c>
      <c r="D637" s="125">
        <v>0.0</v>
      </c>
      <c r="E637" s="125">
        <v>0.0</v>
      </c>
      <c r="F637" s="125">
        <v>0.0</v>
      </c>
      <c r="G637" s="125">
        <v>0.0</v>
      </c>
      <c r="H637" s="125">
        <v>0.0</v>
      </c>
      <c r="I637" s="125">
        <v>0.0</v>
      </c>
      <c r="J637" s="125">
        <v>0.0</v>
      </c>
      <c r="K637" s="125">
        <v>0.0</v>
      </c>
      <c r="L637" s="125">
        <v>0.0</v>
      </c>
    </row>
    <row r="638">
      <c r="A638" s="122" t="s">
        <v>2544</v>
      </c>
      <c r="B638" s="122" t="s">
        <v>2545</v>
      </c>
      <c r="C638" s="122" t="s">
        <v>1829</v>
      </c>
      <c r="D638" s="125">
        <v>0.0</v>
      </c>
      <c r="E638" s="125">
        <v>0.0</v>
      </c>
      <c r="F638" s="125">
        <v>0.0</v>
      </c>
      <c r="G638" s="125">
        <v>0.0</v>
      </c>
      <c r="H638" s="125">
        <v>0.0</v>
      </c>
      <c r="I638" s="125">
        <v>0.0</v>
      </c>
      <c r="J638" s="125">
        <v>0.0</v>
      </c>
      <c r="K638" s="125">
        <v>0.0</v>
      </c>
      <c r="L638" s="125">
        <v>0.0</v>
      </c>
    </row>
    <row r="639">
      <c r="A639" s="122" t="s">
        <v>2546</v>
      </c>
      <c r="B639" s="122" t="s">
        <v>2547</v>
      </c>
      <c r="C639" s="122" t="s">
        <v>1829</v>
      </c>
      <c r="D639" s="125">
        <v>0.0</v>
      </c>
      <c r="E639" s="125">
        <v>0.0</v>
      </c>
      <c r="F639" s="125">
        <v>0.0</v>
      </c>
      <c r="G639" s="125">
        <v>0.0</v>
      </c>
      <c r="H639" s="125">
        <v>0.0</v>
      </c>
      <c r="I639" s="125">
        <v>0.0</v>
      </c>
      <c r="J639" s="125">
        <v>0.0</v>
      </c>
      <c r="K639" s="125">
        <v>0.0</v>
      </c>
      <c r="L639" s="125">
        <v>0.0</v>
      </c>
    </row>
    <row r="640">
      <c r="A640" s="122" t="s">
        <v>2548</v>
      </c>
      <c r="B640" s="122" t="s">
        <v>2549</v>
      </c>
      <c r="C640" s="122" t="s">
        <v>1829</v>
      </c>
      <c r="D640" s="125">
        <v>0.0</v>
      </c>
      <c r="E640" s="125">
        <v>0.0</v>
      </c>
      <c r="F640" s="125">
        <v>0.0</v>
      </c>
      <c r="G640" s="125">
        <v>0.0</v>
      </c>
      <c r="H640" s="125">
        <v>0.0</v>
      </c>
      <c r="I640" s="125">
        <v>0.0</v>
      </c>
      <c r="J640" s="125">
        <v>0.0</v>
      </c>
      <c r="K640" s="125">
        <v>0.0</v>
      </c>
      <c r="L640" s="125">
        <v>0.0</v>
      </c>
    </row>
    <row r="641">
      <c r="A641" s="122" t="s">
        <v>2550</v>
      </c>
      <c r="B641" s="122" t="s">
        <v>2551</v>
      </c>
      <c r="C641" s="122" t="s">
        <v>1829</v>
      </c>
      <c r="D641" s="125">
        <v>0.0</v>
      </c>
      <c r="E641" s="125">
        <v>0.0</v>
      </c>
      <c r="F641" s="125">
        <v>0.0</v>
      </c>
      <c r="G641" s="125">
        <v>0.0</v>
      </c>
      <c r="H641" s="125">
        <v>0.0</v>
      </c>
      <c r="I641" s="125">
        <v>0.0</v>
      </c>
      <c r="J641" s="125">
        <v>0.0</v>
      </c>
      <c r="K641" s="125">
        <v>0.0</v>
      </c>
      <c r="L641" s="125">
        <v>0.0</v>
      </c>
    </row>
    <row r="642">
      <c r="A642" s="122" t="s">
        <v>2552</v>
      </c>
      <c r="B642" s="122" t="s">
        <v>2553</v>
      </c>
      <c r="C642" s="122" t="s">
        <v>1913</v>
      </c>
      <c r="D642" s="125">
        <v>0.0</v>
      </c>
      <c r="E642" s="125">
        <v>0.0</v>
      </c>
      <c r="F642" s="125">
        <v>0.0</v>
      </c>
      <c r="G642" s="125">
        <v>0.0</v>
      </c>
      <c r="H642" s="125">
        <v>0.0</v>
      </c>
      <c r="I642" s="125">
        <v>0.0</v>
      </c>
      <c r="J642" s="125">
        <v>0.0</v>
      </c>
      <c r="K642" s="125">
        <v>0.0</v>
      </c>
      <c r="L642" s="125">
        <v>0.0</v>
      </c>
    </row>
    <row r="643">
      <c r="A643" s="122" t="s">
        <v>2554</v>
      </c>
      <c r="B643" s="122" t="s">
        <v>2555</v>
      </c>
      <c r="C643" s="122" t="s">
        <v>1913</v>
      </c>
      <c r="D643" s="125">
        <v>0.0</v>
      </c>
      <c r="E643" s="125">
        <v>0.0</v>
      </c>
      <c r="F643" s="125">
        <v>0.0</v>
      </c>
      <c r="G643" s="125">
        <v>0.0</v>
      </c>
      <c r="H643" s="125">
        <v>0.0</v>
      </c>
      <c r="I643" s="125">
        <v>0.0</v>
      </c>
      <c r="J643" s="125">
        <v>0.0</v>
      </c>
      <c r="K643" s="125">
        <v>0.0</v>
      </c>
      <c r="L643" s="125">
        <v>0.0</v>
      </c>
    </row>
    <row r="644">
      <c r="A644" s="122" t="s">
        <v>2556</v>
      </c>
      <c r="B644" s="122" t="s">
        <v>2557</v>
      </c>
      <c r="C644" s="122" t="s">
        <v>1829</v>
      </c>
      <c r="D644" s="125">
        <v>0.0</v>
      </c>
      <c r="E644" s="125">
        <v>0.0</v>
      </c>
      <c r="F644" s="125">
        <v>0.0</v>
      </c>
      <c r="G644" s="125">
        <v>0.0</v>
      </c>
      <c r="H644" s="125">
        <v>0.0</v>
      </c>
      <c r="I644" s="125">
        <v>0.0</v>
      </c>
      <c r="J644" s="125">
        <v>0.0</v>
      </c>
      <c r="K644" s="125">
        <v>0.0</v>
      </c>
      <c r="L644" s="125">
        <v>0.0</v>
      </c>
    </row>
    <row r="645">
      <c r="A645" s="122" t="s">
        <v>2558</v>
      </c>
      <c r="B645" s="122" t="s">
        <v>2559</v>
      </c>
      <c r="C645" s="122" t="s">
        <v>1829</v>
      </c>
      <c r="D645" s="125">
        <v>0.0</v>
      </c>
      <c r="E645" s="125">
        <v>0.0</v>
      </c>
      <c r="F645" s="125">
        <v>0.0</v>
      </c>
      <c r="G645" s="125">
        <v>0.0</v>
      </c>
      <c r="H645" s="125">
        <v>0.0</v>
      </c>
      <c r="I645" s="125">
        <v>0.0</v>
      </c>
      <c r="J645" s="125">
        <v>0.0</v>
      </c>
      <c r="K645" s="125">
        <v>0.0</v>
      </c>
      <c r="L645" s="125">
        <v>0.0</v>
      </c>
    </row>
    <row r="646">
      <c r="A646" s="122" t="s">
        <v>2560</v>
      </c>
      <c r="B646" s="122" t="s">
        <v>2561</v>
      </c>
      <c r="C646" s="122" t="s">
        <v>1829</v>
      </c>
      <c r="D646" s="125">
        <v>0.0</v>
      </c>
      <c r="E646" s="125">
        <v>0.0</v>
      </c>
      <c r="F646" s="125">
        <v>0.0</v>
      </c>
      <c r="G646" s="125">
        <v>0.0</v>
      </c>
      <c r="H646" s="125">
        <v>0.0</v>
      </c>
      <c r="I646" s="125">
        <v>0.0</v>
      </c>
      <c r="J646" s="125">
        <v>0.0</v>
      </c>
      <c r="K646" s="125">
        <v>0.0</v>
      </c>
      <c r="L646" s="125">
        <v>0.0</v>
      </c>
    </row>
    <row r="647">
      <c r="A647" s="122" t="s">
        <v>2562</v>
      </c>
      <c r="B647" s="122" t="s">
        <v>2563</v>
      </c>
      <c r="C647" s="122" t="s">
        <v>1829</v>
      </c>
      <c r="D647" s="125">
        <v>0.0</v>
      </c>
      <c r="E647" s="125">
        <v>0.0</v>
      </c>
      <c r="F647" s="125">
        <v>0.0</v>
      </c>
      <c r="G647" s="125">
        <v>0.0</v>
      </c>
      <c r="H647" s="125">
        <v>0.0</v>
      </c>
      <c r="I647" s="125">
        <v>0.0</v>
      </c>
      <c r="J647" s="125">
        <v>0.0</v>
      </c>
      <c r="K647" s="125">
        <v>0.0</v>
      </c>
      <c r="L647" s="125">
        <v>0.0</v>
      </c>
    </row>
    <row r="648">
      <c r="A648" s="122" t="s">
        <v>2564</v>
      </c>
      <c r="B648" s="122" t="s">
        <v>2565</v>
      </c>
      <c r="C648" s="122" t="s">
        <v>1829</v>
      </c>
      <c r="D648" s="125">
        <v>0.0</v>
      </c>
      <c r="E648" s="125">
        <v>0.0</v>
      </c>
      <c r="F648" s="125">
        <v>0.0</v>
      </c>
      <c r="G648" s="125">
        <v>0.0</v>
      </c>
      <c r="H648" s="125">
        <v>0.0</v>
      </c>
      <c r="I648" s="125">
        <v>0.0</v>
      </c>
      <c r="J648" s="125">
        <v>0.0</v>
      </c>
      <c r="K648" s="125">
        <v>0.0</v>
      </c>
      <c r="L648" s="125">
        <v>0.0</v>
      </c>
    </row>
    <row r="649">
      <c r="A649" s="122" t="s">
        <v>2566</v>
      </c>
      <c r="B649" s="122" t="s">
        <v>2567</v>
      </c>
      <c r="C649" s="122" t="s">
        <v>1829</v>
      </c>
      <c r="D649" s="125">
        <v>0.0</v>
      </c>
      <c r="E649" s="125">
        <v>0.0</v>
      </c>
      <c r="F649" s="125">
        <v>0.0</v>
      </c>
      <c r="G649" s="125">
        <v>0.0</v>
      </c>
      <c r="H649" s="125">
        <v>0.0</v>
      </c>
      <c r="I649" s="125">
        <v>0.0</v>
      </c>
      <c r="J649" s="125">
        <v>0.0</v>
      </c>
      <c r="K649" s="125">
        <v>0.0</v>
      </c>
      <c r="L649" s="125">
        <v>0.0</v>
      </c>
    </row>
    <row r="650">
      <c r="A650" s="122" t="s">
        <v>2568</v>
      </c>
      <c r="B650" s="122" t="s">
        <v>2569</v>
      </c>
      <c r="C650" s="122" t="s">
        <v>1829</v>
      </c>
      <c r="D650" s="125">
        <v>0.0</v>
      </c>
      <c r="E650" s="125">
        <v>0.0</v>
      </c>
      <c r="F650" s="125">
        <v>0.0</v>
      </c>
      <c r="G650" s="125">
        <v>0.0</v>
      </c>
      <c r="H650" s="125">
        <v>0.0</v>
      </c>
      <c r="I650" s="125">
        <v>0.0</v>
      </c>
      <c r="J650" s="125">
        <v>0.0</v>
      </c>
      <c r="K650" s="125">
        <v>0.0</v>
      </c>
      <c r="L650" s="125">
        <v>0.0</v>
      </c>
    </row>
    <row r="651">
      <c r="A651" s="122" t="s">
        <v>2570</v>
      </c>
      <c r="B651" s="122" t="s">
        <v>2571</v>
      </c>
      <c r="C651" s="122" t="s">
        <v>1829</v>
      </c>
      <c r="D651" s="125">
        <v>0.0</v>
      </c>
      <c r="E651" s="125">
        <v>0.0</v>
      </c>
      <c r="F651" s="125">
        <v>0.0</v>
      </c>
      <c r="G651" s="125">
        <v>0.0</v>
      </c>
      <c r="H651" s="125">
        <v>0.0</v>
      </c>
      <c r="I651" s="125">
        <v>0.0</v>
      </c>
      <c r="J651" s="125">
        <v>0.0</v>
      </c>
      <c r="K651" s="125">
        <v>0.0</v>
      </c>
      <c r="L651" s="125">
        <v>0.0</v>
      </c>
    </row>
    <row r="652">
      <c r="A652" s="122" t="s">
        <v>2572</v>
      </c>
      <c r="B652" s="122" t="s">
        <v>2573</v>
      </c>
      <c r="C652" s="122" t="s">
        <v>1829</v>
      </c>
      <c r="D652" s="125">
        <v>0.0</v>
      </c>
      <c r="E652" s="125">
        <v>0.0</v>
      </c>
      <c r="F652" s="125">
        <v>0.0</v>
      </c>
      <c r="G652" s="125">
        <v>0.0</v>
      </c>
      <c r="H652" s="125">
        <v>0.0</v>
      </c>
      <c r="I652" s="125">
        <v>0.0</v>
      </c>
      <c r="J652" s="125">
        <v>0.0</v>
      </c>
      <c r="K652" s="125">
        <v>0.0</v>
      </c>
      <c r="L652" s="125">
        <v>0.0</v>
      </c>
    </row>
    <row r="653">
      <c r="A653" s="122" t="s">
        <v>2574</v>
      </c>
      <c r="B653" s="122" t="s">
        <v>2575</v>
      </c>
      <c r="C653" s="122" t="s">
        <v>1829</v>
      </c>
      <c r="D653" s="125">
        <v>0.0</v>
      </c>
      <c r="E653" s="125">
        <v>0.0</v>
      </c>
      <c r="F653" s="125">
        <v>0.0</v>
      </c>
      <c r="G653" s="125">
        <v>0.0</v>
      </c>
      <c r="H653" s="125">
        <v>0.0</v>
      </c>
      <c r="I653" s="125">
        <v>0.0</v>
      </c>
      <c r="J653" s="125">
        <v>0.0</v>
      </c>
      <c r="K653" s="125">
        <v>0.0</v>
      </c>
      <c r="L653" s="125">
        <v>0.0</v>
      </c>
    </row>
    <row r="654">
      <c r="A654" s="122" t="s">
        <v>2576</v>
      </c>
      <c r="B654" s="122" t="s">
        <v>2577</v>
      </c>
      <c r="C654" s="122" t="s">
        <v>1829</v>
      </c>
      <c r="D654" s="125">
        <v>0.0</v>
      </c>
      <c r="E654" s="125">
        <v>0.0</v>
      </c>
      <c r="F654" s="125">
        <v>0.0</v>
      </c>
      <c r="G654" s="125">
        <v>0.0</v>
      </c>
      <c r="H654" s="125">
        <v>0.0</v>
      </c>
      <c r="I654" s="125">
        <v>0.0</v>
      </c>
      <c r="J654" s="125">
        <v>0.0</v>
      </c>
      <c r="K654" s="125">
        <v>0.0</v>
      </c>
      <c r="L654" s="125">
        <v>0.0</v>
      </c>
    </row>
    <row r="655">
      <c r="A655" s="122" t="s">
        <v>2578</v>
      </c>
      <c r="B655" s="122" t="s">
        <v>2579</v>
      </c>
      <c r="C655" s="122" t="s">
        <v>1829</v>
      </c>
      <c r="D655" s="125">
        <v>0.0</v>
      </c>
      <c r="E655" s="125">
        <v>0.0</v>
      </c>
      <c r="F655" s="125">
        <v>0.0</v>
      </c>
      <c r="G655" s="125">
        <v>0.0</v>
      </c>
      <c r="H655" s="125">
        <v>0.0</v>
      </c>
      <c r="I655" s="125">
        <v>0.0</v>
      </c>
      <c r="J655" s="125">
        <v>0.0</v>
      </c>
      <c r="K655" s="125">
        <v>0.0</v>
      </c>
      <c r="L655" s="125">
        <v>0.0</v>
      </c>
    </row>
    <row r="656">
      <c r="A656" s="122" t="s">
        <v>2580</v>
      </c>
      <c r="B656" s="122" t="s">
        <v>2581</v>
      </c>
      <c r="C656" s="122" t="s">
        <v>1829</v>
      </c>
      <c r="D656" s="125">
        <v>0.0</v>
      </c>
      <c r="E656" s="125">
        <v>0.0</v>
      </c>
      <c r="F656" s="125">
        <v>0.0</v>
      </c>
      <c r="G656" s="125">
        <v>0.0</v>
      </c>
      <c r="H656" s="125">
        <v>0.0</v>
      </c>
      <c r="I656" s="125">
        <v>0.0</v>
      </c>
      <c r="J656" s="125">
        <v>0.0</v>
      </c>
      <c r="K656" s="125">
        <v>0.0</v>
      </c>
      <c r="L656" s="125">
        <v>0.0</v>
      </c>
    </row>
    <row r="657">
      <c r="A657" s="122" t="s">
        <v>2582</v>
      </c>
      <c r="B657" s="122" t="s">
        <v>2583</v>
      </c>
      <c r="C657" s="122" t="s">
        <v>1829</v>
      </c>
      <c r="D657" s="125">
        <v>0.0</v>
      </c>
      <c r="E657" s="125">
        <v>0.0</v>
      </c>
      <c r="F657" s="125">
        <v>0.0</v>
      </c>
      <c r="G657" s="125">
        <v>0.0</v>
      </c>
      <c r="H657" s="125">
        <v>0.0</v>
      </c>
      <c r="I657" s="125">
        <v>0.0</v>
      </c>
      <c r="J657" s="125">
        <v>0.0</v>
      </c>
      <c r="K657" s="125">
        <v>0.0</v>
      </c>
      <c r="L657" s="125">
        <v>0.0</v>
      </c>
    </row>
    <row r="658">
      <c r="A658" s="122" t="s">
        <v>2584</v>
      </c>
      <c r="B658" s="122" t="s">
        <v>2585</v>
      </c>
      <c r="C658" s="122" t="s">
        <v>1829</v>
      </c>
      <c r="D658" s="125">
        <v>0.0</v>
      </c>
      <c r="E658" s="125">
        <v>0.0</v>
      </c>
      <c r="F658" s="125">
        <v>0.0</v>
      </c>
      <c r="G658" s="125">
        <v>0.0</v>
      </c>
      <c r="H658" s="125">
        <v>0.0</v>
      </c>
      <c r="I658" s="125">
        <v>0.0</v>
      </c>
      <c r="J658" s="125">
        <v>0.0</v>
      </c>
      <c r="K658" s="125">
        <v>0.0</v>
      </c>
      <c r="L658" s="125">
        <v>0.0</v>
      </c>
    </row>
    <row r="659">
      <c r="A659" s="122" t="s">
        <v>2586</v>
      </c>
      <c r="B659" s="122" t="s">
        <v>2587</v>
      </c>
      <c r="C659" s="122" t="s">
        <v>1829</v>
      </c>
      <c r="D659" s="125">
        <v>0.0</v>
      </c>
      <c r="E659" s="125">
        <v>0.0</v>
      </c>
      <c r="F659" s="125">
        <v>0.0</v>
      </c>
      <c r="G659" s="125">
        <v>0.0</v>
      </c>
      <c r="H659" s="125">
        <v>0.0</v>
      </c>
      <c r="I659" s="125">
        <v>0.0</v>
      </c>
      <c r="J659" s="125">
        <v>0.0</v>
      </c>
      <c r="K659" s="125">
        <v>0.0</v>
      </c>
      <c r="L659" s="125">
        <v>0.0</v>
      </c>
    </row>
    <row r="660">
      <c r="A660" s="122" t="s">
        <v>2588</v>
      </c>
      <c r="B660" s="122" t="s">
        <v>2589</v>
      </c>
      <c r="C660" s="122" t="s">
        <v>1829</v>
      </c>
      <c r="D660" s="125">
        <v>0.0</v>
      </c>
      <c r="E660" s="125">
        <v>0.0</v>
      </c>
      <c r="F660" s="125">
        <v>0.0</v>
      </c>
      <c r="G660" s="125">
        <v>0.0</v>
      </c>
      <c r="H660" s="125">
        <v>0.0</v>
      </c>
      <c r="I660" s="125">
        <v>0.0</v>
      </c>
      <c r="J660" s="125">
        <v>0.0</v>
      </c>
      <c r="K660" s="125">
        <v>0.0</v>
      </c>
      <c r="L660" s="125">
        <v>0.0</v>
      </c>
    </row>
    <row r="661">
      <c r="A661" s="122" t="s">
        <v>96</v>
      </c>
      <c r="B661" s="122" t="s">
        <v>2590</v>
      </c>
      <c r="C661" s="122" t="s">
        <v>1913</v>
      </c>
      <c r="D661" s="125">
        <v>5.0</v>
      </c>
      <c r="E661" s="125">
        <v>0.0</v>
      </c>
      <c r="F661" s="125">
        <v>5.0</v>
      </c>
      <c r="G661" s="125">
        <v>5.0</v>
      </c>
      <c r="H661" s="125">
        <v>5.0</v>
      </c>
      <c r="I661" s="125">
        <v>6.0</v>
      </c>
      <c r="J661" s="125">
        <v>0.0</v>
      </c>
      <c r="K661" s="125">
        <v>4.0</v>
      </c>
      <c r="L661" s="125">
        <v>20.0</v>
      </c>
    </row>
    <row r="662">
      <c r="A662" s="122" t="s">
        <v>1012</v>
      </c>
      <c r="B662" s="122" t="s">
        <v>2591</v>
      </c>
      <c r="C662" s="122" t="s">
        <v>1913</v>
      </c>
      <c r="D662" s="125">
        <v>0.0</v>
      </c>
      <c r="E662" s="125">
        <v>0.0</v>
      </c>
      <c r="F662" s="125">
        <v>0.0</v>
      </c>
      <c r="G662" s="125">
        <v>0.0</v>
      </c>
      <c r="H662" s="125">
        <v>0.0</v>
      </c>
      <c r="I662" s="125">
        <v>0.0</v>
      </c>
      <c r="J662" s="125">
        <v>0.0</v>
      </c>
      <c r="K662" s="125">
        <v>0.0</v>
      </c>
      <c r="L662" s="125">
        <v>0.0</v>
      </c>
    </row>
    <row r="663">
      <c r="A663" s="122" t="s">
        <v>98</v>
      </c>
      <c r="B663" s="122" t="s">
        <v>2592</v>
      </c>
      <c r="C663" s="122" t="s">
        <v>1913</v>
      </c>
      <c r="D663" s="125">
        <v>4.0</v>
      </c>
      <c r="E663" s="125">
        <v>0.0</v>
      </c>
      <c r="F663" s="125">
        <v>3.0</v>
      </c>
      <c r="G663" s="125">
        <v>9.0</v>
      </c>
      <c r="H663" s="125">
        <v>5.0</v>
      </c>
      <c r="I663" s="125">
        <v>8.0</v>
      </c>
      <c r="J663" s="125">
        <v>0.0</v>
      </c>
      <c r="K663" s="125">
        <v>5.0</v>
      </c>
      <c r="L663" s="125">
        <v>0.0</v>
      </c>
    </row>
    <row r="664">
      <c r="A664" s="122" t="s">
        <v>97</v>
      </c>
      <c r="B664" s="122" t="s">
        <v>2593</v>
      </c>
      <c r="C664" s="122" t="s">
        <v>1913</v>
      </c>
      <c r="D664" s="125">
        <v>1.0</v>
      </c>
      <c r="E664" s="125">
        <v>1.0</v>
      </c>
      <c r="F664" s="125">
        <v>0.0</v>
      </c>
      <c r="G664" s="125">
        <v>1.0</v>
      </c>
      <c r="H664" s="125">
        <v>1.0</v>
      </c>
      <c r="I664" s="125">
        <v>1.0</v>
      </c>
      <c r="J664" s="125">
        <v>0.0</v>
      </c>
      <c r="K664" s="125">
        <v>1.0</v>
      </c>
      <c r="L664" s="125">
        <v>20.0</v>
      </c>
    </row>
    <row r="665">
      <c r="A665" s="122" t="s">
        <v>105</v>
      </c>
      <c r="B665" s="122" t="s">
        <v>1664</v>
      </c>
      <c r="C665" s="122" t="s">
        <v>1913</v>
      </c>
      <c r="D665" s="125">
        <v>0.0</v>
      </c>
      <c r="E665" s="125">
        <v>0.0</v>
      </c>
      <c r="F665" s="125">
        <v>0.0</v>
      </c>
      <c r="G665" s="125">
        <v>0.0</v>
      </c>
      <c r="H665" s="125">
        <v>6.0</v>
      </c>
      <c r="I665" s="125">
        <v>2.0</v>
      </c>
      <c r="J665" s="125">
        <v>1.0</v>
      </c>
      <c r="K665" s="125">
        <v>2.0</v>
      </c>
      <c r="L665" s="125">
        <v>189.0</v>
      </c>
    </row>
    <row r="666">
      <c r="A666" s="122" t="s">
        <v>108</v>
      </c>
      <c r="B666" s="122" t="s">
        <v>2594</v>
      </c>
      <c r="C666" s="122" t="s">
        <v>1913</v>
      </c>
      <c r="D666" s="125">
        <v>3.0</v>
      </c>
      <c r="E666" s="125">
        <v>0.0</v>
      </c>
      <c r="F666" s="125">
        <v>0.0</v>
      </c>
      <c r="G666" s="125">
        <v>0.0</v>
      </c>
      <c r="H666" s="125">
        <v>1.0</v>
      </c>
      <c r="I666" s="125">
        <v>6.0</v>
      </c>
      <c r="J666" s="125">
        <v>0.0</v>
      </c>
      <c r="K666" s="125">
        <v>1.0</v>
      </c>
      <c r="L666" s="125">
        <v>101.0</v>
      </c>
    </row>
    <row r="667">
      <c r="A667" s="122" t="s">
        <v>102</v>
      </c>
      <c r="B667" s="122" t="s">
        <v>1675</v>
      </c>
      <c r="C667" s="122" t="s">
        <v>1913</v>
      </c>
      <c r="D667" s="125">
        <v>1.0</v>
      </c>
      <c r="E667" s="125">
        <v>0.0</v>
      </c>
      <c r="F667" s="125">
        <v>0.0</v>
      </c>
      <c r="G667" s="125">
        <v>0.0</v>
      </c>
      <c r="H667" s="125">
        <v>0.0</v>
      </c>
      <c r="I667" s="125">
        <v>1.0</v>
      </c>
      <c r="J667" s="125">
        <v>1.0</v>
      </c>
      <c r="K667" s="125">
        <v>0.0</v>
      </c>
      <c r="L667" s="125">
        <v>1498.0</v>
      </c>
    </row>
    <row r="668">
      <c r="A668" s="122" t="s">
        <v>101</v>
      </c>
      <c r="B668" s="122" t="s">
        <v>2595</v>
      </c>
      <c r="C668" s="122" t="s">
        <v>1913</v>
      </c>
      <c r="D668" s="125">
        <v>5.0</v>
      </c>
      <c r="E668" s="125">
        <v>0.0</v>
      </c>
      <c r="F668" s="125">
        <v>0.0</v>
      </c>
      <c r="G668" s="125">
        <v>0.0</v>
      </c>
      <c r="H668" s="125">
        <v>0.0</v>
      </c>
      <c r="I668" s="125">
        <v>9.0</v>
      </c>
      <c r="J668" s="125">
        <v>4.0</v>
      </c>
      <c r="K668" s="125">
        <v>2.0</v>
      </c>
      <c r="L668" s="125">
        <v>756.0</v>
      </c>
    </row>
    <row r="669">
      <c r="A669" s="122" t="s">
        <v>112</v>
      </c>
      <c r="B669" s="122" t="s">
        <v>1679</v>
      </c>
      <c r="C669" s="122" t="s">
        <v>1913</v>
      </c>
      <c r="D669" s="125">
        <v>2.0</v>
      </c>
      <c r="E669" s="125">
        <v>0.0</v>
      </c>
      <c r="F669" s="125">
        <v>0.0</v>
      </c>
      <c r="G669" s="125">
        <v>0.0</v>
      </c>
      <c r="H669" s="125">
        <v>0.0</v>
      </c>
      <c r="I669" s="125">
        <v>1.0</v>
      </c>
      <c r="J669" s="125">
        <v>1.0</v>
      </c>
      <c r="K669" s="125">
        <v>0.0</v>
      </c>
      <c r="L669" s="125">
        <v>398.0</v>
      </c>
    </row>
    <row r="670">
      <c r="A670" s="122" t="s">
        <v>111</v>
      </c>
      <c r="B670" s="122" t="s">
        <v>1693</v>
      </c>
      <c r="C670" s="122" t="s">
        <v>1913</v>
      </c>
      <c r="D670" s="125">
        <v>7.0</v>
      </c>
      <c r="E670" s="125">
        <v>0.0</v>
      </c>
      <c r="F670" s="125">
        <v>0.0</v>
      </c>
      <c r="G670" s="125">
        <v>0.0</v>
      </c>
      <c r="H670" s="125">
        <v>6.0</v>
      </c>
      <c r="I670" s="125">
        <v>5.0</v>
      </c>
      <c r="J670" s="125">
        <v>0.0</v>
      </c>
      <c r="K670" s="125">
        <v>2.0</v>
      </c>
      <c r="L670" s="125">
        <v>108.0</v>
      </c>
    </row>
    <row r="671">
      <c r="A671" s="122" t="s">
        <v>106</v>
      </c>
      <c r="B671" s="122" t="s">
        <v>1650</v>
      </c>
      <c r="C671" s="122" t="s">
        <v>1913</v>
      </c>
      <c r="D671" s="125">
        <v>1.0</v>
      </c>
      <c r="E671" s="125">
        <v>0.0</v>
      </c>
      <c r="F671" s="125">
        <v>0.0</v>
      </c>
      <c r="G671" s="125">
        <v>0.0</v>
      </c>
      <c r="H671" s="125">
        <v>2.0</v>
      </c>
      <c r="I671" s="125">
        <v>0.0</v>
      </c>
      <c r="J671" s="125">
        <v>0.0</v>
      </c>
      <c r="K671" s="125">
        <v>0.0</v>
      </c>
      <c r="L671" s="125">
        <v>98.0</v>
      </c>
    </row>
    <row r="672">
      <c r="A672" s="122" t="s">
        <v>113</v>
      </c>
      <c r="B672" s="122" t="s">
        <v>155</v>
      </c>
      <c r="C672" s="122" t="s">
        <v>1913</v>
      </c>
      <c r="D672" s="125">
        <v>1.0</v>
      </c>
      <c r="E672" s="125">
        <v>0.0</v>
      </c>
      <c r="F672" s="125">
        <v>0.0</v>
      </c>
      <c r="G672" s="125">
        <v>2.0</v>
      </c>
      <c r="H672" s="125">
        <v>1.0</v>
      </c>
      <c r="I672" s="125">
        <v>5.0</v>
      </c>
      <c r="J672" s="125">
        <v>0.0</v>
      </c>
      <c r="K672" s="125">
        <v>2.0</v>
      </c>
      <c r="L672" s="125">
        <v>92.0</v>
      </c>
    </row>
    <row r="673">
      <c r="A673" s="122" t="s">
        <v>104</v>
      </c>
      <c r="B673" s="122" t="s">
        <v>1648</v>
      </c>
      <c r="C673" s="122" t="s">
        <v>1913</v>
      </c>
      <c r="D673" s="125">
        <v>2.0</v>
      </c>
      <c r="E673" s="125">
        <v>0.0</v>
      </c>
      <c r="F673" s="125">
        <v>0.0</v>
      </c>
      <c r="G673" s="125">
        <v>3.0</v>
      </c>
      <c r="H673" s="125">
        <v>7.0</v>
      </c>
      <c r="I673" s="125">
        <v>9.0</v>
      </c>
      <c r="J673" s="125">
        <v>0.0</v>
      </c>
      <c r="K673" s="125">
        <v>4.0</v>
      </c>
      <c r="L673" s="125">
        <v>481.0</v>
      </c>
    </row>
    <row r="674">
      <c r="A674" s="122" t="s">
        <v>100</v>
      </c>
      <c r="B674" s="122" t="s">
        <v>1646</v>
      </c>
      <c r="C674" s="122" t="s">
        <v>1913</v>
      </c>
      <c r="D674" s="125">
        <v>8.0</v>
      </c>
      <c r="E674" s="125">
        <v>0.0</v>
      </c>
      <c r="F674" s="125">
        <v>0.0</v>
      </c>
      <c r="G674" s="125">
        <v>4.0</v>
      </c>
      <c r="H674" s="125">
        <v>6.0</v>
      </c>
      <c r="I674" s="125">
        <v>3.0</v>
      </c>
      <c r="J674" s="125">
        <v>1.0</v>
      </c>
      <c r="K674" s="125">
        <v>3.0</v>
      </c>
      <c r="L674" s="125">
        <v>186.0</v>
      </c>
    </row>
    <row r="675">
      <c r="A675" s="122" t="s">
        <v>103</v>
      </c>
      <c r="B675" s="122" t="s">
        <v>1673</v>
      </c>
      <c r="C675" s="122" t="s">
        <v>1913</v>
      </c>
      <c r="D675" s="125">
        <v>1.0</v>
      </c>
      <c r="E675" s="125">
        <v>0.0</v>
      </c>
      <c r="F675" s="125">
        <v>0.0</v>
      </c>
      <c r="G675" s="125">
        <v>0.0</v>
      </c>
      <c r="H675" s="125">
        <v>0.0</v>
      </c>
      <c r="I675" s="125">
        <v>4.0</v>
      </c>
      <c r="J675" s="125">
        <v>1.0</v>
      </c>
      <c r="K675" s="125">
        <v>1.0</v>
      </c>
      <c r="L675" s="125">
        <v>1495.0</v>
      </c>
    </row>
    <row r="676">
      <c r="A676" s="122" t="s">
        <v>99</v>
      </c>
      <c r="B676" s="122" t="s">
        <v>1644</v>
      </c>
      <c r="C676" s="122" t="s">
        <v>1913</v>
      </c>
      <c r="D676" s="125">
        <v>40.0</v>
      </c>
      <c r="E676" s="125">
        <v>0.0</v>
      </c>
      <c r="F676" s="125">
        <v>0.0</v>
      </c>
      <c r="G676" s="125">
        <v>0.0</v>
      </c>
      <c r="H676" s="125">
        <v>6.0</v>
      </c>
      <c r="I676" s="125">
        <v>25.0</v>
      </c>
      <c r="J676" s="125">
        <v>2.0</v>
      </c>
      <c r="K676" s="125">
        <v>6.0</v>
      </c>
      <c r="L676" s="125">
        <v>967.0</v>
      </c>
    </row>
    <row r="677">
      <c r="A677" s="122" t="s">
        <v>110</v>
      </c>
      <c r="B677" s="122" t="s">
        <v>1689</v>
      </c>
      <c r="C677" s="122" t="s">
        <v>1913</v>
      </c>
      <c r="D677" s="125">
        <v>3.0</v>
      </c>
      <c r="E677" s="125">
        <v>0.0</v>
      </c>
      <c r="F677" s="125">
        <v>0.0</v>
      </c>
      <c r="G677" s="125">
        <v>6.0</v>
      </c>
      <c r="H677" s="125">
        <v>11.0</v>
      </c>
      <c r="I677" s="125">
        <v>15.0</v>
      </c>
      <c r="J677" s="125">
        <v>2.0</v>
      </c>
      <c r="K677" s="125">
        <v>6.0</v>
      </c>
      <c r="L677" s="125">
        <v>67.0</v>
      </c>
    </row>
    <row r="678">
      <c r="A678" s="122" t="s">
        <v>107</v>
      </c>
      <c r="B678" s="122" t="s">
        <v>1687</v>
      </c>
      <c r="C678" s="122" t="s">
        <v>1913</v>
      </c>
      <c r="D678" s="125">
        <v>1.0</v>
      </c>
      <c r="E678" s="125">
        <v>0.0</v>
      </c>
      <c r="F678" s="125">
        <v>0.0</v>
      </c>
      <c r="G678" s="125">
        <v>0.0</v>
      </c>
      <c r="H678" s="125">
        <v>0.0</v>
      </c>
      <c r="I678" s="125">
        <v>1.0</v>
      </c>
      <c r="J678" s="125">
        <v>0.0</v>
      </c>
      <c r="K678" s="125">
        <v>0.0</v>
      </c>
      <c r="L678" s="125">
        <v>159.0</v>
      </c>
    </row>
    <row r="679">
      <c r="A679" s="122" t="s">
        <v>109</v>
      </c>
      <c r="B679" s="122" t="s">
        <v>161</v>
      </c>
      <c r="C679" s="122" t="s">
        <v>1913</v>
      </c>
      <c r="D679" s="125">
        <v>2.0</v>
      </c>
      <c r="E679" s="125">
        <v>0.0</v>
      </c>
      <c r="F679" s="125">
        <v>0.0</v>
      </c>
      <c r="G679" s="125">
        <v>0.0</v>
      </c>
      <c r="H679" s="125">
        <v>2.0</v>
      </c>
      <c r="I679" s="125">
        <v>2.0</v>
      </c>
      <c r="J679" s="125">
        <v>0.0</v>
      </c>
      <c r="K679" s="125">
        <v>1.0</v>
      </c>
      <c r="L679" s="125">
        <v>196.0</v>
      </c>
    </row>
    <row r="680">
      <c r="A680" s="122" t="s">
        <v>178</v>
      </c>
      <c r="B680" s="122" t="s">
        <v>180</v>
      </c>
      <c r="C680" s="122" t="s">
        <v>1913</v>
      </c>
      <c r="D680" s="125">
        <v>0.0</v>
      </c>
      <c r="E680" s="125">
        <v>0.0</v>
      </c>
      <c r="F680" s="125">
        <v>0.0</v>
      </c>
      <c r="G680" s="125">
        <v>0.0</v>
      </c>
      <c r="H680" s="125">
        <v>0.0</v>
      </c>
      <c r="I680" s="125">
        <v>0.0</v>
      </c>
      <c r="J680" s="125">
        <v>0.0</v>
      </c>
      <c r="K680" s="125">
        <v>0.0</v>
      </c>
      <c r="L680" s="125">
        <v>0.0</v>
      </c>
    </row>
    <row r="681">
      <c r="A681" s="122" t="s">
        <v>2596</v>
      </c>
      <c r="B681" s="122" t="s">
        <v>2597</v>
      </c>
      <c r="C681" s="122" t="s">
        <v>1913</v>
      </c>
      <c r="D681" s="125">
        <v>0.0</v>
      </c>
      <c r="E681" s="125">
        <v>0.0</v>
      </c>
      <c r="F681" s="125">
        <v>0.0</v>
      </c>
      <c r="G681" s="125">
        <v>0.0</v>
      </c>
      <c r="H681" s="125">
        <v>0.0</v>
      </c>
      <c r="I681" s="125">
        <v>3.0</v>
      </c>
      <c r="J681" s="125">
        <v>0.0</v>
      </c>
      <c r="K681" s="125">
        <v>1.0</v>
      </c>
      <c r="L681" s="125">
        <v>0.0</v>
      </c>
    </row>
    <row r="682">
      <c r="A682" s="122" t="s">
        <v>2598</v>
      </c>
      <c r="B682" s="122" t="s">
        <v>2599</v>
      </c>
      <c r="C682" s="122" t="s">
        <v>1913</v>
      </c>
      <c r="D682" s="125">
        <v>0.0</v>
      </c>
      <c r="E682" s="125">
        <v>0.0</v>
      </c>
      <c r="F682" s="125">
        <v>0.0</v>
      </c>
      <c r="G682" s="125">
        <v>0.0</v>
      </c>
      <c r="H682" s="125">
        <v>0.0</v>
      </c>
      <c r="I682" s="125">
        <v>0.0</v>
      </c>
      <c r="J682" s="125">
        <v>0.0</v>
      </c>
      <c r="K682" s="125">
        <v>0.0</v>
      </c>
      <c r="L682" s="125">
        <v>0.0</v>
      </c>
    </row>
    <row r="683">
      <c r="A683" s="122" t="s">
        <v>176</v>
      </c>
      <c r="B683" s="122" t="s">
        <v>2600</v>
      </c>
      <c r="C683" s="122" t="s">
        <v>1913</v>
      </c>
      <c r="D683" s="125">
        <v>0.0</v>
      </c>
      <c r="E683" s="125">
        <v>0.0</v>
      </c>
      <c r="F683" s="125">
        <v>0.0</v>
      </c>
      <c r="G683" s="125">
        <v>0.0</v>
      </c>
      <c r="H683" s="125">
        <v>0.0</v>
      </c>
      <c r="I683" s="125">
        <v>0.0</v>
      </c>
      <c r="J683" s="125">
        <v>0.0</v>
      </c>
      <c r="K683" s="125">
        <v>0.0</v>
      </c>
      <c r="L683" s="125">
        <v>0.0</v>
      </c>
    </row>
    <row r="684">
      <c r="A684" s="122" t="s">
        <v>197</v>
      </c>
      <c r="B684" s="122" t="s">
        <v>2601</v>
      </c>
      <c r="C684" s="122" t="s">
        <v>1913</v>
      </c>
      <c r="D684" s="125">
        <v>0.0</v>
      </c>
      <c r="E684" s="125">
        <v>0.0</v>
      </c>
      <c r="F684" s="125">
        <v>0.0</v>
      </c>
      <c r="G684" s="125">
        <v>0.0</v>
      </c>
      <c r="H684" s="125">
        <v>0.0</v>
      </c>
      <c r="I684" s="125">
        <v>0.0</v>
      </c>
      <c r="J684" s="125">
        <v>0.0</v>
      </c>
      <c r="K684" s="125">
        <v>0.0</v>
      </c>
      <c r="L684" s="125">
        <v>0.0</v>
      </c>
    </row>
    <row r="685">
      <c r="A685" s="122" t="s">
        <v>186</v>
      </c>
      <c r="B685" s="122" t="s">
        <v>2602</v>
      </c>
      <c r="C685" s="122" t="s">
        <v>1913</v>
      </c>
      <c r="D685" s="125">
        <v>0.0</v>
      </c>
      <c r="E685" s="125">
        <v>0.0</v>
      </c>
      <c r="F685" s="125">
        <v>0.0</v>
      </c>
      <c r="G685" s="125">
        <v>0.0</v>
      </c>
      <c r="H685" s="125">
        <v>0.0</v>
      </c>
      <c r="I685" s="125">
        <v>0.0</v>
      </c>
      <c r="J685" s="125">
        <v>0.0</v>
      </c>
      <c r="K685" s="125">
        <v>0.0</v>
      </c>
      <c r="L685" s="125">
        <v>0.0</v>
      </c>
    </row>
    <row r="686">
      <c r="A686" s="122" t="s">
        <v>177</v>
      </c>
      <c r="B686" s="122" t="s">
        <v>2603</v>
      </c>
      <c r="C686" s="122" t="s">
        <v>1913</v>
      </c>
      <c r="D686" s="125">
        <v>0.0</v>
      </c>
      <c r="E686" s="125">
        <v>0.0</v>
      </c>
      <c r="F686" s="125">
        <v>0.0</v>
      </c>
      <c r="G686" s="125">
        <v>0.0</v>
      </c>
      <c r="H686" s="125">
        <v>0.0</v>
      </c>
      <c r="I686" s="125">
        <v>0.0</v>
      </c>
      <c r="J686" s="125">
        <v>0.0</v>
      </c>
      <c r="K686" s="125">
        <v>0.0</v>
      </c>
      <c r="L686" s="125">
        <v>0.0</v>
      </c>
    </row>
    <row r="687">
      <c r="A687" s="122" t="s">
        <v>170</v>
      </c>
      <c r="B687" s="122" t="s">
        <v>2604</v>
      </c>
      <c r="C687" s="122" t="s">
        <v>1913</v>
      </c>
      <c r="D687" s="125">
        <v>0.0</v>
      </c>
      <c r="E687" s="125">
        <v>0.0</v>
      </c>
      <c r="F687" s="125">
        <v>0.0</v>
      </c>
      <c r="G687" s="125">
        <v>0.0</v>
      </c>
      <c r="H687" s="125">
        <v>0.0</v>
      </c>
      <c r="I687" s="125">
        <v>0.0</v>
      </c>
      <c r="J687" s="125">
        <v>0.0</v>
      </c>
      <c r="K687" s="125">
        <v>0.0</v>
      </c>
      <c r="L687" s="125">
        <v>0.0</v>
      </c>
    </row>
    <row r="688">
      <c r="A688" s="122" t="s">
        <v>164</v>
      </c>
      <c r="B688" s="122" t="s">
        <v>2605</v>
      </c>
      <c r="C688" s="122" t="s">
        <v>1913</v>
      </c>
      <c r="D688" s="125">
        <v>0.0</v>
      </c>
      <c r="E688" s="125">
        <v>0.0</v>
      </c>
      <c r="F688" s="125">
        <v>0.0</v>
      </c>
      <c r="G688" s="125">
        <v>0.0</v>
      </c>
      <c r="H688" s="125">
        <v>0.0</v>
      </c>
      <c r="I688" s="125">
        <v>0.0</v>
      </c>
      <c r="J688" s="125">
        <v>0.0</v>
      </c>
      <c r="K688" s="125">
        <v>0.0</v>
      </c>
      <c r="L688" s="125">
        <v>0.0</v>
      </c>
    </row>
    <row r="689">
      <c r="A689" s="122" t="s">
        <v>207</v>
      </c>
      <c r="B689" s="122" t="s">
        <v>2606</v>
      </c>
      <c r="C689" s="122" t="s">
        <v>1913</v>
      </c>
      <c r="D689" s="125">
        <v>0.0</v>
      </c>
      <c r="E689" s="125">
        <v>0.0</v>
      </c>
      <c r="F689" s="125">
        <v>0.0</v>
      </c>
      <c r="G689" s="125">
        <v>0.0</v>
      </c>
      <c r="H689" s="125">
        <v>0.0</v>
      </c>
      <c r="I689" s="125">
        <v>0.0</v>
      </c>
      <c r="J689" s="125">
        <v>0.0</v>
      </c>
      <c r="K689" s="125">
        <v>0.0</v>
      </c>
      <c r="L689" s="125">
        <v>0.0</v>
      </c>
    </row>
    <row r="690">
      <c r="A690" s="122" t="s">
        <v>202</v>
      </c>
      <c r="B690" s="122" t="s">
        <v>2607</v>
      </c>
      <c r="C690" s="122" t="s">
        <v>1913</v>
      </c>
      <c r="D690" s="125">
        <v>0.0</v>
      </c>
      <c r="E690" s="125">
        <v>0.0</v>
      </c>
      <c r="F690" s="125">
        <v>0.0</v>
      </c>
      <c r="G690" s="125">
        <v>0.0</v>
      </c>
      <c r="H690" s="125">
        <v>0.0</v>
      </c>
      <c r="I690" s="125">
        <v>0.0</v>
      </c>
      <c r="J690" s="125">
        <v>0.0</v>
      </c>
      <c r="K690" s="125">
        <v>0.0</v>
      </c>
      <c r="L690" s="125">
        <v>0.0</v>
      </c>
    </row>
    <row r="691">
      <c r="A691" s="122" t="s">
        <v>182</v>
      </c>
      <c r="B691" s="122" t="s">
        <v>2608</v>
      </c>
      <c r="C691" s="122" t="s">
        <v>1913</v>
      </c>
      <c r="D691" s="125">
        <v>0.0</v>
      </c>
      <c r="E691" s="125">
        <v>0.0</v>
      </c>
      <c r="F691" s="125">
        <v>0.0</v>
      </c>
      <c r="G691" s="125">
        <v>0.0</v>
      </c>
      <c r="H691" s="125">
        <v>0.0</v>
      </c>
      <c r="I691" s="125">
        <v>0.0</v>
      </c>
      <c r="J691" s="125">
        <v>0.0</v>
      </c>
      <c r="K691" s="125">
        <v>0.0</v>
      </c>
      <c r="L691" s="125">
        <v>0.0</v>
      </c>
    </row>
    <row r="692">
      <c r="A692" s="122" t="s">
        <v>135</v>
      </c>
      <c r="B692" s="122" t="s">
        <v>2609</v>
      </c>
      <c r="C692" s="122" t="s">
        <v>1913</v>
      </c>
      <c r="D692" s="125">
        <v>0.0</v>
      </c>
      <c r="E692" s="125">
        <v>0.0</v>
      </c>
      <c r="F692" s="125">
        <v>0.0</v>
      </c>
      <c r="G692" s="125">
        <v>0.0</v>
      </c>
      <c r="H692" s="125">
        <v>0.0</v>
      </c>
      <c r="I692" s="125">
        <v>0.0</v>
      </c>
      <c r="J692" s="125">
        <v>0.0</v>
      </c>
      <c r="K692" s="125">
        <v>0.0</v>
      </c>
      <c r="L692" s="125">
        <v>0.0</v>
      </c>
    </row>
    <row r="693">
      <c r="A693" s="122" t="s">
        <v>145</v>
      </c>
      <c r="B693" s="122" t="s">
        <v>2610</v>
      </c>
      <c r="C693" s="122" t="s">
        <v>1913</v>
      </c>
      <c r="D693" s="125">
        <v>0.0</v>
      </c>
      <c r="E693" s="125">
        <v>0.0</v>
      </c>
      <c r="F693" s="125">
        <v>0.0</v>
      </c>
      <c r="G693" s="125">
        <v>0.0</v>
      </c>
      <c r="H693" s="125">
        <v>0.0</v>
      </c>
      <c r="I693" s="125">
        <v>0.0</v>
      </c>
      <c r="J693" s="125">
        <v>0.0</v>
      </c>
      <c r="K693" s="125">
        <v>0.0</v>
      </c>
      <c r="L693" s="125">
        <v>0.0</v>
      </c>
    </row>
    <row r="694">
      <c r="A694" s="122" t="s">
        <v>150</v>
      </c>
      <c r="B694" s="122" t="s">
        <v>2611</v>
      </c>
      <c r="C694" s="122" t="s">
        <v>1913</v>
      </c>
      <c r="D694" s="125">
        <v>0.0</v>
      </c>
      <c r="E694" s="125">
        <v>0.0</v>
      </c>
      <c r="F694" s="125">
        <v>0.0</v>
      </c>
      <c r="G694" s="125">
        <v>0.0</v>
      </c>
      <c r="H694" s="125">
        <v>0.0</v>
      </c>
      <c r="I694" s="125">
        <v>0.0</v>
      </c>
      <c r="J694" s="125">
        <v>0.0</v>
      </c>
      <c r="K694" s="125">
        <v>0.0</v>
      </c>
      <c r="L694" s="125">
        <v>0.0</v>
      </c>
    </row>
    <row r="695">
      <c r="A695" s="122" t="s">
        <v>140</v>
      </c>
      <c r="B695" s="122" t="s">
        <v>2612</v>
      </c>
      <c r="C695" s="122" t="s">
        <v>1913</v>
      </c>
      <c r="D695" s="125">
        <v>0.0</v>
      </c>
      <c r="E695" s="125">
        <v>0.0</v>
      </c>
      <c r="F695" s="125">
        <v>0.0</v>
      </c>
      <c r="G695" s="125">
        <v>0.0</v>
      </c>
      <c r="H695" s="125">
        <v>0.0</v>
      </c>
      <c r="I695" s="125">
        <v>0.0</v>
      </c>
      <c r="J695" s="125">
        <v>0.0</v>
      </c>
      <c r="K695" s="125">
        <v>0.0</v>
      </c>
      <c r="L695" s="125">
        <v>0.0</v>
      </c>
    </row>
    <row r="696">
      <c r="A696" s="122" t="s">
        <v>192</v>
      </c>
      <c r="B696" s="122" t="s">
        <v>2613</v>
      </c>
      <c r="C696" s="122" t="s">
        <v>1913</v>
      </c>
      <c r="D696" s="125">
        <v>0.0</v>
      </c>
      <c r="E696" s="125">
        <v>0.0</v>
      </c>
      <c r="F696" s="125">
        <v>0.0</v>
      </c>
      <c r="G696" s="125">
        <v>0.0</v>
      </c>
      <c r="H696" s="125">
        <v>0.0</v>
      </c>
      <c r="I696" s="125">
        <v>0.0</v>
      </c>
      <c r="J696" s="125">
        <v>0.0</v>
      </c>
      <c r="K696" s="125">
        <v>0.0</v>
      </c>
      <c r="L696" s="125">
        <v>0.0</v>
      </c>
    </row>
    <row r="697">
      <c r="A697" s="122" t="s">
        <v>217</v>
      </c>
      <c r="B697" s="122" t="s">
        <v>2614</v>
      </c>
      <c r="C697" s="122" t="s">
        <v>1913</v>
      </c>
      <c r="D697" s="125">
        <v>0.0</v>
      </c>
      <c r="E697" s="125">
        <v>0.0</v>
      </c>
      <c r="F697" s="125">
        <v>0.0</v>
      </c>
      <c r="G697" s="125">
        <v>0.0</v>
      </c>
      <c r="H697" s="125">
        <v>0.0</v>
      </c>
      <c r="I697" s="125">
        <v>0.0</v>
      </c>
      <c r="J697" s="125">
        <v>0.0</v>
      </c>
      <c r="K697" s="125">
        <v>0.0</v>
      </c>
      <c r="L697" s="125">
        <v>0.0</v>
      </c>
    </row>
    <row r="698">
      <c r="A698" s="122" t="s">
        <v>212</v>
      </c>
      <c r="B698" s="122" t="s">
        <v>214</v>
      </c>
      <c r="C698" s="122" t="s">
        <v>1913</v>
      </c>
      <c r="D698" s="125">
        <v>0.0</v>
      </c>
      <c r="E698" s="125">
        <v>0.0</v>
      </c>
      <c r="F698" s="125">
        <v>0.0</v>
      </c>
      <c r="G698" s="125">
        <v>0.0</v>
      </c>
      <c r="H698" s="125">
        <v>0.0</v>
      </c>
      <c r="I698" s="125">
        <v>0.0</v>
      </c>
      <c r="J698" s="125">
        <v>0.0</v>
      </c>
      <c r="K698" s="125">
        <v>0.0</v>
      </c>
      <c r="L698" s="125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54</v>
      </c>
      <c r="B1" s="122" t="s">
        <v>1812</v>
      </c>
      <c r="C1" s="122" t="s">
        <v>2615</v>
      </c>
      <c r="D1" s="122" t="s">
        <v>2616</v>
      </c>
      <c r="E1" s="122" t="s">
        <v>2617</v>
      </c>
      <c r="F1" s="122" t="s">
        <v>2618</v>
      </c>
      <c r="G1" s="122" t="s">
        <v>2619</v>
      </c>
      <c r="H1" s="122" t="s">
        <v>2620</v>
      </c>
      <c r="I1" s="122" t="s">
        <v>2621</v>
      </c>
      <c r="J1" s="122" t="s">
        <v>2622</v>
      </c>
      <c r="K1" s="122" t="s">
        <v>2623</v>
      </c>
      <c r="L1" s="122" t="s">
        <v>2624</v>
      </c>
      <c r="M1" s="122" t="s">
        <v>2625</v>
      </c>
      <c r="N1" s="122" t="s">
        <v>2626</v>
      </c>
      <c r="O1" s="122"/>
      <c r="P1" s="122"/>
      <c r="Q1" s="122"/>
      <c r="R1" s="122"/>
      <c r="S1" s="122"/>
      <c r="T1" s="122"/>
      <c r="U1" s="122"/>
      <c r="V1" s="122"/>
    </row>
    <row r="2">
      <c r="A2" s="122" t="s">
        <v>451</v>
      </c>
      <c r="B2" s="122" t="s">
        <v>453</v>
      </c>
      <c r="C2" s="125">
        <v>3.708108E7</v>
      </c>
      <c r="D2" s="125">
        <v>3.646308E7</v>
      </c>
      <c r="E2" s="125">
        <v>1470.0</v>
      </c>
      <c r="F2" s="125">
        <v>618000.0</v>
      </c>
      <c r="G2" s="125">
        <v>2.3885184E7</v>
      </c>
      <c r="H2" s="125">
        <v>1.3195896E7</v>
      </c>
      <c r="I2" s="125" t="s">
        <v>2627</v>
      </c>
      <c r="J2" s="125">
        <v>1.2778428E7</v>
      </c>
      <c r="K2" s="125">
        <v>618343.0</v>
      </c>
      <c r="L2" s="125">
        <v>40757.0</v>
      </c>
      <c r="M2" s="125">
        <v>5574649.0</v>
      </c>
      <c r="N2" s="125">
        <v>-4873007.0</v>
      </c>
      <c r="O2" s="125"/>
      <c r="P2" s="125"/>
      <c r="Q2" s="125"/>
      <c r="R2" s="125"/>
      <c r="S2" s="125"/>
      <c r="T2" s="125"/>
      <c r="U2" s="125"/>
      <c r="V2" s="125"/>
    </row>
    <row r="3">
      <c r="A3" s="122" t="s">
        <v>1995</v>
      </c>
      <c r="B3" s="122" t="s">
        <v>1996</v>
      </c>
      <c r="C3" s="125">
        <v>0.0</v>
      </c>
      <c r="D3" s="125">
        <v>0.0</v>
      </c>
      <c r="E3" s="125">
        <v>0.0</v>
      </c>
      <c r="F3" s="125">
        <v>0.0</v>
      </c>
      <c r="G3" s="125">
        <v>0.0</v>
      </c>
      <c r="H3" s="125">
        <v>0.0</v>
      </c>
      <c r="I3" s="125">
        <v>0.0</v>
      </c>
      <c r="J3" s="125">
        <v>0.0</v>
      </c>
      <c r="K3" s="125">
        <v>0.0</v>
      </c>
      <c r="L3" s="125">
        <v>0.0</v>
      </c>
      <c r="M3" s="125">
        <v>0.0</v>
      </c>
      <c r="N3" s="125">
        <v>0.0</v>
      </c>
      <c r="O3" s="125"/>
      <c r="P3" s="125"/>
      <c r="Q3" s="125"/>
      <c r="R3" s="125"/>
      <c r="S3" s="125"/>
      <c r="T3" s="125"/>
      <c r="U3" s="125"/>
      <c r="V3" s="125"/>
    </row>
    <row r="4">
      <c r="A4" s="122" t="s">
        <v>759</v>
      </c>
      <c r="B4" s="122" t="s">
        <v>761</v>
      </c>
      <c r="C4" s="125">
        <v>2444750.0</v>
      </c>
      <c r="D4" s="125">
        <v>2416750.0</v>
      </c>
      <c r="E4" s="125">
        <v>25.0</v>
      </c>
      <c r="F4" s="125">
        <v>28000.0</v>
      </c>
      <c r="G4" s="125">
        <v>2056064.0</v>
      </c>
      <c r="H4" s="125">
        <v>388686.0</v>
      </c>
      <c r="I4" s="125" t="s">
        <v>2628</v>
      </c>
      <c r="J4" s="125">
        <v>915431.0</v>
      </c>
      <c r="K4" s="125">
        <v>580653.0</v>
      </c>
      <c r="L4" s="125">
        <v>12200.0</v>
      </c>
      <c r="M4" s="125">
        <v>366705.0</v>
      </c>
      <c r="N4" s="125">
        <v>-181075.0</v>
      </c>
      <c r="O4" s="125"/>
      <c r="P4" s="125"/>
      <c r="Q4" s="125"/>
      <c r="R4" s="125"/>
      <c r="S4" s="125"/>
      <c r="T4" s="125"/>
      <c r="U4" s="125"/>
      <c r="V4" s="125"/>
    </row>
    <row r="5">
      <c r="A5" s="122" t="s">
        <v>629</v>
      </c>
      <c r="B5" s="122" t="s">
        <v>1858</v>
      </c>
      <c r="C5" s="125">
        <v>5480072.0</v>
      </c>
      <c r="D5" s="125">
        <v>5474072.0</v>
      </c>
      <c r="E5" s="125">
        <v>184.0</v>
      </c>
      <c r="F5" s="125">
        <v>6000.0</v>
      </c>
      <c r="G5" s="125">
        <v>3686268.0</v>
      </c>
      <c r="H5" s="125">
        <v>1793804.0</v>
      </c>
      <c r="I5" s="125" t="s">
        <v>2629</v>
      </c>
      <c r="J5" s="125">
        <v>2140691.0</v>
      </c>
      <c r="K5" s="125">
        <v>267172.0</v>
      </c>
      <c r="L5" s="125">
        <v>2204.0</v>
      </c>
      <c r="M5" s="125">
        <v>811763.0</v>
      </c>
      <c r="N5" s="125">
        <v>-464438.0</v>
      </c>
      <c r="O5" s="125"/>
      <c r="P5" s="125"/>
      <c r="Q5" s="125"/>
      <c r="R5" s="125"/>
      <c r="S5" s="125"/>
      <c r="T5" s="125"/>
      <c r="U5" s="125"/>
      <c r="V5" s="125"/>
    </row>
    <row r="6">
      <c r="A6" s="122" t="s">
        <v>659</v>
      </c>
      <c r="B6" s="122" t="s">
        <v>1881</v>
      </c>
      <c r="C6" s="125">
        <v>2.8146222E7</v>
      </c>
      <c r="D6" s="125">
        <v>2.7596222E7</v>
      </c>
      <c r="E6" s="125">
        <v>156.0</v>
      </c>
      <c r="F6" s="125">
        <v>550000.0</v>
      </c>
      <c r="G6" s="125">
        <v>1.5619243E7</v>
      </c>
      <c r="H6" s="125">
        <v>1.2526979E7</v>
      </c>
      <c r="I6" s="125" t="s">
        <v>2630</v>
      </c>
      <c r="J6" s="125">
        <v>9099674.0</v>
      </c>
      <c r="K6" s="125">
        <v>1052859.0</v>
      </c>
      <c r="L6" s="125">
        <v>58360.0</v>
      </c>
      <c r="M6" s="125">
        <v>4384026.0</v>
      </c>
      <c r="N6" s="125">
        <v>-1024324.0</v>
      </c>
      <c r="O6" s="125"/>
      <c r="P6" s="125"/>
      <c r="Q6" s="125"/>
      <c r="R6" s="125"/>
      <c r="S6" s="125"/>
      <c r="T6" s="125"/>
      <c r="U6" s="125"/>
      <c r="V6" s="125"/>
    </row>
    <row r="7">
      <c r="A7" s="122" t="s">
        <v>614</v>
      </c>
      <c r="B7" s="122" t="s">
        <v>616</v>
      </c>
      <c r="C7" s="125">
        <v>0.0</v>
      </c>
      <c r="D7" s="125">
        <v>0.0</v>
      </c>
      <c r="E7" s="125">
        <v>0.0</v>
      </c>
      <c r="F7" s="125">
        <v>0.0</v>
      </c>
      <c r="G7" s="125">
        <v>11187.0</v>
      </c>
      <c r="H7" s="125">
        <v>-11187.0</v>
      </c>
      <c r="I7" s="125">
        <v>0.0</v>
      </c>
      <c r="J7" s="125">
        <v>0.0</v>
      </c>
      <c r="K7" s="125">
        <v>11187.0</v>
      </c>
      <c r="L7" s="125">
        <v>0.0</v>
      </c>
      <c r="M7" s="125">
        <v>0.0</v>
      </c>
      <c r="N7" s="125">
        <v>0.0</v>
      </c>
      <c r="O7" s="125"/>
      <c r="P7" s="125"/>
      <c r="Q7" s="125"/>
      <c r="R7" s="125"/>
      <c r="S7" s="125"/>
      <c r="T7" s="125"/>
      <c r="U7" s="125"/>
      <c r="V7" s="125"/>
    </row>
    <row r="8">
      <c r="A8" s="122" t="s">
        <v>542</v>
      </c>
      <c r="B8" s="122" t="s">
        <v>544</v>
      </c>
      <c r="C8" s="125">
        <v>2088910.0</v>
      </c>
      <c r="D8" s="125">
        <v>2088910.0</v>
      </c>
      <c r="E8" s="125">
        <v>19.0</v>
      </c>
      <c r="F8" s="125">
        <v>0.0</v>
      </c>
      <c r="G8" s="125">
        <v>1450810.0</v>
      </c>
      <c r="H8" s="125">
        <v>638100.0</v>
      </c>
      <c r="I8" s="125" t="s">
        <v>2631</v>
      </c>
      <c r="J8" s="125">
        <v>974415.0</v>
      </c>
      <c r="K8" s="125">
        <v>42447.0</v>
      </c>
      <c r="L8" s="125">
        <v>10300.0</v>
      </c>
      <c r="M8" s="125">
        <v>312438.0</v>
      </c>
      <c r="N8" s="125">
        <v>-111210.0</v>
      </c>
      <c r="O8" s="125"/>
      <c r="P8" s="125"/>
      <c r="Q8" s="125"/>
      <c r="R8" s="125"/>
      <c r="S8" s="125"/>
      <c r="T8" s="125"/>
      <c r="U8" s="125"/>
      <c r="V8" s="125"/>
    </row>
    <row r="9">
      <c r="A9" s="122" t="s">
        <v>1997</v>
      </c>
      <c r="B9" s="122" t="s">
        <v>1998</v>
      </c>
      <c r="C9" s="125">
        <v>0.0</v>
      </c>
      <c r="D9" s="125">
        <v>0.0</v>
      </c>
      <c r="E9" s="125">
        <v>0.0</v>
      </c>
      <c r="F9" s="125">
        <v>0.0</v>
      </c>
      <c r="G9" s="125">
        <v>0.0</v>
      </c>
      <c r="H9" s="125">
        <v>0.0</v>
      </c>
      <c r="I9" s="125">
        <v>0.0</v>
      </c>
      <c r="J9" s="125">
        <v>0.0</v>
      </c>
      <c r="K9" s="125">
        <v>0.0</v>
      </c>
      <c r="L9" s="125">
        <v>0.0</v>
      </c>
      <c r="M9" s="125">
        <v>0.0</v>
      </c>
      <c r="N9" s="125">
        <v>0.0</v>
      </c>
      <c r="O9" s="125"/>
      <c r="P9" s="125"/>
      <c r="Q9" s="125"/>
      <c r="R9" s="125"/>
      <c r="S9" s="125"/>
      <c r="T9" s="125"/>
      <c r="U9" s="125"/>
      <c r="V9" s="125"/>
    </row>
    <row r="10">
      <c r="A10" s="122" t="s">
        <v>830</v>
      </c>
      <c r="B10" s="122" t="s">
        <v>832</v>
      </c>
      <c r="C10" s="125">
        <v>77980.0</v>
      </c>
      <c r="D10" s="125">
        <v>77980.0</v>
      </c>
      <c r="E10" s="125">
        <v>2.0</v>
      </c>
      <c r="F10" s="125">
        <v>0.0</v>
      </c>
      <c r="G10" s="125">
        <v>49855.0</v>
      </c>
      <c r="H10" s="125">
        <v>28125.0</v>
      </c>
      <c r="I10" s="125" t="s">
        <v>2632</v>
      </c>
      <c r="J10" s="125">
        <v>27836.0</v>
      </c>
      <c r="K10" s="125">
        <v>4459.0</v>
      </c>
      <c r="L10" s="125">
        <v>432.0</v>
      </c>
      <c r="M10" s="125">
        <v>8578.0</v>
      </c>
      <c r="N10" s="125">
        <v>-8550.0</v>
      </c>
      <c r="O10" s="125"/>
      <c r="P10" s="125"/>
      <c r="Q10" s="125"/>
      <c r="R10" s="125"/>
      <c r="S10" s="125"/>
      <c r="T10" s="125"/>
      <c r="U10" s="125"/>
      <c r="V10" s="125"/>
    </row>
    <row r="11">
      <c r="A11" s="122" t="s">
        <v>1999</v>
      </c>
      <c r="B11" s="122" t="s">
        <v>2000</v>
      </c>
      <c r="C11" s="125">
        <v>0.0</v>
      </c>
      <c r="D11" s="125">
        <v>0.0</v>
      </c>
      <c r="E11" s="125">
        <v>0.0</v>
      </c>
      <c r="F11" s="125">
        <v>0.0</v>
      </c>
      <c r="G11" s="125">
        <v>0.0</v>
      </c>
      <c r="H11" s="125">
        <v>0.0</v>
      </c>
      <c r="I11" s="125">
        <v>0.0</v>
      </c>
      <c r="J11" s="125">
        <v>0.0</v>
      </c>
      <c r="K11" s="125">
        <v>0.0</v>
      </c>
      <c r="L11" s="125">
        <v>0.0</v>
      </c>
      <c r="M11" s="125">
        <v>0.0</v>
      </c>
      <c r="N11" s="125">
        <v>0.0</v>
      </c>
      <c r="O11" s="125"/>
      <c r="P11" s="125"/>
      <c r="Q11" s="125"/>
      <c r="R11" s="125"/>
      <c r="S11" s="125"/>
      <c r="T11" s="125"/>
      <c r="U11" s="125"/>
      <c r="V11" s="125"/>
    </row>
    <row r="12">
      <c r="A12" s="122" t="s">
        <v>2001</v>
      </c>
      <c r="B12" s="122" t="s">
        <v>2002</v>
      </c>
      <c r="C12" s="125">
        <v>0.0</v>
      </c>
      <c r="D12" s="125">
        <v>0.0</v>
      </c>
      <c r="E12" s="125">
        <v>0.0</v>
      </c>
      <c r="F12" s="125">
        <v>0.0</v>
      </c>
      <c r="G12" s="125">
        <v>0.0</v>
      </c>
      <c r="H12" s="125">
        <v>0.0</v>
      </c>
      <c r="I12" s="125">
        <v>0.0</v>
      </c>
      <c r="J12" s="125">
        <v>0.0</v>
      </c>
      <c r="K12" s="125">
        <v>0.0</v>
      </c>
      <c r="L12" s="125">
        <v>0.0</v>
      </c>
      <c r="M12" s="125">
        <v>0.0</v>
      </c>
      <c r="N12" s="125">
        <v>0.0</v>
      </c>
      <c r="O12" s="125"/>
      <c r="P12" s="125"/>
      <c r="Q12" s="125"/>
      <c r="R12" s="125"/>
      <c r="S12" s="125"/>
      <c r="T12" s="125"/>
      <c r="U12" s="125"/>
      <c r="V12" s="125"/>
    </row>
    <row r="13">
      <c r="A13" s="122" t="s">
        <v>776</v>
      </c>
      <c r="B13" s="122" t="s">
        <v>1898</v>
      </c>
      <c r="C13" s="125">
        <v>184580.0</v>
      </c>
      <c r="D13" s="125">
        <v>184580.0</v>
      </c>
      <c r="E13" s="125">
        <v>6.0</v>
      </c>
      <c r="F13" s="125">
        <v>0.0</v>
      </c>
      <c r="G13" s="125">
        <v>130706.0</v>
      </c>
      <c r="H13" s="125">
        <v>53874.0</v>
      </c>
      <c r="I13" s="125" t="s">
        <v>2633</v>
      </c>
      <c r="J13" s="125">
        <v>79692.0</v>
      </c>
      <c r="K13" s="125">
        <v>143.0</v>
      </c>
      <c r="L13" s="125">
        <v>213.0</v>
      </c>
      <c r="M13" s="125">
        <v>24293.0</v>
      </c>
      <c r="N13" s="125">
        <v>-26365.0</v>
      </c>
      <c r="O13" s="125"/>
      <c r="P13" s="125"/>
      <c r="Q13" s="125"/>
      <c r="R13" s="125"/>
      <c r="S13" s="125"/>
      <c r="T13" s="125"/>
      <c r="U13" s="125"/>
      <c r="V13" s="125"/>
    </row>
    <row r="14">
      <c r="A14" s="122" t="s">
        <v>2003</v>
      </c>
      <c r="B14" s="122" t="s">
        <v>2004</v>
      </c>
      <c r="C14" s="125">
        <v>1187995.0</v>
      </c>
      <c r="D14" s="125">
        <v>1187995.0</v>
      </c>
      <c r="E14" s="125">
        <v>41.0</v>
      </c>
      <c r="F14" s="125">
        <v>0.0</v>
      </c>
      <c r="G14" s="125">
        <v>899480.0</v>
      </c>
      <c r="H14" s="125">
        <v>288515.0</v>
      </c>
      <c r="I14" s="125" t="s">
        <v>2634</v>
      </c>
      <c r="J14" s="125">
        <v>446900.0</v>
      </c>
      <c r="K14" s="125">
        <v>69900.0</v>
      </c>
      <c r="L14" s="125">
        <v>14200.0</v>
      </c>
      <c r="M14" s="125">
        <v>203042.0</v>
      </c>
      <c r="N14" s="125">
        <v>-165438.0</v>
      </c>
      <c r="O14" s="125"/>
      <c r="P14" s="125"/>
      <c r="Q14" s="125"/>
      <c r="R14" s="125"/>
      <c r="S14" s="125"/>
      <c r="T14" s="125"/>
      <c r="U14" s="125"/>
      <c r="V14" s="125"/>
    </row>
    <row r="15">
      <c r="A15" s="122" t="s">
        <v>482</v>
      </c>
      <c r="B15" s="122" t="s">
        <v>484</v>
      </c>
      <c r="C15" s="125">
        <v>394960.0</v>
      </c>
      <c r="D15" s="125">
        <v>394960.0</v>
      </c>
      <c r="E15" s="125">
        <v>4.0</v>
      </c>
      <c r="F15" s="125">
        <v>0.0</v>
      </c>
      <c r="G15" s="125">
        <v>281179.0</v>
      </c>
      <c r="H15" s="125">
        <v>113781.0</v>
      </c>
      <c r="I15" s="125" t="s">
        <v>2635</v>
      </c>
      <c r="J15" s="125">
        <v>182372.0</v>
      </c>
      <c r="K15" s="125">
        <v>21141.0</v>
      </c>
      <c r="L15" s="125">
        <v>0.0</v>
      </c>
      <c r="M15" s="125">
        <v>58293.0</v>
      </c>
      <c r="N15" s="125">
        <v>-19373.0</v>
      </c>
      <c r="O15" s="125"/>
      <c r="P15" s="125"/>
      <c r="Q15" s="125"/>
      <c r="R15" s="125"/>
      <c r="S15" s="125"/>
      <c r="T15" s="125"/>
      <c r="U15" s="125"/>
      <c r="V15" s="125"/>
    </row>
    <row r="16">
      <c r="A16" s="122" t="s">
        <v>2005</v>
      </c>
      <c r="B16" s="122" t="s">
        <v>2006</v>
      </c>
      <c r="C16" s="125">
        <v>0.0</v>
      </c>
      <c r="D16" s="125">
        <v>0.0</v>
      </c>
      <c r="E16" s="125">
        <v>0.0</v>
      </c>
      <c r="F16" s="125">
        <v>0.0</v>
      </c>
      <c r="G16" s="125">
        <v>0.0</v>
      </c>
      <c r="H16" s="125">
        <v>0.0</v>
      </c>
      <c r="I16" s="125">
        <v>0.0</v>
      </c>
      <c r="J16" s="125">
        <v>0.0</v>
      </c>
      <c r="K16" s="125">
        <v>0.0</v>
      </c>
      <c r="L16" s="125">
        <v>0.0</v>
      </c>
      <c r="M16" s="125">
        <v>0.0</v>
      </c>
      <c r="N16" s="125">
        <v>0.0</v>
      </c>
      <c r="O16" s="125"/>
      <c r="P16" s="125"/>
      <c r="Q16" s="125"/>
      <c r="R16" s="125"/>
      <c r="S16" s="125"/>
      <c r="T16" s="125"/>
      <c r="U16" s="125"/>
      <c r="V16" s="125"/>
    </row>
    <row r="17">
      <c r="A17" s="122" t="s">
        <v>473</v>
      </c>
      <c r="B17" s="122" t="s">
        <v>475</v>
      </c>
      <c r="C17" s="125">
        <v>2443204.0</v>
      </c>
      <c r="D17" s="125">
        <v>2432204.0</v>
      </c>
      <c r="E17" s="125">
        <v>41.0</v>
      </c>
      <c r="F17" s="125">
        <v>11000.0</v>
      </c>
      <c r="G17" s="125">
        <v>1577942.0</v>
      </c>
      <c r="H17" s="125">
        <v>865262.0</v>
      </c>
      <c r="I17" s="125" t="s">
        <v>2636</v>
      </c>
      <c r="J17" s="125">
        <v>732096.0</v>
      </c>
      <c r="K17" s="125">
        <v>291620.0</v>
      </c>
      <c r="L17" s="125">
        <v>2207.0</v>
      </c>
      <c r="M17" s="125">
        <v>380446.0</v>
      </c>
      <c r="N17" s="125">
        <v>-171573.0</v>
      </c>
      <c r="O17" s="125"/>
      <c r="P17" s="125"/>
      <c r="Q17" s="125"/>
      <c r="R17" s="125"/>
      <c r="S17" s="125"/>
      <c r="T17" s="125"/>
      <c r="U17" s="125"/>
      <c r="V17" s="125"/>
    </row>
    <row r="18">
      <c r="A18" s="122" t="s">
        <v>786</v>
      </c>
      <c r="B18" s="122" t="s">
        <v>2637</v>
      </c>
      <c r="C18" s="125">
        <v>5964705.0</v>
      </c>
      <c r="D18" s="125">
        <v>5942705.0</v>
      </c>
      <c r="E18" s="125">
        <v>324.0</v>
      </c>
      <c r="F18" s="125">
        <v>22000.0</v>
      </c>
      <c r="G18" s="125">
        <v>3760105.0</v>
      </c>
      <c r="H18" s="125">
        <v>2204600.0</v>
      </c>
      <c r="I18" s="125" t="s">
        <v>2638</v>
      </c>
      <c r="J18" s="125">
        <v>2126599.0</v>
      </c>
      <c r="K18" s="125">
        <v>269242.0</v>
      </c>
      <c r="L18" s="125">
        <v>10507.0</v>
      </c>
      <c r="M18" s="125">
        <v>1198621.0</v>
      </c>
      <c r="N18" s="125">
        <v>-155136.0</v>
      </c>
      <c r="O18" s="125"/>
      <c r="P18" s="125"/>
      <c r="Q18" s="125"/>
      <c r="R18" s="125"/>
      <c r="S18" s="125"/>
      <c r="T18" s="125"/>
      <c r="U18" s="125"/>
      <c r="V18" s="125"/>
    </row>
    <row r="19">
      <c r="A19" s="122" t="s">
        <v>873</v>
      </c>
      <c r="B19" s="122" t="s">
        <v>875</v>
      </c>
      <c r="C19" s="125">
        <v>1049180.0</v>
      </c>
      <c r="D19" s="125">
        <v>1049180.0</v>
      </c>
      <c r="E19" s="125">
        <v>82.0</v>
      </c>
      <c r="F19" s="125">
        <v>0.0</v>
      </c>
      <c r="G19" s="125">
        <v>766899.0</v>
      </c>
      <c r="H19" s="125">
        <v>282281.0</v>
      </c>
      <c r="I19" s="125" t="s">
        <v>2639</v>
      </c>
      <c r="J19" s="125">
        <v>422956.0</v>
      </c>
      <c r="K19" s="125">
        <v>91971.0</v>
      </c>
      <c r="L19" s="125">
        <v>2313.0</v>
      </c>
      <c r="M19" s="125">
        <v>224206.0</v>
      </c>
      <c r="N19" s="125">
        <v>-25453.0</v>
      </c>
      <c r="O19" s="125"/>
      <c r="P19" s="125"/>
      <c r="Q19" s="125"/>
      <c r="R19" s="125"/>
      <c r="S19" s="125"/>
      <c r="T19" s="125"/>
      <c r="U19" s="125"/>
      <c r="V19" s="125"/>
    </row>
    <row r="20">
      <c r="A20" s="122" t="s">
        <v>468</v>
      </c>
      <c r="B20" s="122" t="s">
        <v>469</v>
      </c>
      <c r="C20" s="125">
        <v>5039056.0</v>
      </c>
      <c r="D20" s="125">
        <v>5023056.0</v>
      </c>
      <c r="E20" s="125">
        <v>199.0</v>
      </c>
      <c r="F20" s="125">
        <v>16000.0</v>
      </c>
      <c r="G20" s="125">
        <v>3519981.0</v>
      </c>
      <c r="H20" s="125">
        <v>1519075.0</v>
      </c>
      <c r="I20" s="125" t="s">
        <v>2640</v>
      </c>
      <c r="J20" s="125">
        <v>2127907.0</v>
      </c>
      <c r="K20" s="125">
        <v>125229.0</v>
      </c>
      <c r="L20" s="125">
        <v>11599.0</v>
      </c>
      <c r="M20" s="125">
        <v>831930.0</v>
      </c>
      <c r="N20" s="125">
        <v>-423316.0</v>
      </c>
      <c r="O20" s="125"/>
      <c r="P20" s="125"/>
      <c r="Q20" s="125"/>
      <c r="R20" s="125"/>
      <c r="S20" s="125"/>
      <c r="T20" s="125"/>
      <c r="U20" s="125"/>
      <c r="V20" s="125"/>
    </row>
    <row r="21">
      <c r="A21" s="122" t="s">
        <v>505</v>
      </c>
      <c r="B21" s="122" t="s">
        <v>504</v>
      </c>
      <c r="C21" s="125">
        <v>9699928.0</v>
      </c>
      <c r="D21" s="125">
        <v>9699928.0</v>
      </c>
      <c r="E21" s="125">
        <v>150.0</v>
      </c>
      <c r="F21" s="125">
        <v>0.0</v>
      </c>
      <c r="G21" s="125">
        <v>6299708.0</v>
      </c>
      <c r="H21" s="125">
        <v>3400220.0</v>
      </c>
      <c r="I21" s="125" t="s">
        <v>2641</v>
      </c>
      <c r="J21" s="125">
        <v>3294282.0</v>
      </c>
      <c r="K21" s="125">
        <v>485452.0</v>
      </c>
      <c r="L21" s="125">
        <v>28940.0</v>
      </c>
      <c r="M21" s="125">
        <v>1548893.0</v>
      </c>
      <c r="N21" s="125">
        <v>-942141.0</v>
      </c>
      <c r="O21" s="125"/>
      <c r="P21" s="125"/>
      <c r="Q21" s="125"/>
      <c r="R21" s="125"/>
      <c r="S21" s="125"/>
      <c r="T21" s="125"/>
      <c r="U21" s="125"/>
      <c r="V21" s="125"/>
    </row>
    <row r="22">
      <c r="A22" s="122" t="s">
        <v>571</v>
      </c>
      <c r="B22" s="122" t="s">
        <v>1882</v>
      </c>
      <c r="C22" s="125">
        <v>3909597.0</v>
      </c>
      <c r="D22" s="125">
        <v>3909597.0</v>
      </c>
      <c r="E22" s="125">
        <v>92.0</v>
      </c>
      <c r="F22" s="125">
        <v>0.0</v>
      </c>
      <c r="G22" s="125">
        <v>2787134.0</v>
      </c>
      <c r="H22" s="125">
        <v>1122463.0</v>
      </c>
      <c r="I22" s="125" t="s">
        <v>2642</v>
      </c>
      <c r="J22" s="125">
        <v>1492303.0</v>
      </c>
      <c r="K22" s="125">
        <v>395520.0</v>
      </c>
      <c r="L22" s="125">
        <v>4187.0</v>
      </c>
      <c r="M22" s="125">
        <v>585808.0</v>
      </c>
      <c r="N22" s="125">
        <v>-309316.0</v>
      </c>
      <c r="O22" s="125"/>
      <c r="P22" s="125"/>
      <c r="Q22" s="125"/>
      <c r="R22" s="125"/>
      <c r="S22" s="125"/>
      <c r="T22" s="125"/>
      <c r="U22" s="125"/>
      <c r="V22" s="125"/>
    </row>
    <row r="23">
      <c r="A23" s="122" t="s">
        <v>2007</v>
      </c>
      <c r="B23" s="122" t="s">
        <v>2008</v>
      </c>
      <c r="C23" s="125">
        <v>0.0</v>
      </c>
      <c r="D23" s="125">
        <v>0.0</v>
      </c>
      <c r="E23" s="125">
        <v>0.0</v>
      </c>
      <c r="F23" s="125">
        <v>0.0</v>
      </c>
      <c r="G23" s="125">
        <v>0.0</v>
      </c>
      <c r="H23" s="125">
        <v>0.0</v>
      </c>
      <c r="I23" s="125">
        <v>0.0</v>
      </c>
      <c r="J23" s="125">
        <v>0.0</v>
      </c>
      <c r="K23" s="125">
        <v>0.0</v>
      </c>
      <c r="L23" s="125">
        <v>0.0</v>
      </c>
      <c r="M23" s="125">
        <v>0.0</v>
      </c>
      <c r="N23" s="125">
        <v>0.0</v>
      </c>
      <c r="O23" s="125"/>
      <c r="P23" s="125"/>
      <c r="Q23" s="125"/>
      <c r="R23" s="125"/>
      <c r="S23" s="125"/>
      <c r="T23" s="125"/>
      <c r="U23" s="125"/>
      <c r="V23" s="125"/>
    </row>
    <row r="24">
      <c r="A24" s="122" t="s">
        <v>774</v>
      </c>
      <c r="B24" s="122" t="s">
        <v>774</v>
      </c>
      <c r="C24" s="125">
        <v>0.0</v>
      </c>
      <c r="D24" s="125">
        <v>0.0</v>
      </c>
      <c r="E24" s="125">
        <v>0.0</v>
      </c>
      <c r="F24" s="125">
        <v>0.0</v>
      </c>
      <c r="G24" s="125">
        <v>0.0</v>
      </c>
      <c r="H24" s="125">
        <v>0.0</v>
      </c>
      <c r="I24" s="125">
        <v>0.0</v>
      </c>
      <c r="J24" s="125">
        <v>0.0</v>
      </c>
      <c r="K24" s="125">
        <v>0.0</v>
      </c>
      <c r="L24" s="125">
        <v>0.0</v>
      </c>
      <c r="M24" s="125">
        <v>0.0</v>
      </c>
      <c r="N24" s="125">
        <v>0.0</v>
      </c>
      <c r="O24" s="125"/>
      <c r="P24" s="125"/>
      <c r="Q24" s="125"/>
      <c r="R24" s="125"/>
      <c r="S24" s="125"/>
      <c r="T24" s="125"/>
      <c r="U24" s="125"/>
      <c r="V24" s="125"/>
    </row>
    <row r="25">
      <c r="A25" s="122" t="s">
        <v>510</v>
      </c>
      <c r="B25" s="122" t="s">
        <v>512</v>
      </c>
      <c r="C25" s="125">
        <v>7.1097827E7</v>
      </c>
      <c r="D25" s="125">
        <v>6.8380827E7</v>
      </c>
      <c r="E25" s="125">
        <v>495.0</v>
      </c>
      <c r="F25" s="125">
        <v>2717000.0</v>
      </c>
      <c r="G25" s="125">
        <v>5.0724397E7</v>
      </c>
      <c r="H25" s="125">
        <v>2.037343E7</v>
      </c>
      <c r="I25" s="125" t="s">
        <v>2643</v>
      </c>
      <c r="J25" s="125">
        <v>3.2565775E7</v>
      </c>
      <c r="K25" s="125">
        <v>1643141.0</v>
      </c>
      <c r="L25" s="125">
        <v>0.0</v>
      </c>
      <c r="M25" s="125">
        <v>1.0612148E7</v>
      </c>
      <c r="N25" s="125">
        <v>-5903333.0</v>
      </c>
      <c r="O25" s="125"/>
      <c r="P25" s="125"/>
      <c r="Q25" s="125"/>
      <c r="R25" s="125"/>
      <c r="S25" s="125"/>
      <c r="T25" s="125"/>
      <c r="U25" s="125"/>
      <c r="V25" s="125"/>
    </row>
    <row r="26">
      <c r="A26" s="122" t="s">
        <v>2009</v>
      </c>
      <c r="B26" s="122" t="s">
        <v>2010</v>
      </c>
      <c r="C26" s="125">
        <v>0.0</v>
      </c>
      <c r="D26" s="125">
        <v>0.0</v>
      </c>
      <c r="E26" s="125">
        <v>0.0</v>
      </c>
      <c r="F26" s="125">
        <v>0.0</v>
      </c>
      <c r="G26" s="125">
        <v>0.0</v>
      </c>
      <c r="H26" s="125">
        <v>0.0</v>
      </c>
      <c r="I26" s="125">
        <v>0.0</v>
      </c>
      <c r="J26" s="125">
        <v>0.0</v>
      </c>
      <c r="K26" s="125">
        <v>0.0</v>
      </c>
      <c r="L26" s="125">
        <v>0.0</v>
      </c>
      <c r="M26" s="125">
        <v>0.0</v>
      </c>
      <c r="N26" s="125">
        <v>0.0</v>
      </c>
      <c r="O26" s="125"/>
      <c r="P26" s="125"/>
      <c r="Q26" s="125"/>
      <c r="R26" s="125"/>
      <c r="S26" s="125"/>
      <c r="T26" s="125"/>
      <c r="U26" s="125"/>
      <c r="V26" s="125"/>
    </row>
    <row r="27">
      <c r="A27" s="122" t="s">
        <v>851</v>
      </c>
      <c r="B27" s="122" t="s">
        <v>2644</v>
      </c>
      <c r="C27" s="125">
        <v>1.6695303E7</v>
      </c>
      <c r="D27" s="125">
        <v>1.6040303E7</v>
      </c>
      <c r="E27" s="125">
        <v>464.0</v>
      </c>
      <c r="F27" s="125">
        <v>655000.0</v>
      </c>
      <c r="G27" s="125">
        <v>9793042.0</v>
      </c>
      <c r="H27" s="125">
        <v>6902261.0</v>
      </c>
      <c r="I27" s="125" t="s">
        <v>2645</v>
      </c>
      <c r="J27" s="125">
        <v>5674881.0</v>
      </c>
      <c r="K27" s="125">
        <v>515755.0</v>
      </c>
      <c r="L27" s="125">
        <v>8402.0</v>
      </c>
      <c r="M27" s="125">
        <v>2294639.0</v>
      </c>
      <c r="N27" s="125">
        <v>-1299365.0</v>
      </c>
      <c r="O27" s="125"/>
      <c r="P27" s="125"/>
      <c r="Q27" s="125"/>
      <c r="R27" s="125"/>
      <c r="S27" s="125"/>
      <c r="T27" s="125"/>
      <c r="U27" s="125"/>
      <c r="V27" s="125"/>
    </row>
    <row r="28">
      <c r="A28" s="122" t="s">
        <v>2011</v>
      </c>
      <c r="B28" s="122" t="s">
        <v>2012</v>
      </c>
      <c r="C28" s="125">
        <v>0.0</v>
      </c>
      <c r="D28" s="125">
        <v>0.0</v>
      </c>
      <c r="E28" s="125">
        <v>0.0</v>
      </c>
      <c r="F28" s="125">
        <v>0.0</v>
      </c>
      <c r="G28" s="125">
        <v>0.0</v>
      </c>
      <c r="H28" s="125">
        <v>0.0</v>
      </c>
      <c r="I28" s="125">
        <v>0.0</v>
      </c>
      <c r="J28" s="125">
        <v>0.0</v>
      </c>
      <c r="K28" s="125">
        <v>0.0</v>
      </c>
      <c r="L28" s="125">
        <v>0.0</v>
      </c>
      <c r="M28" s="125">
        <v>0.0</v>
      </c>
      <c r="N28" s="125">
        <v>0.0</v>
      </c>
      <c r="O28" s="125"/>
      <c r="P28" s="125"/>
      <c r="Q28" s="125"/>
      <c r="R28" s="125"/>
      <c r="S28" s="125"/>
      <c r="T28" s="125"/>
      <c r="U28" s="125"/>
      <c r="V28" s="125"/>
    </row>
    <row r="29">
      <c r="A29" s="122" t="s">
        <v>2013</v>
      </c>
      <c r="B29" s="122" t="s">
        <v>2014</v>
      </c>
      <c r="C29" s="125">
        <v>0.0</v>
      </c>
      <c r="D29" s="125">
        <v>0.0</v>
      </c>
      <c r="E29" s="125">
        <v>0.0</v>
      </c>
      <c r="F29" s="125">
        <v>0.0</v>
      </c>
      <c r="G29" s="125">
        <v>0.0</v>
      </c>
      <c r="H29" s="125">
        <v>0.0</v>
      </c>
      <c r="I29" s="125">
        <v>0.0</v>
      </c>
      <c r="J29" s="125">
        <v>0.0</v>
      </c>
      <c r="K29" s="125">
        <v>0.0</v>
      </c>
      <c r="L29" s="125">
        <v>0.0</v>
      </c>
      <c r="M29" s="125">
        <v>0.0</v>
      </c>
      <c r="N29" s="125">
        <v>0.0</v>
      </c>
      <c r="O29" s="125"/>
      <c r="P29" s="125"/>
      <c r="Q29" s="125"/>
      <c r="R29" s="125"/>
      <c r="S29" s="125"/>
      <c r="T29" s="125"/>
      <c r="U29" s="125"/>
      <c r="V29" s="125"/>
    </row>
    <row r="30">
      <c r="A30" s="122" t="s">
        <v>677</v>
      </c>
      <c r="B30" s="122" t="s">
        <v>679</v>
      </c>
      <c r="C30" s="125">
        <v>0.0</v>
      </c>
      <c r="D30" s="125">
        <v>0.0</v>
      </c>
      <c r="E30" s="125">
        <v>0.0</v>
      </c>
      <c r="F30" s="125">
        <v>0.0</v>
      </c>
      <c r="G30" s="125">
        <v>0.0</v>
      </c>
      <c r="H30" s="125">
        <v>0.0</v>
      </c>
      <c r="I30" s="125">
        <v>0.0</v>
      </c>
      <c r="J30" s="125">
        <v>0.0</v>
      </c>
      <c r="K30" s="125">
        <v>0.0</v>
      </c>
      <c r="L30" s="125">
        <v>0.0</v>
      </c>
      <c r="M30" s="125">
        <v>0.0</v>
      </c>
      <c r="N30" s="125">
        <v>0.0</v>
      </c>
      <c r="O30" s="125"/>
      <c r="P30" s="125"/>
      <c r="Q30" s="125"/>
      <c r="R30" s="125"/>
      <c r="S30" s="125"/>
      <c r="T30" s="125"/>
      <c r="U30" s="125"/>
      <c r="V30" s="125"/>
    </row>
    <row r="31">
      <c r="A31" s="122" t="s">
        <v>499</v>
      </c>
      <c r="B31" s="122" t="s">
        <v>2015</v>
      </c>
      <c r="C31" s="125">
        <v>0.0</v>
      </c>
      <c r="D31" s="125">
        <v>0.0</v>
      </c>
      <c r="E31" s="125">
        <v>0.0</v>
      </c>
      <c r="F31" s="125">
        <v>0.0</v>
      </c>
      <c r="G31" s="125">
        <v>0.0</v>
      </c>
      <c r="H31" s="125">
        <v>0.0</v>
      </c>
      <c r="I31" s="125">
        <v>0.0</v>
      </c>
      <c r="J31" s="125">
        <v>0.0</v>
      </c>
      <c r="K31" s="125">
        <v>0.0</v>
      </c>
      <c r="L31" s="125">
        <v>0.0</v>
      </c>
      <c r="M31" s="125">
        <v>0.0</v>
      </c>
      <c r="N31" s="125">
        <v>0.0</v>
      </c>
      <c r="O31" s="125"/>
      <c r="P31" s="125"/>
      <c r="Q31" s="125"/>
      <c r="R31" s="125"/>
      <c r="S31" s="125"/>
      <c r="T31" s="125"/>
      <c r="U31" s="125"/>
      <c r="V31" s="125"/>
    </row>
    <row r="32">
      <c r="A32" s="122" t="s">
        <v>2016</v>
      </c>
      <c r="B32" s="122" t="s">
        <v>2017</v>
      </c>
      <c r="C32" s="125">
        <v>0.0</v>
      </c>
      <c r="D32" s="125">
        <v>0.0</v>
      </c>
      <c r="E32" s="125">
        <v>0.0</v>
      </c>
      <c r="F32" s="125">
        <v>0.0</v>
      </c>
      <c r="G32" s="125">
        <v>0.0</v>
      </c>
      <c r="H32" s="125">
        <v>0.0</v>
      </c>
      <c r="I32" s="125">
        <v>0.0</v>
      </c>
      <c r="J32" s="125">
        <v>0.0</v>
      </c>
      <c r="K32" s="125">
        <v>0.0</v>
      </c>
      <c r="L32" s="125">
        <v>0.0</v>
      </c>
      <c r="M32" s="125">
        <v>0.0</v>
      </c>
      <c r="N32" s="125">
        <v>0.0</v>
      </c>
      <c r="O32" s="125"/>
      <c r="P32" s="125"/>
      <c r="Q32" s="125"/>
      <c r="R32" s="125"/>
      <c r="S32" s="125"/>
      <c r="T32" s="125"/>
      <c r="U32" s="125"/>
      <c r="V32" s="125"/>
    </row>
    <row r="33">
      <c r="A33" s="122" t="s">
        <v>804</v>
      </c>
      <c r="B33" s="122" t="s">
        <v>2646</v>
      </c>
      <c r="C33" s="125">
        <v>0.0</v>
      </c>
      <c r="D33" s="125">
        <v>0.0</v>
      </c>
      <c r="E33" s="125">
        <v>0.0</v>
      </c>
      <c r="F33" s="125">
        <v>0.0</v>
      </c>
      <c r="G33" s="125">
        <v>6465.0</v>
      </c>
      <c r="H33" s="125">
        <v>-6465.0</v>
      </c>
      <c r="I33" s="125">
        <v>0.0</v>
      </c>
      <c r="J33" s="125">
        <v>0.0</v>
      </c>
      <c r="K33" s="125">
        <v>6465.0</v>
      </c>
      <c r="L33" s="125">
        <v>0.0</v>
      </c>
      <c r="M33" s="125">
        <v>0.0</v>
      </c>
      <c r="N33" s="125">
        <v>0.0</v>
      </c>
      <c r="O33" s="125"/>
      <c r="P33" s="125"/>
      <c r="Q33" s="125"/>
      <c r="R33" s="125"/>
      <c r="S33" s="125"/>
      <c r="T33" s="125"/>
      <c r="U33" s="125"/>
      <c r="V33" s="125"/>
    </row>
    <row r="34">
      <c r="A34" s="122" t="s">
        <v>727</v>
      </c>
      <c r="B34" s="122" t="s">
        <v>729</v>
      </c>
      <c r="C34" s="125">
        <v>8405539.0</v>
      </c>
      <c r="D34" s="125">
        <v>8399539.0</v>
      </c>
      <c r="E34" s="125">
        <v>526.0</v>
      </c>
      <c r="F34" s="125">
        <v>6000.0</v>
      </c>
      <c r="G34" s="125">
        <v>4880931.0</v>
      </c>
      <c r="H34" s="125">
        <v>3524608.0</v>
      </c>
      <c r="I34" s="125" t="s">
        <v>2647</v>
      </c>
      <c r="J34" s="125">
        <v>2596698.0</v>
      </c>
      <c r="K34" s="125">
        <v>410682.0</v>
      </c>
      <c r="L34" s="125">
        <v>19946.0</v>
      </c>
      <c r="M34" s="125">
        <v>1705751.0</v>
      </c>
      <c r="N34" s="125">
        <v>-147854.0</v>
      </c>
      <c r="O34" s="125"/>
      <c r="P34" s="125"/>
      <c r="Q34" s="125"/>
      <c r="R34" s="125"/>
      <c r="S34" s="125"/>
      <c r="T34" s="125"/>
      <c r="U34" s="125"/>
      <c r="V34" s="125"/>
    </row>
    <row r="35">
      <c r="A35" s="122" t="s">
        <v>756</v>
      </c>
      <c r="B35" s="122" t="s">
        <v>1863</v>
      </c>
      <c r="C35" s="125">
        <v>1.1569464E7</v>
      </c>
      <c r="D35" s="125">
        <v>1.1427464E7</v>
      </c>
      <c r="E35" s="125">
        <v>618.0</v>
      </c>
      <c r="F35" s="125">
        <v>142000.0</v>
      </c>
      <c r="G35" s="125">
        <v>8717151.0</v>
      </c>
      <c r="H35" s="125">
        <v>2852313.0</v>
      </c>
      <c r="I35" s="125" t="s">
        <v>2648</v>
      </c>
      <c r="J35" s="125">
        <v>5588308.0</v>
      </c>
      <c r="K35" s="125">
        <v>494141.0</v>
      </c>
      <c r="L35" s="125">
        <v>20223.0</v>
      </c>
      <c r="M35" s="125">
        <v>2420700.0</v>
      </c>
      <c r="N35" s="125">
        <v>-193779.0</v>
      </c>
      <c r="O35" s="125"/>
      <c r="P35" s="125"/>
      <c r="Q35" s="125"/>
      <c r="R35" s="125"/>
      <c r="S35" s="125"/>
      <c r="T35" s="125"/>
      <c r="U35" s="125"/>
      <c r="V35" s="125"/>
    </row>
    <row r="36">
      <c r="A36" s="122" t="s">
        <v>487</v>
      </c>
      <c r="B36" s="122" t="s">
        <v>489</v>
      </c>
      <c r="C36" s="125">
        <v>3568806.0</v>
      </c>
      <c r="D36" s="125">
        <v>3568806.0</v>
      </c>
      <c r="E36" s="125">
        <v>91.0</v>
      </c>
      <c r="F36" s="125">
        <v>0.0</v>
      </c>
      <c r="G36" s="125">
        <v>2135281.0</v>
      </c>
      <c r="H36" s="125">
        <v>1433525.0</v>
      </c>
      <c r="I36" s="125" t="s">
        <v>2649</v>
      </c>
      <c r="J36" s="125">
        <v>1202110.0</v>
      </c>
      <c r="K36" s="125">
        <v>106186.0</v>
      </c>
      <c r="L36" s="125">
        <v>3068.0</v>
      </c>
      <c r="M36" s="125">
        <v>533758.0</v>
      </c>
      <c r="N36" s="125">
        <v>-290159.0</v>
      </c>
      <c r="O36" s="125"/>
      <c r="P36" s="125"/>
      <c r="Q36" s="125"/>
      <c r="R36" s="125"/>
      <c r="S36" s="125"/>
      <c r="T36" s="125"/>
      <c r="U36" s="125"/>
      <c r="V36" s="125"/>
    </row>
    <row r="37">
      <c r="A37" s="122" t="s">
        <v>644</v>
      </c>
      <c r="B37" s="122" t="s">
        <v>2650</v>
      </c>
      <c r="C37" s="125">
        <v>2392530.0</v>
      </c>
      <c r="D37" s="125">
        <v>2392530.0</v>
      </c>
      <c r="E37" s="125">
        <v>187.0</v>
      </c>
      <c r="F37" s="125">
        <v>0.0</v>
      </c>
      <c r="G37" s="125">
        <v>1314242.0</v>
      </c>
      <c r="H37" s="125">
        <v>1078288.0</v>
      </c>
      <c r="I37" s="125" t="s">
        <v>2651</v>
      </c>
      <c r="J37" s="125">
        <v>595969.0</v>
      </c>
      <c r="K37" s="125">
        <v>204967.0</v>
      </c>
      <c r="L37" s="125">
        <v>5374.0</v>
      </c>
      <c r="M37" s="125">
        <v>429077.0</v>
      </c>
      <c r="N37" s="125">
        <v>-78855.0</v>
      </c>
      <c r="O37" s="125"/>
      <c r="P37" s="125"/>
      <c r="Q37" s="125"/>
      <c r="R37" s="125"/>
      <c r="S37" s="125"/>
      <c r="T37" s="125"/>
      <c r="U37" s="125"/>
      <c r="V37" s="125"/>
    </row>
    <row r="38">
      <c r="A38" s="122" t="s">
        <v>2018</v>
      </c>
      <c r="B38" s="122" t="s">
        <v>2019</v>
      </c>
      <c r="C38" s="125">
        <v>0.0</v>
      </c>
      <c r="D38" s="125">
        <v>0.0</v>
      </c>
      <c r="E38" s="125">
        <v>0.0</v>
      </c>
      <c r="F38" s="125">
        <v>0.0</v>
      </c>
      <c r="G38" s="125">
        <v>0.0</v>
      </c>
      <c r="H38" s="125">
        <v>0.0</v>
      </c>
      <c r="I38" s="125">
        <v>0.0</v>
      </c>
      <c r="J38" s="125">
        <v>0.0</v>
      </c>
      <c r="K38" s="125">
        <v>0.0</v>
      </c>
      <c r="L38" s="125">
        <v>0.0</v>
      </c>
      <c r="M38" s="125">
        <v>0.0</v>
      </c>
      <c r="N38" s="125">
        <v>0.0</v>
      </c>
      <c r="O38" s="125"/>
      <c r="P38" s="125"/>
      <c r="Q38" s="125"/>
      <c r="R38" s="125"/>
      <c r="S38" s="125"/>
      <c r="T38" s="125"/>
      <c r="U38" s="125"/>
      <c r="V38" s="125"/>
    </row>
    <row r="39">
      <c r="A39" s="122" t="s">
        <v>784</v>
      </c>
      <c r="B39" s="122" t="s">
        <v>785</v>
      </c>
      <c r="C39" s="125">
        <v>0.0</v>
      </c>
      <c r="D39" s="125">
        <v>0.0</v>
      </c>
      <c r="E39" s="125">
        <v>0.0</v>
      </c>
      <c r="F39" s="125">
        <v>0.0</v>
      </c>
      <c r="G39" s="125">
        <v>0.0</v>
      </c>
      <c r="H39" s="125">
        <v>0.0</v>
      </c>
      <c r="I39" s="125">
        <v>0.0</v>
      </c>
      <c r="J39" s="125">
        <v>0.0</v>
      </c>
      <c r="K39" s="125">
        <v>0.0</v>
      </c>
      <c r="L39" s="125">
        <v>0.0</v>
      </c>
      <c r="M39" s="125">
        <v>0.0</v>
      </c>
      <c r="N39" s="125">
        <v>0.0</v>
      </c>
      <c r="O39" s="125"/>
      <c r="P39" s="125"/>
      <c r="Q39" s="125"/>
      <c r="R39" s="125"/>
      <c r="S39" s="125"/>
      <c r="T39" s="125"/>
      <c r="U39" s="125"/>
      <c r="V39" s="125"/>
    </row>
    <row r="40">
      <c r="A40" s="122" t="s">
        <v>2020</v>
      </c>
      <c r="B40" s="122" t="s">
        <v>2021</v>
      </c>
      <c r="C40" s="125">
        <v>0.0</v>
      </c>
      <c r="D40" s="125">
        <v>0.0</v>
      </c>
      <c r="E40" s="125">
        <v>0.0</v>
      </c>
      <c r="F40" s="125">
        <v>0.0</v>
      </c>
      <c r="G40" s="125">
        <v>0.0</v>
      </c>
      <c r="H40" s="125">
        <v>0.0</v>
      </c>
      <c r="I40" s="125">
        <v>0.0</v>
      </c>
      <c r="J40" s="125">
        <v>0.0</v>
      </c>
      <c r="K40" s="125">
        <v>0.0</v>
      </c>
      <c r="L40" s="125">
        <v>0.0</v>
      </c>
      <c r="M40" s="125">
        <v>0.0</v>
      </c>
      <c r="N40" s="125">
        <v>0.0</v>
      </c>
      <c r="O40" s="125"/>
      <c r="P40" s="125"/>
      <c r="Q40" s="125"/>
      <c r="R40" s="125"/>
      <c r="S40" s="125"/>
      <c r="T40" s="125"/>
      <c r="U40" s="125"/>
      <c r="V40" s="125"/>
    </row>
    <row r="41">
      <c r="A41" s="122" t="s">
        <v>597</v>
      </c>
      <c r="B41" s="122" t="s">
        <v>1931</v>
      </c>
      <c r="C41" s="125">
        <v>0.0</v>
      </c>
      <c r="D41" s="125">
        <v>0.0</v>
      </c>
      <c r="E41" s="125">
        <v>0.0</v>
      </c>
      <c r="F41" s="125">
        <v>0.0</v>
      </c>
      <c r="G41" s="125">
        <v>0.0</v>
      </c>
      <c r="H41" s="125">
        <v>0.0</v>
      </c>
      <c r="I41" s="125">
        <v>0.0</v>
      </c>
      <c r="J41" s="125">
        <v>0.0</v>
      </c>
      <c r="K41" s="125">
        <v>0.0</v>
      </c>
      <c r="L41" s="125">
        <v>0.0</v>
      </c>
      <c r="M41" s="125">
        <v>0.0</v>
      </c>
      <c r="N41" s="125">
        <v>0.0</v>
      </c>
      <c r="O41" s="125"/>
      <c r="P41" s="125"/>
      <c r="Q41" s="125"/>
      <c r="R41" s="125"/>
      <c r="S41" s="125"/>
      <c r="T41" s="125"/>
      <c r="U41" s="125"/>
      <c r="V41" s="125"/>
    </row>
    <row r="42">
      <c r="A42" s="122" t="s">
        <v>2022</v>
      </c>
      <c r="B42" s="122" t="s">
        <v>2023</v>
      </c>
      <c r="C42" s="125">
        <v>0.0</v>
      </c>
      <c r="D42" s="125">
        <v>0.0</v>
      </c>
      <c r="E42" s="125">
        <v>0.0</v>
      </c>
      <c r="F42" s="125">
        <v>0.0</v>
      </c>
      <c r="G42" s="125">
        <v>0.0</v>
      </c>
      <c r="H42" s="125">
        <v>0.0</v>
      </c>
      <c r="I42" s="125">
        <v>0.0</v>
      </c>
      <c r="J42" s="125">
        <v>0.0</v>
      </c>
      <c r="K42" s="125">
        <v>0.0</v>
      </c>
      <c r="L42" s="125">
        <v>0.0</v>
      </c>
      <c r="M42" s="125">
        <v>0.0</v>
      </c>
      <c r="N42" s="125">
        <v>0.0</v>
      </c>
      <c r="O42" s="125"/>
      <c r="P42" s="125"/>
      <c r="Q42" s="125"/>
      <c r="R42" s="125"/>
      <c r="S42" s="125"/>
      <c r="T42" s="125"/>
      <c r="U42" s="125"/>
      <c r="V42" s="125"/>
    </row>
    <row r="43">
      <c r="A43" s="122" t="s">
        <v>2024</v>
      </c>
      <c r="B43" s="122" t="s">
        <v>2652</v>
      </c>
      <c r="C43" s="125">
        <v>4.5764078E7</v>
      </c>
      <c r="D43" s="125">
        <v>4.5342078E7</v>
      </c>
      <c r="E43" s="125">
        <v>743.0</v>
      </c>
      <c r="F43" s="125">
        <v>422000.0</v>
      </c>
      <c r="G43" s="125">
        <v>2.8914374E7</v>
      </c>
      <c r="H43" s="125">
        <v>1.6849704E7</v>
      </c>
      <c r="I43" s="125" t="s">
        <v>2653</v>
      </c>
      <c r="J43" s="125">
        <v>1.8250361E7</v>
      </c>
      <c r="K43" s="125">
        <v>1531764.0</v>
      </c>
      <c r="L43" s="125">
        <v>20577.0</v>
      </c>
      <c r="M43" s="125">
        <v>6327259.0</v>
      </c>
      <c r="N43" s="125">
        <v>-2784413.0</v>
      </c>
      <c r="O43" s="125"/>
      <c r="P43" s="125"/>
      <c r="Q43" s="125"/>
      <c r="R43" s="125"/>
      <c r="S43" s="125"/>
      <c r="T43" s="125"/>
      <c r="U43" s="125"/>
      <c r="V43" s="125"/>
    </row>
    <row r="44">
      <c r="A44" s="122" t="s">
        <v>516</v>
      </c>
      <c r="B44" s="122" t="s">
        <v>518</v>
      </c>
      <c r="C44" s="125">
        <v>9111422.0</v>
      </c>
      <c r="D44" s="125">
        <v>9081422.0</v>
      </c>
      <c r="E44" s="125">
        <v>79.0</v>
      </c>
      <c r="F44" s="125">
        <v>30000.0</v>
      </c>
      <c r="G44" s="125">
        <v>6344382.0</v>
      </c>
      <c r="H44" s="125">
        <v>2767040.0</v>
      </c>
      <c r="I44" s="125" t="s">
        <v>2654</v>
      </c>
      <c r="J44" s="125">
        <v>3770394.0</v>
      </c>
      <c r="K44" s="125">
        <v>373142.0</v>
      </c>
      <c r="L44" s="125">
        <v>25360.0</v>
      </c>
      <c r="M44" s="125">
        <v>1365352.0</v>
      </c>
      <c r="N44" s="125">
        <v>-810134.0</v>
      </c>
      <c r="O44" s="125"/>
      <c r="P44" s="125"/>
      <c r="Q44" s="125"/>
      <c r="R44" s="125"/>
      <c r="S44" s="125"/>
      <c r="T44" s="125"/>
      <c r="U44" s="125"/>
      <c r="V44" s="125"/>
    </row>
    <row r="45">
      <c r="A45" s="122" t="s">
        <v>507</v>
      </c>
      <c r="B45" s="122" t="s">
        <v>509</v>
      </c>
      <c r="C45" s="125">
        <v>1.7897132E7</v>
      </c>
      <c r="D45" s="125">
        <v>1.7779132E7</v>
      </c>
      <c r="E45" s="125">
        <v>190.0</v>
      </c>
      <c r="F45" s="125">
        <v>118000.0</v>
      </c>
      <c r="G45" s="125">
        <v>1.09595E7</v>
      </c>
      <c r="H45" s="125">
        <v>6937632.0</v>
      </c>
      <c r="I45" s="125" t="s">
        <v>2655</v>
      </c>
      <c r="J45" s="125">
        <v>6361755.0</v>
      </c>
      <c r="K45" s="125">
        <v>921876.0</v>
      </c>
      <c r="L45" s="125">
        <v>216340.0</v>
      </c>
      <c r="M45" s="125">
        <v>2326613.0</v>
      </c>
      <c r="N45" s="125">
        <v>-1132916.0</v>
      </c>
      <c r="O45" s="125"/>
      <c r="P45" s="125"/>
      <c r="Q45" s="125"/>
      <c r="R45" s="125"/>
      <c r="S45" s="125"/>
      <c r="T45" s="125"/>
      <c r="U45" s="125"/>
      <c r="V45" s="125"/>
    </row>
    <row r="46">
      <c r="A46" s="122" t="s">
        <v>592</v>
      </c>
      <c r="B46" s="122" t="s">
        <v>1907</v>
      </c>
      <c r="C46" s="125">
        <v>1.4172648E7</v>
      </c>
      <c r="D46" s="125">
        <v>1.3797648E7</v>
      </c>
      <c r="E46" s="125">
        <v>222.0</v>
      </c>
      <c r="F46" s="125">
        <v>375000.0</v>
      </c>
      <c r="G46" s="125">
        <v>9638427.0</v>
      </c>
      <c r="H46" s="125">
        <v>4534221.0</v>
      </c>
      <c r="I46" s="125" t="s">
        <v>2656</v>
      </c>
      <c r="J46" s="125">
        <v>6357666.0</v>
      </c>
      <c r="K46" s="125">
        <v>520140.0</v>
      </c>
      <c r="L46" s="125">
        <v>37980.0</v>
      </c>
      <c r="M46" s="125">
        <v>1706500.0</v>
      </c>
      <c r="N46" s="125">
        <v>-1016141.0</v>
      </c>
      <c r="O46" s="125"/>
      <c r="P46" s="125"/>
      <c r="Q46" s="125"/>
      <c r="R46" s="125"/>
      <c r="S46" s="125"/>
      <c r="T46" s="125"/>
      <c r="U46" s="125"/>
      <c r="V46" s="125"/>
    </row>
    <row r="47">
      <c r="A47" s="122" t="s">
        <v>807</v>
      </c>
      <c r="B47" s="122" t="s">
        <v>2657</v>
      </c>
      <c r="C47" s="125">
        <v>1521758.0</v>
      </c>
      <c r="D47" s="125">
        <v>1521758.0</v>
      </c>
      <c r="E47" s="125">
        <v>81.0</v>
      </c>
      <c r="F47" s="125">
        <v>0.0</v>
      </c>
      <c r="G47" s="125">
        <v>1168552.0</v>
      </c>
      <c r="H47" s="125">
        <v>353206.0</v>
      </c>
      <c r="I47" s="125" t="s">
        <v>2658</v>
      </c>
      <c r="J47" s="125">
        <v>689391.0</v>
      </c>
      <c r="K47" s="125">
        <v>95033.0</v>
      </c>
      <c r="L47" s="125">
        <v>1168.0</v>
      </c>
      <c r="M47" s="125">
        <v>310316.0</v>
      </c>
      <c r="N47" s="125">
        <v>-72644.0</v>
      </c>
      <c r="O47" s="125"/>
      <c r="P47" s="125"/>
      <c r="Q47" s="125"/>
      <c r="R47" s="125"/>
      <c r="S47" s="125"/>
      <c r="T47" s="125"/>
      <c r="U47" s="125"/>
      <c r="V47" s="125"/>
    </row>
    <row r="48">
      <c r="A48" s="122" t="s">
        <v>686</v>
      </c>
      <c r="B48" s="122" t="s">
        <v>688</v>
      </c>
      <c r="C48" s="125">
        <v>3223095.0</v>
      </c>
      <c r="D48" s="125">
        <v>3219095.0</v>
      </c>
      <c r="E48" s="125">
        <v>110.0</v>
      </c>
      <c r="F48" s="125">
        <v>4000.0</v>
      </c>
      <c r="G48" s="125">
        <v>2558366.0</v>
      </c>
      <c r="H48" s="125">
        <v>664729.0</v>
      </c>
      <c r="I48" s="125" t="s">
        <v>2659</v>
      </c>
      <c r="J48" s="125">
        <v>1246190.0</v>
      </c>
      <c r="K48" s="125">
        <v>236656.0</v>
      </c>
      <c r="L48" s="125">
        <v>19220.0</v>
      </c>
      <c r="M48" s="125">
        <v>483425.0</v>
      </c>
      <c r="N48" s="125">
        <v>-572875.0</v>
      </c>
      <c r="O48" s="125"/>
      <c r="P48" s="125"/>
      <c r="Q48" s="125"/>
      <c r="R48" s="125"/>
      <c r="S48" s="125"/>
      <c r="T48" s="125"/>
      <c r="U48" s="125"/>
      <c r="V48" s="125"/>
    </row>
    <row r="49">
      <c r="A49" s="122" t="s">
        <v>910</v>
      </c>
      <c r="B49" s="122" t="s">
        <v>912</v>
      </c>
      <c r="C49" s="125">
        <v>1421896.0</v>
      </c>
      <c r="D49" s="125">
        <v>1421896.0</v>
      </c>
      <c r="E49" s="125">
        <v>54.0</v>
      </c>
      <c r="F49" s="125">
        <v>0.0</v>
      </c>
      <c r="G49" s="125">
        <v>832659.0</v>
      </c>
      <c r="H49" s="125">
        <v>589237.0</v>
      </c>
      <c r="I49" s="125" t="s">
        <v>2660</v>
      </c>
      <c r="J49" s="125">
        <v>363428.0</v>
      </c>
      <c r="K49" s="125">
        <v>83266.0</v>
      </c>
      <c r="L49" s="125">
        <v>1538.0</v>
      </c>
      <c r="M49" s="125">
        <v>248244.0</v>
      </c>
      <c r="N49" s="125">
        <v>-136183.0</v>
      </c>
      <c r="O49" s="125"/>
      <c r="P49" s="125"/>
      <c r="Q49" s="125"/>
      <c r="R49" s="125"/>
      <c r="S49" s="125"/>
      <c r="T49" s="125"/>
      <c r="U49" s="125"/>
      <c r="V49" s="125"/>
    </row>
    <row r="50">
      <c r="A50" s="122" t="s">
        <v>701</v>
      </c>
      <c r="B50" s="122" t="s">
        <v>703</v>
      </c>
      <c r="C50" s="125">
        <v>6471448.0</v>
      </c>
      <c r="D50" s="125">
        <v>6405798.0</v>
      </c>
      <c r="E50" s="125">
        <v>326.0</v>
      </c>
      <c r="F50" s="125">
        <v>65650.0</v>
      </c>
      <c r="G50" s="125">
        <v>4567022.0</v>
      </c>
      <c r="H50" s="125">
        <v>1904426.0</v>
      </c>
      <c r="I50" s="125" t="s">
        <v>2661</v>
      </c>
      <c r="J50" s="125">
        <v>2869452.0</v>
      </c>
      <c r="K50" s="125">
        <v>348426.0</v>
      </c>
      <c r="L50" s="125">
        <v>9047.0</v>
      </c>
      <c r="M50" s="125">
        <v>1216656.0</v>
      </c>
      <c r="N50" s="125">
        <v>-123441.0</v>
      </c>
      <c r="O50" s="125"/>
      <c r="P50" s="125"/>
      <c r="Q50" s="125"/>
      <c r="R50" s="125"/>
      <c r="S50" s="125"/>
      <c r="T50" s="125"/>
      <c r="U50" s="125"/>
      <c r="V50" s="125"/>
    </row>
    <row r="51">
      <c r="A51" s="122" t="s">
        <v>2026</v>
      </c>
      <c r="B51" s="122" t="s">
        <v>2027</v>
      </c>
      <c r="C51" s="125">
        <v>0.0</v>
      </c>
      <c r="D51" s="125">
        <v>0.0</v>
      </c>
      <c r="E51" s="125">
        <v>0.0</v>
      </c>
      <c r="F51" s="125">
        <v>0.0</v>
      </c>
      <c r="G51" s="125">
        <v>0.0</v>
      </c>
      <c r="H51" s="125">
        <v>0.0</v>
      </c>
      <c r="I51" s="125">
        <v>0.0</v>
      </c>
      <c r="J51" s="125">
        <v>0.0</v>
      </c>
      <c r="K51" s="125">
        <v>0.0</v>
      </c>
      <c r="L51" s="125">
        <v>0.0</v>
      </c>
      <c r="M51" s="125">
        <v>0.0</v>
      </c>
      <c r="N51" s="125">
        <v>0.0</v>
      </c>
      <c r="O51" s="125"/>
      <c r="P51" s="125"/>
      <c r="Q51" s="125"/>
      <c r="R51" s="125"/>
      <c r="S51" s="125"/>
      <c r="T51" s="125"/>
      <c r="U51" s="125"/>
      <c r="V51" s="125"/>
    </row>
    <row r="52">
      <c r="A52" s="122" t="s">
        <v>718</v>
      </c>
      <c r="B52" s="122" t="s">
        <v>720</v>
      </c>
      <c r="C52" s="125">
        <v>5035316.0</v>
      </c>
      <c r="D52" s="125">
        <v>5035316.0</v>
      </c>
      <c r="E52" s="125">
        <v>84.0</v>
      </c>
      <c r="F52" s="125">
        <v>0.0</v>
      </c>
      <c r="G52" s="125">
        <v>3766385.0</v>
      </c>
      <c r="H52" s="125">
        <v>1268931.0</v>
      </c>
      <c r="I52" s="125" t="s">
        <v>2662</v>
      </c>
      <c r="J52" s="125">
        <v>1941855.0</v>
      </c>
      <c r="K52" s="125">
        <v>301163.0</v>
      </c>
      <c r="L52" s="125">
        <v>2960.0</v>
      </c>
      <c r="M52" s="125">
        <v>751529.0</v>
      </c>
      <c r="N52" s="125">
        <v>-768878.0</v>
      </c>
      <c r="O52" s="125"/>
      <c r="P52" s="125"/>
      <c r="Q52" s="125"/>
      <c r="R52" s="125"/>
      <c r="S52" s="125"/>
      <c r="T52" s="125"/>
      <c r="U52" s="125"/>
      <c r="V52" s="125"/>
    </row>
    <row r="53">
      <c r="A53" s="122" t="s">
        <v>683</v>
      </c>
      <c r="B53" s="122" t="s">
        <v>685</v>
      </c>
      <c r="C53" s="125">
        <v>1.6472905E7</v>
      </c>
      <c r="D53" s="125">
        <v>1.6242905E7</v>
      </c>
      <c r="E53" s="125">
        <v>252.0</v>
      </c>
      <c r="F53" s="125">
        <v>230000.0</v>
      </c>
      <c r="G53" s="125">
        <v>1.1781831E7</v>
      </c>
      <c r="H53" s="125">
        <v>4691074.0</v>
      </c>
      <c r="I53" s="125" t="s">
        <v>2663</v>
      </c>
      <c r="J53" s="125">
        <v>6795461.0</v>
      </c>
      <c r="K53" s="125">
        <v>1301558.0</v>
      </c>
      <c r="L53" s="125">
        <v>7120.0</v>
      </c>
      <c r="M53" s="125">
        <v>2319740.0</v>
      </c>
      <c r="N53" s="125">
        <v>-1357952.0</v>
      </c>
      <c r="O53" s="125"/>
      <c r="P53" s="125"/>
      <c r="Q53" s="125"/>
      <c r="R53" s="125"/>
      <c r="S53" s="125"/>
      <c r="T53" s="125"/>
      <c r="U53" s="125"/>
      <c r="V53" s="125"/>
    </row>
    <row r="54">
      <c r="A54" s="122" t="s">
        <v>2028</v>
      </c>
      <c r="B54" s="122" t="s">
        <v>2029</v>
      </c>
      <c r="C54" s="125">
        <v>0.0</v>
      </c>
      <c r="D54" s="125">
        <v>0.0</v>
      </c>
      <c r="E54" s="125">
        <v>0.0</v>
      </c>
      <c r="F54" s="125">
        <v>0.0</v>
      </c>
      <c r="G54" s="125">
        <v>0.0</v>
      </c>
      <c r="H54" s="125">
        <v>0.0</v>
      </c>
      <c r="I54" s="125">
        <v>0.0</v>
      </c>
      <c r="J54" s="125">
        <v>0.0</v>
      </c>
      <c r="K54" s="125">
        <v>0.0</v>
      </c>
      <c r="L54" s="125">
        <v>0.0</v>
      </c>
      <c r="M54" s="125">
        <v>0.0</v>
      </c>
      <c r="N54" s="125">
        <v>0.0</v>
      </c>
      <c r="O54" s="125"/>
      <c r="P54" s="125"/>
      <c r="Q54" s="125"/>
      <c r="R54" s="125"/>
      <c r="S54" s="125"/>
      <c r="T54" s="125"/>
      <c r="U54" s="125"/>
      <c r="V54" s="125"/>
    </row>
    <row r="55">
      <c r="A55" s="122" t="s">
        <v>2030</v>
      </c>
      <c r="B55" s="122" t="s">
        <v>2017</v>
      </c>
      <c r="C55" s="125">
        <v>0.0</v>
      </c>
      <c r="D55" s="125">
        <v>0.0</v>
      </c>
      <c r="E55" s="125">
        <v>0.0</v>
      </c>
      <c r="F55" s="125">
        <v>0.0</v>
      </c>
      <c r="G55" s="125">
        <v>0.0</v>
      </c>
      <c r="H55" s="125">
        <v>0.0</v>
      </c>
      <c r="I55" s="125">
        <v>0.0</v>
      </c>
      <c r="J55" s="125">
        <v>0.0</v>
      </c>
      <c r="K55" s="125">
        <v>0.0</v>
      </c>
      <c r="L55" s="125">
        <v>0.0</v>
      </c>
      <c r="M55" s="125">
        <v>0.0</v>
      </c>
      <c r="N55" s="125">
        <v>0.0</v>
      </c>
      <c r="O55" s="125"/>
      <c r="P55" s="125"/>
      <c r="Q55" s="125"/>
      <c r="R55" s="125"/>
      <c r="S55" s="125"/>
      <c r="T55" s="125"/>
      <c r="U55" s="125"/>
      <c r="V55" s="125"/>
    </row>
    <row r="56">
      <c r="A56" s="122" t="s">
        <v>496</v>
      </c>
      <c r="B56" s="122" t="s">
        <v>1839</v>
      </c>
      <c r="C56" s="125">
        <v>3.7091138E7</v>
      </c>
      <c r="D56" s="125">
        <v>3.6755138E7</v>
      </c>
      <c r="E56" s="125">
        <v>342.0</v>
      </c>
      <c r="F56" s="125">
        <v>336000.0</v>
      </c>
      <c r="G56" s="125">
        <v>2.9488893E7</v>
      </c>
      <c r="H56" s="125">
        <v>7602245.0</v>
      </c>
      <c r="I56" s="125" t="s">
        <v>2664</v>
      </c>
      <c r="J56" s="125">
        <v>1.5926586E7</v>
      </c>
      <c r="K56" s="125">
        <v>3892974.0</v>
      </c>
      <c r="L56" s="125">
        <v>98700.0</v>
      </c>
      <c r="M56" s="125">
        <v>5529910.0</v>
      </c>
      <c r="N56" s="125">
        <v>-4040723.0</v>
      </c>
      <c r="O56" s="125"/>
      <c r="P56" s="125"/>
      <c r="Q56" s="125"/>
      <c r="R56" s="125"/>
      <c r="S56" s="125"/>
      <c r="T56" s="125"/>
      <c r="U56" s="125"/>
      <c r="V56" s="125"/>
    </row>
    <row r="57">
      <c r="A57" s="122" t="s">
        <v>867</v>
      </c>
      <c r="B57" s="122" t="s">
        <v>869</v>
      </c>
      <c r="C57" s="125">
        <v>5.0456984E7</v>
      </c>
      <c r="D57" s="125">
        <v>4.5841984E7</v>
      </c>
      <c r="E57" s="125">
        <v>441.0</v>
      </c>
      <c r="F57" s="125">
        <v>4615000.0</v>
      </c>
      <c r="G57" s="125">
        <v>3.5337113E7</v>
      </c>
      <c r="H57" s="125">
        <v>1.5119871E7</v>
      </c>
      <c r="I57" s="125" t="s">
        <v>2665</v>
      </c>
      <c r="J57" s="125">
        <v>2.6725494E7</v>
      </c>
      <c r="K57" s="125">
        <v>1160326.0</v>
      </c>
      <c r="L57" s="125">
        <v>10080.0</v>
      </c>
      <c r="M57" s="125">
        <v>5556618.0</v>
      </c>
      <c r="N57" s="125">
        <v>-1884595.0</v>
      </c>
      <c r="O57" s="125"/>
      <c r="P57" s="125"/>
      <c r="Q57" s="125"/>
      <c r="R57" s="125"/>
      <c r="S57" s="125"/>
      <c r="T57" s="125"/>
      <c r="U57" s="125"/>
      <c r="V57" s="125"/>
    </row>
    <row r="58">
      <c r="A58" s="122" t="s">
        <v>2031</v>
      </c>
      <c r="B58" s="122" t="s">
        <v>1903</v>
      </c>
      <c r="C58" s="125">
        <v>0.0</v>
      </c>
      <c r="D58" s="125">
        <v>0.0</v>
      </c>
      <c r="E58" s="125">
        <v>0.0</v>
      </c>
      <c r="F58" s="125">
        <v>0.0</v>
      </c>
      <c r="G58" s="125">
        <v>0.0</v>
      </c>
      <c r="H58" s="125">
        <v>0.0</v>
      </c>
      <c r="I58" s="125">
        <v>0.0</v>
      </c>
      <c r="J58" s="125">
        <v>0.0</v>
      </c>
      <c r="K58" s="125">
        <v>0.0</v>
      </c>
      <c r="L58" s="125">
        <v>0.0</v>
      </c>
      <c r="M58" s="125">
        <v>0.0</v>
      </c>
      <c r="N58" s="125">
        <v>0.0</v>
      </c>
      <c r="O58" s="125"/>
      <c r="P58" s="125"/>
      <c r="Q58" s="125"/>
      <c r="R58" s="125"/>
      <c r="S58" s="125"/>
      <c r="T58" s="125"/>
      <c r="U58" s="125"/>
      <c r="V58" s="125"/>
    </row>
    <row r="59">
      <c r="A59" s="122" t="s">
        <v>740</v>
      </c>
      <c r="B59" s="122" t="s">
        <v>1851</v>
      </c>
      <c r="C59" s="125">
        <v>1.2110982E7</v>
      </c>
      <c r="D59" s="125">
        <v>1.2095982E7</v>
      </c>
      <c r="E59" s="125">
        <v>185.0</v>
      </c>
      <c r="F59" s="125">
        <v>15000.0</v>
      </c>
      <c r="G59" s="125">
        <v>8579695.0</v>
      </c>
      <c r="H59" s="125">
        <v>3531287.0</v>
      </c>
      <c r="I59" s="125" t="s">
        <v>2666</v>
      </c>
      <c r="J59" s="125">
        <v>4940318.0</v>
      </c>
      <c r="K59" s="125">
        <v>781877.0</v>
      </c>
      <c r="L59" s="125">
        <v>4261.0</v>
      </c>
      <c r="M59" s="125">
        <v>1703434.0</v>
      </c>
      <c r="N59" s="125">
        <v>-1149805.0</v>
      </c>
      <c r="O59" s="125"/>
      <c r="P59" s="125"/>
      <c r="Q59" s="125"/>
      <c r="R59" s="125"/>
      <c r="S59" s="125"/>
      <c r="T59" s="125"/>
      <c r="U59" s="125"/>
      <c r="V59" s="125"/>
    </row>
    <row r="60">
      <c r="A60" s="122" t="s">
        <v>2032</v>
      </c>
      <c r="B60" s="122" t="s">
        <v>2033</v>
      </c>
      <c r="C60" s="125">
        <v>0.0</v>
      </c>
      <c r="D60" s="125">
        <v>0.0</v>
      </c>
      <c r="E60" s="125">
        <v>0.0</v>
      </c>
      <c r="F60" s="125">
        <v>0.0</v>
      </c>
      <c r="G60" s="125">
        <v>0.0</v>
      </c>
      <c r="H60" s="125">
        <v>0.0</v>
      </c>
      <c r="I60" s="125">
        <v>0.0</v>
      </c>
      <c r="J60" s="125">
        <v>0.0</v>
      </c>
      <c r="K60" s="125">
        <v>0.0</v>
      </c>
      <c r="L60" s="125">
        <v>0.0</v>
      </c>
      <c r="M60" s="125">
        <v>0.0</v>
      </c>
      <c r="N60" s="125">
        <v>0.0</v>
      </c>
      <c r="O60" s="125"/>
      <c r="P60" s="125"/>
      <c r="Q60" s="125"/>
      <c r="R60" s="125"/>
      <c r="S60" s="125"/>
      <c r="T60" s="125"/>
      <c r="U60" s="125"/>
      <c r="V60" s="125"/>
    </row>
    <row r="61">
      <c r="A61" s="122" t="s">
        <v>2034</v>
      </c>
      <c r="B61" s="122" t="s">
        <v>2035</v>
      </c>
      <c r="C61" s="125">
        <v>1.1379534E7</v>
      </c>
      <c r="D61" s="125">
        <v>1.1379534E7</v>
      </c>
      <c r="E61" s="125">
        <v>1029.0</v>
      </c>
      <c r="F61" s="125">
        <v>0.0</v>
      </c>
      <c r="G61" s="125">
        <v>7786983.0</v>
      </c>
      <c r="H61" s="125">
        <v>3592551.0</v>
      </c>
      <c r="I61" s="125" t="s">
        <v>2667</v>
      </c>
      <c r="J61" s="125">
        <v>4397302.0</v>
      </c>
      <c r="K61" s="125">
        <v>317392.0</v>
      </c>
      <c r="L61" s="125">
        <v>36207.0</v>
      </c>
      <c r="M61" s="125">
        <v>2721804.0</v>
      </c>
      <c r="N61" s="125">
        <v>-314278.0</v>
      </c>
      <c r="O61" s="125"/>
      <c r="P61" s="125"/>
      <c r="Q61" s="125"/>
      <c r="R61" s="125"/>
      <c r="S61" s="125"/>
      <c r="T61" s="125"/>
      <c r="U61" s="125"/>
      <c r="V61" s="125"/>
    </row>
    <row r="62">
      <c r="A62" s="122" t="s">
        <v>2036</v>
      </c>
      <c r="B62" s="122" t="s">
        <v>2037</v>
      </c>
      <c r="C62" s="125">
        <v>0.0</v>
      </c>
      <c r="D62" s="125">
        <v>0.0</v>
      </c>
      <c r="E62" s="125">
        <v>0.0</v>
      </c>
      <c r="F62" s="125">
        <v>0.0</v>
      </c>
      <c r="G62" s="125">
        <v>0.0</v>
      </c>
      <c r="H62" s="125">
        <v>0.0</v>
      </c>
      <c r="I62" s="125">
        <v>0.0</v>
      </c>
      <c r="J62" s="125">
        <v>0.0</v>
      </c>
      <c r="K62" s="125">
        <v>0.0</v>
      </c>
      <c r="L62" s="125">
        <v>0.0</v>
      </c>
      <c r="M62" s="125">
        <v>0.0</v>
      </c>
      <c r="N62" s="125">
        <v>0.0</v>
      </c>
      <c r="O62" s="125"/>
      <c r="P62" s="125"/>
      <c r="Q62" s="125"/>
      <c r="R62" s="125"/>
      <c r="S62" s="125"/>
      <c r="T62" s="125"/>
      <c r="U62" s="125"/>
      <c r="V62" s="125"/>
    </row>
    <row r="63">
      <c r="A63" s="122" t="s">
        <v>2038</v>
      </c>
      <c r="B63" s="122" t="s">
        <v>2039</v>
      </c>
      <c r="C63" s="125">
        <v>0.0</v>
      </c>
      <c r="D63" s="125">
        <v>0.0</v>
      </c>
      <c r="E63" s="125">
        <v>0.0</v>
      </c>
      <c r="F63" s="125">
        <v>0.0</v>
      </c>
      <c r="G63" s="125">
        <v>0.0</v>
      </c>
      <c r="H63" s="125">
        <v>0.0</v>
      </c>
      <c r="I63" s="125">
        <v>0.0</v>
      </c>
      <c r="J63" s="125">
        <v>0.0</v>
      </c>
      <c r="K63" s="125">
        <v>0.0</v>
      </c>
      <c r="L63" s="125">
        <v>0.0</v>
      </c>
      <c r="M63" s="125">
        <v>0.0</v>
      </c>
      <c r="N63" s="125">
        <v>0.0</v>
      </c>
      <c r="O63" s="125"/>
      <c r="P63" s="125"/>
      <c r="Q63" s="125"/>
      <c r="R63" s="125"/>
      <c r="S63" s="125"/>
      <c r="T63" s="125"/>
      <c r="U63" s="125"/>
      <c r="V63" s="125"/>
    </row>
    <row r="64">
      <c r="A64" s="122" t="s">
        <v>1009</v>
      </c>
      <c r="B64" s="122" t="s">
        <v>1909</v>
      </c>
      <c r="C64" s="125">
        <v>3.1103284E7</v>
      </c>
      <c r="D64" s="125">
        <v>3.0773284E7</v>
      </c>
      <c r="E64" s="125">
        <v>290.0</v>
      </c>
      <c r="F64" s="125">
        <v>330000.0</v>
      </c>
      <c r="G64" s="125">
        <v>1.8988856E7</v>
      </c>
      <c r="H64" s="125">
        <v>1.2114428E7</v>
      </c>
      <c r="I64" s="125" t="s">
        <v>2668</v>
      </c>
      <c r="J64" s="125">
        <v>1.104637E7</v>
      </c>
      <c r="K64" s="125">
        <v>1058376.0</v>
      </c>
      <c r="L64" s="125">
        <v>85760.0</v>
      </c>
      <c r="M64" s="125">
        <v>4902263.0</v>
      </c>
      <c r="N64" s="125">
        <v>-1896087.0</v>
      </c>
      <c r="O64" s="125"/>
      <c r="P64" s="125"/>
      <c r="Q64" s="125"/>
      <c r="R64" s="125"/>
      <c r="S64" s="125"/>
      <c r="T64" s="125"/>
      <c r="U64" s="125"/>
      <c r="V64" s="125"/>
    </row>
    <row r="65">
      <c r="A65" s="122" t="s">
        <v>795</v>
      </c>
      <c r="B65" s="122" t="s">
        <v>2637</v>
      </c>
      <c r="C65" s="125">
        <v>4155019.0</v>
      </c>
      <c r="D65" s="125">
        <v>4155019.0</v>
      </c>
      <c r="E65" s="125">
        <v>225.0</v>
      </c>
      <c r="F65" s="125">
        <v>0.0</v>
      </c>
      <c r="G65" s="125">
        <v>2419248.0</v>
      </c>
      <c r="H65" s="125">
        <v>1735771.0</v>
      </c>
      <c r="I65" s="125" t="s">
        <v>2669</v>
      </c>
      <c r="J65" s="125">
        <v>1417716.0</v>
      </c>
      <c r="K65" s="125">
        <v>77541.0</v>
      </c>
      <c r="L65" s="125">
        <v>7182.0</v>
      </c>
      <c r="M65" s="125">
        <v>858561.0</v>
      </c>
      <c r="N65" s="125">
        <v>-58248.0</v>
      </c>
      <c r="O65" s="125"/>
      <c r="P65" s="125"/>
      <c r="Q65" s="125"/>
      <c r="R65" s="125"/>
      <c r="S65" s="125"/>
      <c r="T65" s="125"/>
      <c r="U65" s="125"/>
      <c r="V65" s="125"/>
    </row>
    <row r="66">
      <c r="A66" s="122" t="s">
        <v>750</v>
      </c>
      <c r="B66" s="122" t="s">
        <v>1865</v>
      </c>
      <c r="C66" s="125">
        <v>4095350.0</v>
      </c>
      <c r="D66" s="125">
        <v>4083350.0</v>
      </c>
      <c r="E66" s="125">
        <v>220.0</v>
      </c>
      <c r="F66" s="125">
        <v>12000.0</v>
      </c>
      <c r="G66" s="125">
        <v>2584058.0</v>
      </c>
      <c r="H66" s="125">
        <v>1511292.0</v>
      </c>
      <c r="I66" s="125" t="s">
        <v>2670</v>
      </c>
      <c r="J66" s="125">
        <v>1520738.0</v>
      </c>
      <c r="K66" s="125">
        <v>140891.0</v>
      </c>
      <c r="L66" s="125">
        <v>5575.0</v>
      </c>
      <c r="M66" s="125">
        <v>857568.0</v>
      </c>
      <c r="N66" s="125">
        <v>-59286.0</v>
      </c>
      <c r="O66" s="125"/>
      <c r="P66" s="125"/>
      <c r="Q66" s="125"/>
      <c r="R66" s="125"/>
      <c r="S66" s="125"/>
      <c r="T66" s="125"/>
      <c r="U66" s="125"/>
      <c r="V66" s="125"/>
    </row>
    <row r="67">
      <c r="A67" s="122" t="s">
        <v>2040</v>
      </c>
      <c r="B67" s="122" t="s">
        <v>2041</v>
      </c>
      <c r="C67" s="125">
        <v>0.0</v>
      </c>
      <c r="D67" s="125">
        <v>0.0</v>
      </c>
      <c r="E67" s="125">
        <v>0.0</v>
      </c>
      <c r="F67" s="125">
        <v>0.0</v>
      </c>
      <c r="G67" s="125">
        <v>0.0</v>
      </c>
      <c r="H67" s="125">
        <v>0.0</v>
      </c>
      <c r="I67" s="125">
        <v>0.0</v>
      </c>
      <c r="J67" s="125">
        <v>0.0</v>
      </c>
      <c r="K67" s="125">
        <v>0.0</v>
      </c>
      <c r="L67" s="125">
        <v>0.0</v>
      </c>
      <c r="M67" s="125">
        <v>0.0</v>
      </c>
      <c r="N67" s="125">
        <v>0.0</v>
      </c>
      <c r="O67" s="125"/>
      <c r="P67" s="125"/>
      <c r="Q67" s="125"/>
      <c r="R67" s="125"/>
      <c r="S67" s="125"/>
      <c r="T67" s="125"/>
      <c r="U67" s="125"/>
      <c r="V67" s="125"/>
    </row>
    <row r="68">
      <c r="A68" s="122" t="s">
        <v>861</v>
      </c>
      <c r="B68" s="122" t="s">
        <v>863</v>
      </c>
      <c r="C68" s="125">
        <v>1.7203678E7</v>
      </c>
      <c r="D68" s="125">
        <v>1.6856678E7</v>
      </c>
      <c r="E68" s="125">
        <v>211.0</v>
      </c>
      <c r="F68" s="125">
        <v>347000.0</v>
      </c>
      <c r="G68" s="125">
        <v>1.2837502E7</v>
      </c>
      <c r="H68" s="125">
        <v>4366176.0</v>
      </c>
      <c r="I68" s="125" t="s">
        <v>2671</v>
      </c>
      <c r="J68" s="125">
        <v>9534321.0</v>
      </c>
      <c r="K68" s="125">
        <v>712404.0</v>
      </c>
      <c r="L68" s="125">
        <v>10146.0</v>
      </c>
      <c r="M68" s="125">
        <v>1894264.0</v>
      </c>
      <c r="N68" s="125">
        <v>-686367.0</v>
      </c>
      <c r="O68" s="125"/>
      <c r="P68" s="125"/>
      <c r="Q68" s="125"/>
      <c r="R68" s="125"/>
      <c r="S68" s="125"/>
      <c r="T68" s="125"/>
      <c r="U68" s="125"/>
      <c r="V68" s="125"/>
    </row>
    <row r="69">
      <c r="A69" s="122" t="s">
        <v>2042</v>
      </c>
      <c r="B69" s="122" t="s">
        <v>492</v>
      </c>
      <c r="C69" s="125">
        <v>59990.0</v>
      </c>
      <c r="D69" s="125">
        <v>59990.0</v>
      </c>
      <c r="E69" s="125">
        <v>1.0</v>
      </c>
      <c r="F69" s="125">
        <v>0.0</v>
      </c>
      <c r="G69" s="125">
        <v>43114.0</v>
      </c>
      <c r="H69" s="125">
        <v>16876.0</v>
      </c>
      <c r="I69" s="125" t="s">
        <v>2672</v>
      </c>
      <c r="J69" s="125">
        <v>21469.0</v>
      </c>
      <c r="K69" s="125">
        <v>8847.0</v>
      </c>
      <c r="L69" s="125">
        <v>0.0</v>
      </c>
      <c r="M69" s="125">
        <v>8998.0</v>
      </c>
      <c r="N69" s="125">
        <v>-3800.0</v>
      </c>
      <c r="O69" s="125"/>
      <c r="P69" s="125"/>
      <c r="Q69" s="125"/>
      <c r="R69" s="125"/>
      <c r="S69" s="125"/>
      <c r="T69" s="125"/>
      <c r="U69" s="125"/>
      <c r="V69" s="125"/>
    </row>
    <row r="70">
      <c r="A70" s="122" t="s">
        <v>632</v>
      </c>
      <c r="B70" s="122" t="s">
        <v>634</v>
      </c>
      <c r="C70" s="125">
        <v>0.0</v>
      </c>
      <c r="D70" s="125">
        <v>0.0</v>
      </c>
      <c r="E70" s="125">
        <v>0.0</v>
      </c>
      <c r="F70" s="125">
        <v>0.0</v>
      </c>
      <c r="G70" s="125">
        <v>0.0</v>
      </c>
      <c r="H70" s="125">
        <v>0.0</v>
      </c>
      <c r="I70" s="125">
        <v>0.0</v>
      </c>
      <c r="J70" s="125">
        <v>0.0</v>
      </c>
      <c r="K70" s="125">
        <v>0.0</v>
      </c>
      <c r="L70" s="125">
        <v>0.0</v>
      </c>
      <c r="M70" s="125">
        <v>0.0</v>
      </c>
      <c r="N70" s="125">
        <v>0.0</v>
      </c>
      <c r="O70" s="125"/>
      <c r="P70" s="125"/>
      <c r="Q70" s="125"/>
      <c r="R70" s="125"/>
      <c r="S70" s="125"/>
      <c r="T70" s="125"/>
      <c r="U70" s="125"/>
      <c r="V70" s="125"/>
    </row>
    <row r="71">
      <c r="A71" s="122" t="s">
        <v>692</v>
      </c>
      <c r="B71" s="122" t="s">
        <v>694</v>
      </c>
      <c r="C71" s="125">
        <v>3661305.0</v>
      </c>
      <c r="D71" s="125">
        <v>3661305.0</v>
      </c>
      <c r="E71" s="125">
        <v>275.0</v>
      </c>
      <c r="F71" s="125">
        <v>0.0</v>
      </c>
      <c r="G71" s="125">
        <v>2649039.0</v>
      </c>
      <c r="H71" s="125">
        <v>1012266.0</v>
      </c>
      <c r="I71" s="125" t="s">
        <v>2673</v>
      </c>
      <c r="J71" s="125">
        <v>1631421.0</v>
      </c>
      <c r="K71" s="125">
        <v>168836.0</v>
      </c>
      <c r="L71" s="125">
        <v>5808.0</v>
      </c>
      <c r="M71" s="125">
        <v>732113.0</v>
      </c>
      <c r="N71" s="125">
        <v>-110861.0</v>
      </c>
      <c r="O71" s="125"/>
      <c r="P71" s="125"/>
      <c r="Q71" s="125"/>
      <c r="R71" s="125"/>
      <c r="S71" s="125"/>
      <c r="T71" s="125"/>
      <c r="U71" s="125"/>
      <c r="V71" s="125"/>
    </row>
    <row r="72">
      <c r="A72" s="122" t="s">
        <v>462</v>
      </c>
      <c r="B72" s="122" t="s">
        <v>464</v>
      </c>
      <c r="C72" s="125">
        <v>1.6461683E7</v>
      </c>
      <c r="D72" s="125">
        <v>1.6325683E7</v>
      </c>
      <c r="E72" s="125">
        <v>1311.0</v>
      </c>
      <c r="F72" s="125">
        <v>136000.0</v>
      </c>
      <c r="G72" s="125">
        <v>1.0119989E7</v>
      </c>
      <c r="H72" s="125">
        <v>6341694.0</v>
      </c>
      <c r="I72" s="125" t="s">
        <v>2674</v>
      </c>
      <c r="J72" s="125">
        <v>5106053.0</v>
      </c>
      <c r="K72" s="125">
        <v>800323.0</v>
      </c>
      <c r="L72" s="125">
        <v>41994.0</v>
      </c>
      <c r="M72" s="125">
        <v>3644036.0</v>
      </c>
      <c r="N72" s="125">
        <v>-527583.0</v>
      </c>
      <c r="O72" s="125"/>
      <c r="P72" s="125"/>
      <c r="Q72" s="125"/>
      <c r="R72" s="125"/>
      <c r="S72" s="125"/>
      <c r="T72" s="125"/>
      <c r="U72" s="125"/>
      <c r="V72" s="125"/>
    </row>
    <row r="73">
      <c r="A73" s="122" t="s">
        <v>617</v>
      </c>
      <c r="B73" s="122" t="s">
        <v>619</v>
      </c>
      <c r="C73" s="125">
        <v>0.0</v>
      </c>
      <c r="D73" s="125">
        <v>0.0</v>
      </c>
      <c r="E73" s="125">
        <v>0.0</v>
      </c>
      <c r="F73" s="125">
        <v>0.0</v>
      </c>
      <c r="G73" s="125">
        <v>0.0</v>
      </c>
      <c r="H73" s="125">
        <v>0.0</v>
      </c>
      <c r="I73" s="125">
        <v>0.0</v>
      </c>
      <c r="J73" s="125">
        <v>0.0</v>
      </c>
      <c r="K73" s="125">
        <v>0.0</v>
      </c>
      <c r="L73" s="125">
        <v>0.0</v>
      </c>
      <c r="M73" s="125">
        <v>0.0</v>
      </c>
      <c r="N73" s="125">
        <v>0.0</v>
      </c>
      <c r="O73" s="125"/>
      <c r="P73" s="125"/>
      <c r="Q73" s="125"/>
      <c r="R73" s="125"/>
      <c r="S73" s="125"/>
      <c r="T73" s="125"/>
      <c r="U73" s="125"/>
      <c r="V73" s="125"/>
    </row>
    <row r="74">
      <c r="A74" s="122" t="s">
        <v>626</v>
      </c>
      <c r="B74" s="122" t="s">
        <v>1857</v>
      </c>
      <c r="C74" s="125">
        <v>1762308.0</v>
      </c>
      <c r="D74" s="125">
        <v>1762308.0</v>
      </c>
      <c r="E74" s="125">
        <v>66.0</v>
      </c>
      <c r="F74" s="125">
        <v>0.0</v>
      </c>
      <c r="G74" s="125">
        <v>1232657.0</v>
      </c>
      <c r="H74" s="125">
        <v>529651.0</v>
      </c>
      <c r="I74" s="125" t="s">
        <v>2675</v>
      </c>
      <c r="J74" s="125">
        <v>683778.0</v>
      </c>
      <c r="K74" s="125">
        <v>105355.0</v>
      </c>
      <c r="L74" s="125">
        <v>570.0</v>
      </c>
      <c r="M74" s="125">
        <v>263200.0</v>
      </c>
      <c r="N74" s="125">
        <v>-179754.0</v>
      </c>
      <c r="O74" s="125"/>
      <c r="P74" s="125"/>
      <c r="Q74" s="125"/>
      <c r="R74" s="125"/>
      <c r="S74" s="125"/>
      <c r="T74" s="125"/>
      <c r="U74" s="125"/>
      <c r="V74" s="125"/>
    </row>
    <row r="75">
      <c r="A75" s="122" t="s">
        <v>928</v>
      </c>
      <c r="B75" s="122" t="s">
        <v>1886</v>
      </c>
      <c r="C75" s="125">
        <v>1.2695077E7</v>
      </c>
      <c r="D75" s="125">
        <v>1.2641077E7</v>
      </c>
      <c r="E75" s="125">
        <v>587.0</v>
      </c>
      <c r="F75" s="125">
        <v>54000.0</v>
      </c>
      <c r="G75" s="125">
        <v>8595523.0</v>
      </c>
      <c r="H75" s="125">
        <v>4099554.0</v>
      </c>
      <c r="I75" s="125" t="s">
        <v>2676</v>
      </c>
      <c r="J75" s="125">
        <v>5068629.0</v>
      </c>
      <c r="K75" s="125">
        <v>421275.0</v>
      </c>
      <c r="L75" s="125">
        <v>0.0</v>
      </c>
      <c r="M75" s="125">
        <v>2337088.0</v>
      </c>
      <c r="N75" s="125">
        <v>-768531.0</v>
      </c>
      <c r="O75" s="125"/>
      <c r="P75" s="125"/>
      <c r="Q75" s="125"/>
      <c r="R75" s="125"/>
      <c r="S75" s="125"/>
      <c r="T75" s="125"/>
      <c r="U75" s="125"/>
      <c r="V75" s="125"/>
    </row>
    <row r="76">
      <c r="A76" s="122" t="s">
        <v>2043</v>
      </c>
      <c r="B76" s="122" t="s">
        <v>2044</v>
      </c>
      <c r="C76" s="125">
        <v>99990.0</v>
      </c>
      <c r="D76" s="125">
        <v>99990.0</v>
      </c>
      <c r="E76" s="125">
        <v>1.0</v>
      </c>
      <c r="F76" s="125">
        <v>0.0</v>
      </c>
      <c r="G76" s="125">
        <v>147922.0</v>
      </c>
      <c r="H76" s="125">
        <v>-47932.0</v>
      </c>
      <c r="I76" s="125" t="s">
        <v>2677</v>
      </c>
      <c r="J76" s="125">
        <v>64492.0</v>
      </c>
      <c r="K76" s="125">
        <v>57842.0</v>
      </c>
      <c r="L76" s="125">
        <v>0.0</v>
      </c>
      <c r="M76" s="125">
        <v>17998.0</v>
      </c>
      <c r="N76" s="125">
        <v>-7590.0</v>
      </c>
      <c r="O76" s="125"/>
      <c r="P76" s="125"/>
      <c r="Q76" s="125"/>
      <c r="R76" s="125"/>
      <c r="S76" s="125"/>
      <c r="T76" s="125"/>
      <c r="U76" s="125"/>
      <c r="V76" s="125"/>
    </row>
    <row r="77">
      <c r="A77" s="122" t="s">
        <v>848</v>
      </c>
      <c r="B77" s="122" t="s">
        <v>1884</v>
      </c>
      <c r="C77" s="125">
        <v>5921352.0</v>
      </c>
      <c r="D77" s="125">
        <v>5703352.0</v>
      </c>
      <c r="E77" s="125">
        <v>116.0</v>
      </c>
      <c r="F77" s="125">
        <v>218000.0</v>
      </c>
      <c r="G77" s="125">
        <v>5215080.0</v>
      </c>
      <c r="H77" s="125">
        <v>706272.0</v>
      </c>
      <c r="I77" s="125" t="s">
        <v>2678</v>
      </c>
      <c r="J77" s="125">
        <v>3879388.0</v>
      </c>
      <c r="K77" s="125">
        <v>201967.0</v>
      </c>
      <c r="L77" s="125">
        <v>884.0</v>
      </c>
      <c r="M77" s="125">
        <v>720342.0</v>
      </c>
      <c r="N77" s="125">
        <v>-412499.0</v>
      </c>
      <c r="O77" s="125"/>
      <c r="P77" s="125"/>
      <c r="Q77" s="125"/>
      <c r="R77" s="125"/>
      <c r="S77" s="125"/>
      <c r="T77" s="125"/>
      <c r="U77" s="125"/>
      <c r="V77" s="125"/>
    </row>
    <row r="78">
      <c r="A78" s="122" t="s">
        <v>577</v>
      </c>
      <c r="B78" s="122" t="s">
        <v>1885</v>
      </c>
      <c r="C78" s="125">
        <v>0.0</v>
      </c>
      <c r="D78" s="125">
        <v>0.0</v>
      </c>
      <c r="E78" s="125">
        <v>0.0</v>
      </c>
      <c r="F78" s="125">
        <v>0.0</v>
      </c>
      <c r="G78" s="125">
        <v>0.0</v>
      </c>
      <c r="H78" s="125">
        <v>0.0</v>
      </c>
      <c r="I78" s="125">
        <v>0.0</v>
      </c>
      <c r="J78" s="125">
        <v>0.0</v>
      </c>
      <c r="K78" s="125">
        <v>0.0</v>
      </c>
      <c r="L78" s="125">
        <v>0.0</v>
      </c>
      <c r="M78" s="125">
        <v>0.0</v>
      </c>
      <c r="N78" s="125">
        <v>0.0</v>
      </c>
      <c r="O78" s="125"/>
      <c r="P78" s="125"/>
      <c r="Q78" s="125"/>
      <c r="R78" s="125"/>
      <c r="S78" s="125"/>
      <c r="T78" s="125"/>
      <c r="U78" s="125"/>
      <c r="V78" s="125"/>
    </row>
    <row r="79">
      <c r="A79" s="122" t="s">
        <v>647</v>
      </c>
      <c r="B79" s="122" t="s">
        <v>1925</v>
      </c>
      <c r="C79" s="125">
        <v>2.8300801E7</v>
      </c>
      <c r="D79" s="125">
        <v>2.8208951E7</v>
      </c>
      <c r="E79" s="125">
        <v>1686.0</v>
      </c>
      <c r="F79" s="125">
        <v>91850.0</v>
      </c>
      <c r="G79" s="125">
        <v>2.0666309E7</v>
      </c>
      <c r="H79" s="125">
        <v>7634492.0</v>
      </c>
      <c r="I79" s="125" t="s">
        <v>2679</v>
      </c>
      <c r="J79" s="125">
        <v>1.3231728E7</v>
      </c>
      <c r="K79" s="125">
        <v>1033306.0</v>
      </c>
      <c r="L79" s="125">
        <v>80193.0</v>
      </c>
      <c r="M79" s="125">
        <v>5815374.0</v>
      </c>
      <c r="N79" s="125">
        <v>-505708.0</v>
      </c>
      <c r="O79" s="125"/>
      <c r="P79" s="125"/>
      <c r="Q79" s="125"/>
      <c r="R79" s="125"/>
      <c r="S79" s="125"/>
      <c r="T79" s="125"/>
      <c r="U79" s="125"/>
      <c r="V79" s="125"/>
    </row>
    <row r="80">
      <c r="A80" s="122" t="s">
        <v>876</v>
      </c>
      <c r="B80" s="122" t="s">
        <v>1933</v>
      </c>
      <c r="C80" s="125">
        <v>1.2363547E7</v>
      </c>
      <c r="D80" s="125">
        <v>1.2324547E7</v>
      </c>
      <c r="E80" s="125">
        <v>685.0</v>
      </c>
      <c r="F80" s="125">
        <v>39000.0</v>
      </c>
      <c r="G80" s="125">
        <v>8438712.0</v>
      </c>
      <c r="H80" s="125">
        <v>3924835.0</v>
      </c>
      <c r="I80" s="125" t="s">
        <v>2680</v>
      </c>
      <c r="J80" s="125">
        <v>3762020.0</v>
      </c>
      <c r="K80" s="125">
        <v>1661489.0</v>
      </c>
      <c r="L80" s="125">
        <v>22583.0</v>
      </c>
      <c r="M80" s="125">
        <v>2483846.0</v>
      </c>
      <c r="N80" s="125">
        <v>-508774.0</v>
      </c>
      <c r="O80" s="125"/>
      <c r="P80" s="125"/>
      <c r="Q80" s="125"/>
      <c r="R80" s="125"/>
      <c r="S80" s="125"/>
      <c r="T80" s="125"/>
      <c r="U80" s="125"/>
      <c r="V80" s="125"/>
    </row>
    <row r="81">
      <c r="A81" s="122" t="s">
        <v>2045</v>
      </c>
      <c r="B81" s="122" t="s">
        <v>2046</v>
      </c>
      <c r="C81" s="125">
        <v>0.0</v>
      </c>
      <c r="D81" s="125">
        <v>0.0</v>
      </c>
      <c r="E81" s="125">
        <v>0.0</v>
      </c>
      <c r="F81" s="125">
        <v>0.0</v>
      </c>
      <c r="G81" s="125">
        <v>0.0</v>
      </c>
      <c r="H81" s="125">
        <v>0.0</v>
      </c>
      <c r="I81" s="125">
        <v>0.0</v>
      </c>
      <c r="J81" s="125">
        <v>0.0</v>
      </c>
      <c r="K81" s="125">
        <v>0.0</v>
      </c>
      <c r="L81" s="125">
        <v>0.0</v>
      </c>
      <c r="M81" s="125">
        <v>0.0</v>
      </c>
      <c r="N81" s="125">
        <v>0.0</v>
      </c>
      <c r="O81" s="125"/>
      <c r="P81" s="125"/>
      <c r="Q81" s="125"/>
      <c r="R81" s="125"/>
      <c r="S81" s="125"/>
      <c r="T81" s="125"/>
      <c r="U81" s="125"/>
      <c r="V81" s="125"/>
    </row>
    <row r="82">
      <c r="A82" s="122" t="s">
        <v>562</v>
      </c>
      <c r="B82" s="122" t="s">
        <v>2047</v>
      </c>
      <c r="C82" s="125">
        <v>62670.0</v>
      </c>
      <c r="D82" s="125">
        <v>62670.0</v>
      </c>
      <c r="E82" s="125">
        <v>3.0</v>
      </c>
      <c r="F82" s="125">
        <v>0.0</v>
      </c>
      <c r="G82" s="125">
        <v>24645.0</v>
      </c>
      <c r="H82" s="125">
        <v>38025.0</v>
      </c>
      <c r="I82" s="125" t="s">
        <v>2681</v>
      </c>
      <c r="J82" s="125">
        <v>14370.0</v>
      </c>
      <c r="K82" s="125">
        <v>532.0</v>
      </c>
      <c r="L82" s="125">
        <v>0.0</v>
      </c>
      <c r="M82" s="125">
        <v>9211.0</v>
      </c>
      <c r="N82" s="125">
        <v>-532.0</v>
      </c>
      <c r="O82" s="125"/>
      <c r="P82" s="125"/>
      <c r="Q82" s="125"/>
      <c r="R82" s="125"/>
      <c r="S82" s="125"/>
      <c r="T82" s="125"/>
      <c r="U82" s="125"/>
      <c r="V82" s="125"/>
    </row>
    <row r="83">
      <c r="A83" s="122" t="s">
        <v>815</v>
      </c>
      <c r="B83" s="122" t="s">
        <v>2682</v>
      </c>
      <c r="C83" s="125">
        <v>0.0</v>
      </c>
      <c r="D83" s="125">
        <v>0.0</v>
      </c>
      <c r="E83" s="125">
        <v>0.0</v>
      </c>
      <c r="F83" s="125">
        <v>0.0</v>
      </c>
      <c r="G83" s="125">
        <v>159.0</v>
      </c>
      <c r="H83" s="125">
        <v>-159.0</v>
      </c>
      <c r="I83" s="125">
        <v>0.0</v>
      </c>
      <c r="J83" s="125">
        <v>0.0</v>
      </c>
      <c r="K83" s="125">
        <v>159.0</v>
      </c>
      <c r="L83" s="125">
        <v>0.0</v>
      </c>
      <c r="M83" s="125">
        <v>0.0</v>
      </c>
      <c r="N83" s="125">
        <v>0.0</v>
      </c>
      <c r="O83" s="125"/>
      <c r="P83" s="125"/>
      <c r="Q83" s="125"/>
      <c r="R83" s="125"/>
      <c r="S83" s="125"/>
      <c r="T83" s="125"/>
      <c r="U83" s="125"/>
      <c r="V83" s="125"/>
    </row>
    <row r="84">
      <c r="A84" s="122" t="s">
        <v>913</v>
      </c>
      <c r="B84" s="122" t="s">
        <v>915</v>
      </c>
      <c r="C84" s="125">
        <v>2665920.0</v>
      </c>
      <c r="D84" s="125">
        <v>2665920.0</v>
      </c>
      <c r="E84" s="125">
        <v>60.0</v>
      </c>
      <c r="F84" s="125">
        <v>0.0</v>
      </c>
      <c r="G84" s="125">
        <v>1502992.0</v>
      </c>
      <c r="H84" s="125">
        <v>1162928.0</v>
      </c>
      <c r="I84" s="125" t="s">
        <v>2683</v>
      </c>
      <c r="J84" s="125">
        <v>796740.0</v>
      </c>
      <c r="K84" s="125">
        <v>96874.0</v>
      </c>
      <c r="L84" s="125">
        <v>7041.0</v>
      </c>
      <c r="M84" s="125">
        <v>401783.0</v>
      </c>
      <c r="N84" s="125">
        <v>-200554.0</v>
      </c>
      <c r="O84" s="125"/>
      <c r="P84" s="125"/>
      <c r="Q84" s="125"/>
      <c r="R84" s="125"/>
      <c r="S84" s="125"/>
      <c r="T84" s="125"/>
      <c r="U84" s="125"/>
      <c r="V84" s="125"/>
    </row>
    <row r="85">
      <c r="A85" s="122" t="s">
        <v>2048</v>
      </c>
      <c r="B85" s="122" t="s">
        <v>2049</v>
      </c>
      <c r="C85" s="125">
        <v>4394560.0</v>
      </c>
      <c r="D85" s="125">
        <v>4394560.0</v>
      </c>
      <c r="E85" s="125">
        <v>44.0</v>
      </c>
      <c r="F85" s="125">
        <v>0.0</v>
      </c>
      <c r="G85" s="125">
        <v>3474809.0</v>
      </c>
      <c r="H85" s="125">
        <v>919751.0</v>
      </c>
      <c r="I85" s="125" t="s">
        <v>2684</v>
      </c>
      <c r="J85" s="125">
        <v>2085366.0</v>
      </c>
      <c r="K85" s="125">
        <v>159583.0</v>
      </c>
      <c r="L85" s="125">
        <v>5260.0</v>
      </c>
      <c r="M85" s="125">
        <v>652826.0</v>
      </c>
      <c r="N85" s="125">
        <v>-571774.0</v>
      </c>
      <c r="O85" s="125"/>
      <c r="P85" s="125"/>
      <c r="Q85" s="125"/>
      <c r="R85" s="125"/>
      <c r="S85" s="125"/>
      <c r="T85" s="125"/>
      <c r="U85" s="125"/>
      <c r="V85" s="125"/>
    </row>
    <row r="86">
      <c r="A86" s="122" t="s">
        <v>817</v>
      </c>
      <c r="B86" s="122" t="s">
        <v>2682</v>
      </c>
      <c r="C86" s="125">
        <v>0.0</v>
      </c>
      <c r="D86" s="125">
        <v>0.0</v>
      </c>
      <c r="E86" s="125">
        <v>0.0</v>
      </c>
      <c r="F86" s="125">
        <v>0.0</v>
      </c>
      <c r="G86" s="125">
        <v>159.0</v>
      </c>
      <c r="H86" s="125">
        <v>-159.0</v>
      </c>
      <c r="I86" s="125">
        <v>0.0</v>
      </c>
      <c r="J86" s="125">
        <v>0.0</v>
      </c>
      <c r="K86" s="125">
        <v>159.0</v>
      </c>
      <c r="L86" s="125">
        <v>0.0</v>
      </c>
      <c r="M86" s="125">
        <v>0.0</v>
      </c>
      <c r="N86" s="125">
        <v>0.0</v>
      </c>
      <c r="O86" s="125"/>
      <c r="P86" s="125"/>
      <c r="Q86" s="125"/>
      <c r="R86" s="125"/>
      <c r="S86" s="125"/>
      <c r="T86" s="125"/>
      <c r="U86" s="125"/>
      <c r="V86" s="125"/>
    </row>
    <row r="87">
      <c r="A87" s="122" t="s">
        <v>753</v>
      </c>
      <c r="B87" s="122" t="s">
        <v>1864</v>
      </c>
      <c r="C87" s="125">
        <v>2804258.0</v>
      </c>
      <c r="D87" s="125">
        <v>2804258.0</v>
      </c>
      <c r="E87" s="125">
        <v>150.0</v>
      </c>
      <c r="F87" s="125">
        <v>0.0</v>
      </c>
      <c r="G87" s="125">
        <v>1943804.0</v>
      </c>
      <c r="H87" s="125">
        <v>860454.0</v>
      </c>
      <c r="I87" s="125" t="s">
        <v>2685</v>
      </c>
      <c r="J87" s="125">
        <v>1224258.0</v>
      </c>
      <c r="K87" s="125">
        <v>78139.0</v>
      </c>
      <c r="L87" s="125">
        <v>4791.0</v>
      </c>
      <c r="M87" s="125">
        <v>586032.0</v>
      </c>
      <c r="N87" s="125">
        <v>-50584.0</v>
      </c>
      <c r="O87" s="125"/>
      <c r="P87" s="125"/>
      <c r="Q87" s="125"/>
      <c r="R87" s="125"/>
      <c r="S87" s="125"/>
      <c r="T87" s="125"/>
      <c r="U87" s="125"/>
      <c r="V87" s="125"/>
    </row>
    <row r="88">
      <c r="A88" s="122" t="s">
        <v>2050</v>
      </c>
      <c r="B88" s="122" t="s">
        <v>2051</v>
      </c>
      <c r="C88" s="125">
        <v>0.0</v>
      </c>
      <c r="D88" s="125">
        <v>0.0</v>
      </c>
      <c r="E88" s="125">
        <v>0.0</v>
      </c>
      <c r="F88" s="125">
        <v>0.0</v>
      </c>
      <c r="G88" s="125">
        <v>0.0</v>
      </c>
      <c r="H88" s="125">
        <v>0.0</v>
      </c>
      <c r="I88" s="125">
        <v>0.0</v>
      </c>
      <c r="J88" s="125">
        <v>0.0</v>
      </c>
      <c r="K88" s="125">
        <v>0.0</v>
      </c>
      <c r="L88" s="125">
        <v>0.0</v>
      </c>
      <c r="M88" s="125">
        <v>0.0</v>
      </c>
      <c r="N88" s="125">
        <v>0.0</v>
      </c>
      <c r="O88" s="125"/>
      <c r="P88" s="125"/>
      <c r="Q88" s="125"/>
      <c r="R88" s="125"/>
      <c r="S88" s="125"/>
      <c r="T88" s="125"/>
      <c r="U88" s="125"/>
      <c r="V88" s="125"/>
    </row>
    <row r="89">
      <c r="A89" s="122" t="s">
        <v>698</v>
      </c>
      <c r="B89" s="122" t="s">
        <v>2052</v>
      </c>
      <c r="C89" s="125">
        <v>0.0</v>
      </c>
      <c r="D89" s="125">
        <v>0.0</v>
      </c>
      <c r="E89" s="125">
        <v>0.0</v>
      </c>
      <c r="F89" s="125">
        <v>0.0</v>
      </c>
      <c r="G89" s="125">
        <v>0.0</v>
      </c>
      <c r="H89" s="125">
        <v>0.0</v>
      </c>
      <c r="I89" s="125">
        <v>0.0</v>
      </c>
      <c r="J89" s="125">
        <v>0.0</v>
      </c>
      <c r="K89" s="125">
        <v>0.0</v>
      </c>
      <c r="L89" s="125">
        <v>0.0</v>
      </c>
      <c r="M89" s="125">
        <v>0.0</v>
      </c>
      <c r="N89" s="125">
        <v>0.0</v>
      </c>
      <c r="O89" s="125"/>
      <c r="P89" s="125"/>
      <c r="Q89" s="125"/>
      <c r="R89" s="125"/>
      <c r="S89" s="125"/>
      <c r="T89" s="125"/>
      <c r="U89" s="125"/>
      <c r="V89" s="125"/>
    </row>
    <row r="90">
      <c r="A90" s="122" t="s">
        <v>479</v>
      </c>
      <c r="B90" s="122" t="s">
        <v>481</v>
      </c>
      <c r="C90" s="125">
        <v>7472204.0</v>
      </c>
      <c r="D90" s="125">
        <v>7472204.0</v>
      </c>
      <c r="E90" s="125">
        <v>263.0</v>
      </c>
      <c r="F90" s="125">
        <v>0.0</v>
      </c>
      <c r="G90" s="125">
        <v>4444684.0</v>
      </c>
      <c r="H90" s="125">
        <v>3027520.0</v>
      </c>
      <c r="I90" s="125" t="s">
        <v>2686</v>
      </c>
      <c r="J90" s="125">
        <v>1848316.0</v>
      </c>
      <c r="K90" s="125">
        <v>462835.0</v>
      </c>
      <c r="L90" s="125">
        <v>8645.0</v>
      </c>
      <c r="M90" s="125">
        <v>1242595.0</v>
      </c>
      <c r="N90" s="125">
        <v>-882293.0</v>
      </c>
      <c r="O90" s="125"/>
      <c r="P90" s="125"/>
      <c r="Q90" s="125"/>
      <c r="R90" s="125"/>
      <c r="S90" s="125"/>
      <c r="T90" s="125"/>
      <c r="U90" s="125"/>
      <c r="V90" s="125"/>
    </row>
    <row r="91">
      <c r="A91" s="122" t="s">
        <v>945</v>
      </c>
      <c r="B91" s="122" t="s">
        <v>1866</v>
      </c>
      <c r="C91" s="125">
        <v>0.0</v>
      </c>
      <c r="D91" s="125">
        <v>0.0</v>
      </c>
      <c r="E91" s="125">
        <v>0.0</v>
      </c>
      <c r="F91" s="125">
        <v>0.0</v>
      </c>
      <c r="G91" s="125">
        <v>0.0</v>
      </c>
      <c r="H91" s="125">
        <v>0.0</v>
      </c>
      <c r="I91" s="125">
        <v>0.0</v>
      </c>
      <c r="J91" s="125">
        <v>0.0</v>
      </c>
      <c r="K91" s="125">
        <v>0.0</v>
      </c>
      <c r="L91" s="125">
        <v>0.0</v>
      </c>
      <c r="M91" s="125">
        <v>0.0</v>
      </c>
      <c r="N91" s="125">
        <v>0.0</v>
      </c>
      <c r="O91" s="125"/>
      <c r="P91" s="125"/>
      <c r="Q91" s="125"/>
      <c r="R91" s="125"/>
      <c r="S91" s="125"/>
      <c r="T91" s="125"/>
      <c r="U91" s="125"/>
      <c r="V91" s="125"/>
    </row>
    <row r="92">
      <c r="A92" s="122" t="s">
        <v>611</v>
      </c>
      <c r="B92" s="122" t="s">
        <v>613</v>
      </c>
      <c r="C92" s="125">
        <v>1.6436358E7</v>
      </c>
      <c r="D92" s="125">
        <v>1.6267358E7</v>
      </c>
      <c r="E92" s="125">
        <v>605.0</v>
      </c>
      <c r="F92" s="125">
        <v>169000.0</v>
      </c>
      <c r="G92" s="125">
        <v>1.0028677E7</v>
      </c>
      <c r="H92" s="125">
        <v>6407681.0</v>
      </c>
      <c r="I92" s="125" t="s">
        <v>2687</v>
      </c>
      <c r="J92" s="125">
        <v>5273406.0</v>
      </c>
      <c r="K92" s="125">
        <v>620671.0</v>
      </c>
      <c r="L92" s="125">
        <v>21787.0</v>
      </c>
      <c r="M92" s="125">
        <v>2483239.0</v>
      </c>
      <c r="N92" s="125">
        <v>-1629574.0</v>
      </c>
      <c r="O92" s="125"/>
      <c r="P92" s="125"/>
      <c r="Q92" s="125"/>
      <c r="R92" s="125"/>
      <c r="S92" s="125"/>
      <c r="T92" s="125"/>
      <c r="U92" s="125"/>
      <c r="V92" s="125"/>
    </row>
    <row r="93">
      <c r="A93" s="122" t="s">
        <v>2053</v>
      </c>
      <c r="B93" s="122" t="s">
        <v>2054</v>
      </c>
      <c r="C93" s="125">
        <v>99990.0</v>
      </c>
      <c r="D93" s="125">
        <v>99990.0</v>
      </c>
      <c r="E93" s="125">
        <v>1.0</v>
      </c>
      <c r="F93" s="125">
        <v>0.0</v>
      </c>
      <c r="G93" s="125">
        <v>77287.0</v>
      </c>
      <c r="H93" s="125">
        <v>22703.0</v>
      </c>
      <c r="I93" s="125" t="s">
        <v>2688</v>
      </c>
      <c r="J93" s="125">
        <v>45146.0</v>
      </c>
      <c r="K93" s="125">
        <v>13519.0</v>
      </c>
      <c r="L93" s="125">
        <v>873.0</v>
      </c>
      <c r="M93" s="125">
        <v>12999.0</v>
      </c>
      <c r="N93" s="125">
        <v>-4750.0</v>
      </c>
      <c r="O93" s="125"/>
      <c r="P93" s="125"/>
      <c r="Q93" s="125"/>
      <c r="R93" s="125"/>
      <c r="S93" s="125"/>
      <c r="T93" s="125"/>
      <c r="U93" s="125"/>
      <c r="V93" s="125"/>
    </row>
    <row r="94">
      <c r="A94" s="122" t="s">
        <v>536</v>
      </c>
      <c r="B94" s="122" t="s">
        <v>538</v>
      </c>
      <c r="C94" s="125">
        <v>1491889.0</v>
      </c>
      <c r="D94" s="125">
        <v>1476889.0</v>
      </c>
      <c r="E94" s="125">
        <v>23.0</v>
      </c>
      <c r="F94" s="125">
        <v>15000.0</v>
      </c>
      <c r="G94" s="125">
        <v>984520.0</v>
      </c>
      <c r="H94" s="125">
        <v>507369.0</v>
      </c>
      <c r="I94" s="125" t="s">
        <v>2689</v>
      </c>
      <c r="J94" s="125">
        <v>674314.0</v>
      </c>
      <c r="K94" s="125">
        <v>22058.0</v>
      </c>
      <c r="L94" s="125">
        <v>6843.0</v>
      </c>
      <c r="M94" s="125">
        <v>191750.0</v>
      </c>
      <c r="N94" s="125">
        <v>-89555.0</v>
      </c>
      <c r="O94" s="125"/>
      <c r="P94" s="125"/>
      <c r="Q94" s="125"/>
      <c r="R94" s="125"/>
      <c r="S94" s="125"/>
      <c r="T94" s="125"/>
      <c r="U94" s="125"/>
      <c r="V94" s="125"/>
    </row>
    <row r="95">
      <c r="A95" s="122" t="s">
        <v>2055</v>
      </c>
      <c r="B95" s="122" t="s">
        <v>2056</v>
      </c>
      <c r="C95" s="125">
        <v>39960.0</v>
      </c>
      <c r="D95" s="125">
        <v>39960.0</v>
      </c>
      <c r="E95" s="125">
        <v>4.0</v>
      </c>
      <c r="F95" s="125">
        <v>0.0</v>
      </c>
      <c r="G95" s="125">
        <v>30643.0</v>
      </c>
      <c r="H95" s="125">
        <v>9317.0</v>
      </c>
      <c r="I95" s="125" t="s">
        <v>2690</v>
      </c>
      <c r="J95" s="125">
        <v>15600.0</v>
      </c>
      <c r="K95" s="125">
        <v>3176.0</v>
      </c>
      <c r="L95" s="125">
        <v>0.0</v>
      </c>
      <c r="M95" s="125">
        <v>7993.0</v>
      </c>
      <c r="N95" s="125">
        <v>-3874.0</v>
      </c>
      <c r="O95" s="125"/>
      <c r="P95" s="125"/>
      <c r="Q95" s="125"/>
      <c r="R95" s="125"/>
      <c r="S95" s="125"/>
      <c r="T95" s="125"/>
      <c r="U95" s="125"/>
      <c r="V95" s="125"/>
    </row>
    <row r="96">
      <c r="A96" s="122" t="s">
        <v>641</v>
      </c>
      <c r="B96" s="122" t="s">
        <v>2057</v>
      </c>
      <c r="C96" s="125">
        <v>0.0</v>
      </c>
      <c r="D96" s="125">
        <v>0.0</v>
      </c>
      <c r="E96" s="125">
        <v>0.0</v>
      </c>
      <c r="F96" s="125">
        <v>0.0</v>
      </c>
      <c r="G96" s="125">
        <v>0.0</v>
      </c>
      <c r="H96" s="125">
        <v>0.0</v>
      </c>
      <c r="I96" s="125">
        <v>0.0</v>
      </c>
      <c r="J96" s="125">
        <v>0.0</v>
      </c>
      <c r="K96" s="125">
        <v>0.0</v>
      </c>
      <c r="L96" s="125">
        <v>0.0</v>
      </c>
      <c r="M96" s="125">
        <v>0.0</v>
      </c>
      <c r="N96" s="125">
        <v>0.0</v>
      </c>
      <c r="O96" s="125"/>
      <c r="P96" s="125"/>
      <c r="Q96" s="125"/>
      <c r="R96" s="125"/>
      <c r="S96" s="125"/>
      <c r="T96" s="125"/>
      <c r="U96" s="125"/>
      <c r="V96" s="125"/>
    </row>
    <row r="97">
      <c r="A97" s="122" t="s">
        <v>603</v>
      </c>
      <c r="B97" s="122" t="s">
        <v>2058</v>
      </c>
      <c r="C97" s="125">
        <v>0.0</v>
      </c>
      <c r="D97" s="125">
        <v>0.0</v>
      </c>
      <c r="E97" s="125">
        <v>0.0</v>
      </c>
      <c r="F97" s="125">
        <v>0.0</v>
      </c>
      <c r="G97" s="125">
        <v>0.0</v>
      </c>
      <c r="H97" s="125">
        <v>0.0</v>
      </c>
      <c r="I97" s="125">
        <v>0.0</v>
      </c>
      <c r="J97" s="125">
        <v>0.0</v>
      </c>
      <c r="K97" s="125">
        <v>0.0</v>
      </c>
      <c r="L97" s="125">
        <v>0.0</v>
      </c>
      <c r="M97" s="125">
        <v>0.0</v>
      </c>
      <c r="N97" s="125">
        <v>0.0</v>
      </c>
      <c r="O97" s="125"/>
      <c r="P97" s="125"/>
      <c r="Q97" s="125"/>
      <c r="R97" s="125"/>
      <c r="S97" s="125"/>
      <c r="T97" s="125"/>
      <c r="U97" s="125"/>
      <c r="V97" s="125"/>
    </row>
    <row r="98">
      <c r="A98" s="122" t="s">
        <v>743</v>
      </c>
      <c r="B98" s="122" t="s">
        <v>1835</v>
      </c>
      <c r="C98" s="125">
        <v>1.4663004E7</v>
      </c>
      <c r="D98" s="125">
        <v>1.4313004E7</v>
      </c>
      <c r="E98" s="125">
        <v>84.0</v>
      </c>
      <c r="F98" s="125">
        <v>350000.0</v>
      </c>
      <c r="G98" s="125">
        <v>8529348.0</v>
      </c>
      <c r="H98" s="125">
        <v>6133656.0</v>
      </c>
      <c r="I98" s="125" t="s">
        <v>2691</v>
      </c>
      <c r="J98" s="125">
        <v>5303840.0</v>
      </c>
      <c r="K98" s="125">
        <v>409206.0</v>
      </c>
      <c r="L98" s="125">
        <v>35940.0</v>
      </c>
      <c r="M98" s="125">
        <v>2282893.0</v>
      </c>
      <c r="N98" s="125">
        <v>-497469.0</v>
      </c>
      <c r="O98" s="125"/>
      <c r="P98" s="125"/>
      <c r="Q98" s="125"/>
      <c r="R98" s="125"/>
      <c r="S98" s="125"/>
      <c r="T98" s="125"/>
      <c r="U98" s="125"/>
      <c r="V98" s="125"/>
    </row>
    <row r="99">
      <c r="A99" s="122" t="s">
        <v>733</v>
      </c>
      <c r="B99" s="122" t="s">
        <v>735</v>
      </c>
      <c r="C99" s="125">
        <v>6025822.0</v>
      </c>
      <c r="D99" s="125">
        <v>6025822.0</v>
      </c>
      <c r="E99" s="125">
        <v>769.0</v>
      </c>
      <c r="F99" s="125">
        <v>0.0</v>
      </c>
      <c r="G99" s="125">
        <v>3752406.0</v>
      </c>
      <c r="H99" s="125">
        <v>2273416.0</v>
      </c>
      <c r="I99" s="125" t="s">
        <v>2692</v>
      </c>
      <c r="J99" s="125">
        <v>2096778.0</v>
      </c>
      <c r="K99" s="125">
        <v>140590.0</v>
      </c>
      <c r="L99" s="125">
        <v>24458.0</v>
      </c>
      <c r="M99" s="125">
        <v>1366013.0</v>
      </c>
      <c r="N99" s="125">
        <v>-124567.0</v>
      </c>
      <c r="O99" s="125"/>
      <c r="P99" s="125"/>
      <c r="Q99" s="125"/>
      <c r="R99" s="125"/>
      <c r="S99" s="125"/>
      <c r="T99" s="125"/>
      <c r="U99" s="125"/>
      <c r="V99" s="125"/>
    </row>
    <row r="100">
      <c r="A100" s="122" t="s">
        <v>671</v>
      </c>
      <c r="B100" s="122" t="s">
        <v>673</v>
      </c>
      <c r="C100" s="125">
        <v>2430595.0</v>
      </c>
      <c r="D100" s="125">
        <v>2424595.0</v>
      </c>
      <c r="E100" s="125">
        <v>125.0</v>
      </c>
      <c r="F100" s="125">
        <v>6000.0</v>
      </c>
      <c r="G100" s="125">
        <v>1672971.0</v>
      </c>
      <c r="H100" s="125">
        <v>757624.0</v>
      </c>
      <c r="I100" s="125" t="s">
        <v>2693</v>
      </c>
      <c r="J100" s="125">
        <v>1038280.0</v>
      </c>
      <c r="K100" s="125">
        <v>134474.0</v>
      </c>
      <c r="L100" s="125">
        <v>4921.0</v>
      </c>
      <c r="M100" s="125">
        <v>465206.0</v>
      </c>
      <c r="N100" s="125">
        <v>-30090.0</v>
      </c>
      <c r="O100" s="125"/>
      <c r="P100" s="125"/>
      <c r="Q100" s="125"/>
      <c r="R100" s="125"/>
      <c r="S100" s="125"/>
      <c r="T100" s="125"/>
      <c r="U100" s="125"/>
      <c r="V100" s="125"/>
    </row>
    <row r="101">
      <c r="A101" s="122" t="s">
        <v>459</v>
      </c>
      <c r="B101" s="122" t="s">
        <v>461</v>
      </c>
      <c r="C101" s="125">
        <v>3.8404067E7</v>
      </c>
      <c r="D101" s="125">
        <v>3.7746067E7</v>
      </c>
      <c r="E101" s="125">
        <v>766.0</v>
      </c>
      <c r="F101" s="125">
        <v>658000.0</v>
      </c>
      <c r="G101" s="125">
        <v>2.3750343E7</v>
      </c>
      <c r="H101" s="125">
        <v>1.4653724E7</v>
      </c>
      <c r="I101" s="125" t="s">
        <v>2694</v>
      </c>
      <c r="J101" s="125">
        <v>1.4437384E7</v>
      </c>
      <c r="K101" s="125">
        <v>964121.0</v>
      </c>
      <c r="L101" s="125">
        <v>22239.0</v>
      </c>
      <c r="M101" s="125">
        <v>5773676.0</v>
      </c>
      <c r="N101" s="125">
        <v>-2552923.0</v>
      </c>
      <c r="O101" s="125"/>
      <c r="P101" s="125"/>
      <c r="Q101" s="125"/>
      <c r="R101" s="125"/>
      <c r="S101" s="125"/>
      <c r="T101" s="125"/>
      <c r="U101" s="125"/>
      <c r="V101" s="125"/>
    </row>
    <row r="102">
      <c r="A102" s="122" t="s">
        <v>2059</v>
      </c>
      <c r="B102" s="122" t="s">
        <v>2060</v>
      </c>
      <c r="C102" s="125">
        <v>0.0</v>
      </c>
      <c r="D102" s="125">
        <v>0.0</v>
      </c>
      <c r="E102" s="125">
        <v>0.0</v>
      </c>
      <c r="F102" s="125">
        <v>0.0</v>
      </c>
      <c r="G102" s="125">
        <v>0.0</v>
      </c>
      <c r="H102" s="125">
        <v>0.0</v>
      </c>
      <c r="I102" s="125">
        <v>0.0</v>
      </c>
      <c r="J102" s="125">
        <v>0.0</v>
      </c>
      <c r="K102" s="125">
        <v>0.0</v>
      </c>
      <c r="L102" s="125">
        <v>0.0</v>
      </c>
      <c r="M102" s="125">
        <v>0.0</v>
      </c>
      <c r="N102" s="125">
        <v>0.0</v>
      </c>
      <c r="O102" s="125"/>
      <c r="P102" s="125"/>
      <c r="Q102" s="125"/>
      <c r="R102" s="125"/>
      <c r="S102" s="125"/>
      <c r="T102" s="125"/>
      <c r="U102" s="125"/>
      <c r="V102" s="125"/>
    </row>
    <row r="103">
      <c r="A103" s="122" t="s">
        <v>765</v>
      </c>
      <c r="B103" s="122" t="s">
        <v>767</v>
      </c>
      <c r="C103" s="125">
        <v>0.0</v>
      </c>
      <c r="D103" s="125">
        <v>0.0</v>
      </c>
      <c r="E103" s="125">
        <v>0.0</v>
      </c>
      <c r="F103" s="125">
        <v>0.0</v>
      </c>
      <c r="G103" s="125">
        <v>0.0</v>
      </c>
      <c r="H103" s="125">
        <v>0.0</v>
      </c>
      <c r="I103" s="125">
        <v>0.0</v>
      </c>
      <c r="J103" s="125">
        <v>0.0</v>
      </c>
      <c r="K103" s="125">
        <v>0.0</v>
      </c>
      <c r="L103" s="125">
        <v>0.0</v>
      </c>
      <c r="M103" s="125">
        <v>0.0</v>
      </c>
      <c r="N103" s="125">
        <v>0.0</v>
      </c>
      <c r="O103" s="125"/>
      <c r="P103" s="125"/>
      <c r="Q103" s="125"/>
      <c r="R103" s="125"/>
      <c r="S103" s="125"/>
      <c r="T103" s="125"/>
      <c r="U103" s="125"/>
      <c r="V103" s="125"/>
    </row>
    <row r="104">
      <c r="A104" s="122" t="s">
        <v>908</v>
      </c>
      <c r="B104" s="122" t="s">
        <v>909</v>
      </c>
      <c r="C104" s="125">
        <v>1220880.0</v>
      </c>
      <c r="D104" s="125">
        <v>1220880.0</v>
      </c>
      <c r="E104" s="125">
        <v>50.0</v>
      </c>
      <c r="F104" s="125">
        <v>0.0</v>
      </c>
      <c r="G104" s="125">
        <v>840291.0</v>
      </c>
      <c r="H104" s="125">
        <v>380589.0</v>
      </c>
      <c r="I104" s="125" t="s">
        <v>2693</v>
      </c>
      <c r="J104" s="125">
        <v>502108.0</v>
      </c>
      <c r="K104" s="125">
        <v>62490.0</v>
      </c>
      <c r="L104" s="125">
        <v>1732.0</v>
      </c>
      <c r="M104" s="125">
        <v>190405.0</v>
      </c>
      <c r="N104" s="125">
        <v>-83556.0</v>
      </c>
      <c r="O104" s="125"/>
      <c r="P104" s="125"/>
      <c r="Q104" s="125"/>
      <c r="R104" s="125"/>
      <c r="S104" s="125"/>
      <c r="T104" s="125"/>
      <c r="U104" s="125"/>
      <c r="V104" s="125"/>
    </row>
    <row r="105">
      <c r="A105" s="122" t="s">
        <v>502</v>
      </c>
      <c r="B105" s="122" t="s">
        <v>504</v>
      </c>
      <c r="C105" s="125">
        <v>2.8073872E7</v>
      </c>
      <c r="D105" s="125">
        <v>2.8073872E7</v>
      </c>
      <c r="E105" s="125">
        <v>433.0</v>
      </c>
      <c r="F105" s="125">
        <v>0.0</v>
      </c>
      <c r="G105" s="125">
        <v>1.8839392E7</v>
      </c>
      <c r="H105" s="125">
        <v>9234480.0</v>
      </c>
      <c r="I105" s="125" t="s">
        <v>2695</v>
      </c>
      <c r="J105" s="125">
        <v>9973978.0</v>
      </c>
      <c r="K105" s="125">
        <v>913450.0</v>
      </c>
      <c r="L105" s="125">
        <v>185500.0</v>
      </c>
      <c r="M105" s="125">
        <v>4488663.0</v>
      </c>
      <c r="N105" s="125">
        <v>-3277801.0</v>
      </c>
      <c r="O105" s="125"/>
      <c r="P105" s="125"/>
      <c r="Q105" s="125"/>
      <c r="R105" s="125"/>
      <c r="S105" s="125"/>
      <c r="T105" s="125"/>
      <c r="U105" s="125"/>
      <c r="V105" s="125"/>
    </row>
    <row r="106">
      <c r="A106" s="122" t="s">
        <v>554</v>
      </c>
      <c r="B106" s="122" t="s">
        <v>1849</v>
      </c>
      <c r="C106" s="125">
        <v>6.2261629E7</v>
      </c>
      <c r="D106" s="125">
        <v>5.9143859E7</v>
      </c>
      <c r="E106" s="125">
        <v>2956.0</v>
      </c>
      <c r="F106" s="125">
        <v>3117770.0</v>
      </c>
      <c r="G106" s="125">
        <v>4.3270988E7</v>
      </c>
      <c r="H106" s="125">
        <v>1.8990641E7</v>
      </c>
      <c r="I106" s="125" t="s">
        <v>2696</v>
      </c>
      <c r="J106" s="125">
        <v>2.8837616E7</v>
      </c>
      <c r="K106" s="125">
        <v>2428966.0</v>
      </c>
      <c r="L106" s="125">
        <v>63888.0</v>
      </c>
      <c r="M106" s="125">
        <v>9303044.0</v>
      </c>
      <c r="N106" s="125">
        <v>-2637474.0</v>
      </c>
      <c r="O106" s="125"/>
      <c r="P106" s="125"/>
      <c r="Q106" s="125"/>
      <c r="R106" s="125"/>
      <c r="S106" s="125"/>
      <c r="T106" s="125"/>
      <c r="U106" s="125"/>
      <c r="V106" s="125"/>
    </row>
    <row r="107">
      <c r="A107" s="122" t="s">
        <v>2061</v>
      </c>
      <c r="B107" s="122" t="s">
        <v>2062</v>
      </c>
      <c r="C107" s="125">
        <v>0.0</v>
      </c>
      <c r="D107" s="125">
        <v>0.0</v>
      </c>
      <c r="E107" s="125">
        <v>0.0</v>
      </c>
      <c r="F107" s="125">
        <v>0.0</v>
      </c>
      <c r="G107" s="125">
        <v>0.0</v>
      </c>
      <c r="H107" s="125">
        <v>0.0</v>
      </c>
      <c r="I107" s="125">
        <v>0.0</v>
      </c>
      <c r="J107" s="125">
        <v>0.0</v>
      </c>
      <c r="K107" s="125">
        <v>0.0</v>
      </c>
      <c r="L107" s="125">
        <v>0.0</v>
      </c>
      <c r="M107" s="125">
        <v>0.0</v>
      </c>
      <c r="N107" s="125">
        <v>0.0</v>
      </c>
      <c r="O107" s="125"/>
      <c r="P107" s="125"/>
      <c r="Q107" s="125"/>
      <c r="R107" s="125"/>
      <c r="S107" s="125"/>
      <c r="T107" s="125"/>
      <c r="U107" s="125"/>
      <c r="V107" s="125"/>
    </row>
    <row r="108">
      <c r="A108" s="122" t="s">
        <v>589</v>
      </c>
      <c r="B108" s="122" t="s">
        <v>2063</v>
      </c>
      <c r="C108" s="125">
        <v>0.0</v>
      </c>
      <c r="D108" s="125">
        <v>0.0</v>
      </c>
      <c r="E108" s="125">
        <v>0.0</v>
      </c>
      <c r="F108" s="125">
        <v>0.0</v>
      </c>
      <c r="G108" s="125">
        <v>0.0</v>
      </c>
      <c r="H108" s="125">
        <v>0.0</v>
      </c>
      <c r="I108" s="125">
        <v>0.0</v>
      </c>
      <c r="J108" s="125">
        <v>0.0</v>
      </c>
      <c r="K108" s="125">
        <v>0.0</v>
      </c>
      <c r="L108" s="125">
        <v>0.0</v>
      </c>
      <c r="M108" s="125">
        <v>0.0</v>
      </c>
      <c r="N108" s="125">
        <v>0.0</v>
      </c>
      <c r="O108" s="125"/>
      <c r="P108" s="125"/>
      <c r="Q108" s="125"/>
      <c r="R108" s="125"/>
      <c r="S108" s="125"/>
      <c r="T108" s="125"/>
      <c r="U108" s="125"/>
      <c r="V108" s="125"/>
    </row>
    <row r="109">
      <c r="A109" s="122" t="s">
        <v>747</v>
      </c>
      <c r="B109" s="122" t="s">
        <v>749</v>
      </c>
      <c r="C109" s="125">
        <v>1.4628817E7</v>
      </c>
      <c r="D109" s="125">
        <v>1.4428817E7</v>
      </c>
      <c r="E109" s="125">
        <v>77.0</v>
      </c>
      <c r="F109" s="125">
        <v>200000.0</v>
      </c>
      <c r="G109" s="125">
        <v>6868533.0</v>
      </c>
      <c r="H109" s="125">
        <v>7760284.0</v>
      </c>
      <c r="I109" s="125" t="s">
        <v>2697</v>
      </c>
      <c r="J109" s="125">
        <v>3459799.0</v>
      </c>
      <c r="K109" s="125">
        <v>438286.0</v>
      </c>
      <c r="L109" s="125">
        <v>6020.0</v>
      </c>
      <c r="M109" s="125">
        <v>2636588.0</v>
      </c>
      <c r="N109" s="125">
        <v>-327840.0</v>
      </c>
      <c r="O109" s="125"/>
      <c r="P109" s="125"/>
      <c r="Q109" s="125"/>
      <c r="R109" s="125"/>
      <c r="S109" s="125"/>
      <c r="T109" s="125"/>
      <c r="U109" s="125"/>
      <c r="V109" s="125"/>
    </row>
    <row r="110">
      <c r="A110" s="122" t="s">
        <v>768</v>
      </c>
      <c r="B110" s="122" t="s">
        <v>770</v>
      </c>
      <c r="C110" s="125">
        <v>99858.0</v>
      </c>
      <c r="D110" s="125">
        <v>99858.0</v>
      </c>
      <c r="E110" s="125">
        <v>6.0</v>
      </c>
      <c r="F110" s="125">
        <v>0.0</v>
      </c>
      <c r="G110" s="125">
        <v>90446.0</v>
      </c>
      <c r="H110" s="125">
        <v>9412.0</v>
      </c>
      <c r="I110" s="125" t="s">
        <v>2698</v>
      </c>
      <c r="J110" s="125">
        <v>63870.0</v>
      </c>
      <c r="K110" s="125">
        <v>4534.0</v>
      </c>
      <c r="L110" s="125">
        <v>439.0</v>
      </c>
      <c r="M110" s="125">
        <v>20261.0</v>
      </c>
      <c r="N110" s="125">
        <v>-1342.0</v>
      </c>
      <c r="O110" s="125"/>
      <c r="P110" s="125"/>
      <c r="Q110" s="125"/>
      <c r="R110" s="125"/>
      <c r="S110" s="125"/>
      <c r="T110" s="125"/>
      <c r="U110" s="125"/>
      <c r="V110" s="125"/>
    </row>
    <row r="111">
      <c r="A111" s="122" t="s">
        <v>2064</v>
      </c>
      <c r="B111" s="122" t="s">
        <v>2065</v>
      </c>
      <c r="C111" s="125">
        <v>0.0</v>
      </c>
      <c r="D111" s="125">
        <v>0.0</v>
      </c>
      <c r="E111" s="125">
        <v>0.0</v>
      </c>
      <c r="F111" s="125">
        <v>0.0</v>
      </c>
      <c r="G111" s="125">
        <v>0.0</v>
      </c>
      <c r="H111" s="125">
        <v>0.0</v>
      </c>
      <c r="I111" s="125">
        <v>0.0</v>
      </c>
      <c r="J111" s="125">
        <v>0.0</v>
      </c>
      <c r="K111" s="125">
        <v>0.0</v>
      </c>
      <c r="L111" s="125">
        <v>0.0</v>
      </c>
      <c r="M111" s="125">
        <v>0.0</v>
      </c>
      <c r="N111" s="125">
        <v>0.0</v>
      </c>
      <c r="O111" s="125"/>
      <c r="P111" s="125"/>
      <c r="Q111" s="125"/>
      <c r="R111" s="125"/>
      <c r="S111" s="125"/>
      <c r="T111" s="125"/>
      <c r="U111" s="125"/>
      <c r="V111" s="125"/>
    </row>
    <row r="112">
      <c r="A112" s="122" t="s">
        <v>580</v>
      </c>
      <c r="B112" s="122" t="s">
        <v>1888</v>
      </c>
      <c r="C112" s="125">
        <v>0.0</v>
      </c>
      <c r="D112" s="125">
        <v>0.0</v>
      </c>
      <c r="E112" s="125">
        <v>0.0</v>
      </c>
      <c r="F112" s="125">
        <v>0.0</v>
      </c>
      <c r="G112" s="125">
        <v>0.0</v>
      </c>
      <c r="H112" s="125">
        <v>0.0</v>
      </c>
      <c r="I112" s="125">
        <v>0.0</v>
      </c>
      <c r="J112" s="125">
        <v>0.0</v>
      </c>
      <c r="K112" s="125">
        <v>0.0</v>
      </c>
      <c r="L112" s="125">
        <v>0.0</v>
      </c>
      <c r="M112" s="125">
        <v>0.0</v>
      </c>
      <c r="N112" s="125">
        <v>0.0</v>
      </c>
      <c r="O112" s="125"/>
      <c r="P112" s="125"/>
      <c r="Q112" s="125"/>
      <c r="R112" s="125"/>
      <c r="S112" s="125"/>
      <c r="T112" s="125"/>
      <c r="U112" s="125"/>
      <c r="V112" s="125"/>
    </row>
    <row r="113">
      <c r="A113" s="122" t="s">
        <v>845</v>
      </c>
      <c r="B113" s="122" t="s">
        <v>1932</v>
      </c>
      <c r="C113" s="125">
        <v>2419596.0</v>
      </c>
      <c r="D113" s="125">
        <v>2401596.0</v>
      </c>
      <c r="E113" s="125">
        <v>30.0</v>
      </c>
      <c r="F113" s="125">
        <v>18000.0</v>
      </c>
      <c r="G113" s="125">
        <v>2132254.0</v>
      </c>
      <c r="H113" s="125">
        <v>287342.0</v>
      </c>
      <c r="I113" s="125" t="s">
        <v>2699</v>
      </c>
      <c r="J113" s="125">
        <v>1622910.0</v>
      </c>
      <c r="K113" s="125">
        <v>99722.0</v>
      </c>
      <c r="L113" s="125">
        <v>277.0</v>
      </c>
      <c r="M113" s="125">
        <v>290358.0</v>
      </c>
      <c r="N113" s="125">
        <v>-118987.0</v>
      </c>
      <c r="O113" s="125"/>
      <c r="P113" s="125"/>
      <c r="Q113" s="125"/>
      <c r="R113" s="125"/>
      <c r="S113" s="125"/>
      <c r="T113" s="125"/>
      <c r="U113" s="125"/>
      <c r="V113" s="125"/>
    </row>
    <row r="114">
      <c r="A114" s="122" t="s">
        <v>894</v>
      </c>
      <c r="B114" s="122" t="s">
        <v>1869</v>
      </c>
      <c r="C114" s="125">
        <v>12990.0</v>
      </c>
      <c r="D114" s="125">
        <v>12990.0</v>
      </c>
      <c r="E114" s="125">
        <v>1.0</v>
      </c>
      <c r="F114" s="125">
        <v>0.0</v>
      </c>
      <c r="G114" s="125">
        <v>10004.0</v>
      </c>
      <c r="H114" s="125">
        <v>2986.0</v>
      </c>
      <c r="I114" s="125" t="s">
        <v>2700</v>
      </c>
      <c r="J114" s="125">
        <v>7055.0</v>
      </c>
      <c r="K114" s="125">
        <v>0.0</v>
      </c>
      <c r="L114" s="125">
        <v>0.0</v>
      </c>
      <c r="M114" s="125">
        <v>1949.0</v>
      </c>
      <c r="N114" s="125">
        <v>-1000.0</v>
      </c>
      <c r="O114" s="125"/>
      <c r="P114" s="125"/>
      <c r="Q114" s="125"/>
      <c r="R114" s="125"/>
      <c r="S114" s="125"/>
      <c r="T114" s="125"/>
      <c r="U114" s="125"/>
      <c r="V114" s="125"/>
    </row>
    <row r="115">
      <c r="A115" s="122" t="s">
        <v>1991</v>
      </c>
      <c r="B115" s="122" t="s">
        <v>467</v>
      </c>
      <c r="C115" s="125">
        <v>9.8512836E7</v>
      </c>
      <c r="D115" s="125">
        <v>8.5895506E7</v>
      </c>
      <c r="E115" s="125">
        <v>4026.0</v>
      </c>
      <c r="F115" s="125">
        <v>1.261733E7</v>
      </c>
      <c r="G115" s="125">
        <v>6.4642357E7</v>
      </c>
      <c r="H115" s="125">
        <v>3.3870479E7</v>
      </c>
      <c r="I115" s="125" t="s">
        <v>2701</v>
      </c>
      <c r="J115" s="125">
        <v>3.1680723E7</v>
      </c>
      <c r="K115" s="125">
        <v>2957615.0</v>
      </c>
      <c r="L115" s="125">
        <v>54433.0</v>
      </c>
      <c r="M115" s="125">
        <v>1.8249163E7</v>
      </c>
      <c r="N115" s="125">
        <v>-1.1700423E7</v>
      </c>
      <c r="O115" s="125"/>
      <c r="P115" s="125"/>
      <c r="Q115" s="125"/>
      <c r="R115" s="125"/>
      <c r="S115" s="125"/>
      <c r="T115" s="125"/>
      <c r="U115" s="125"/>
      <c r="V115" s="125"/>
    </row>
    <row r="116">
      <c r="A116" s="122" t="s">
        <v>2068</v>
      </c>
      <c r="B116" s="122" t="s">
        <v>2069</v>
      </c>
      <c r="C116" s="125">
        <v>0.0</v>
      </c>
      <c r="D116" s="125">
        <v>0.0</v>
      </c>
      <c r="E116" s="125">
        <v>0.0</v>
      </c>
      <c r="F116" s="125">
        <v>0.0</v>
      </c>
      <c r="G116" s="125">
        <v>0.0</v>
      </c>
      <c r="H116" s="125">
        <v>0.0</v>
      </c>
      <c r="I116" s="125">
        <v>0.0</v>
      </c>
      <c r="J116" s="125">
        <v>0.0</v>
      </c>
      <c r="K116" s="125">
        <v>0.0</v>
      </c>
      <c r="L116" s="125">
        <v>0.0</v>
      </c>
      <c r="M116" s="125">
        <v>0.0</v>
      </c>
      <c r="N116" s="125">
        <v>0.0</v>
      </c>
      <c r="O116" s="125"/>
      <c r="P116" s="125"/>
      <c r="Q116" s="125"/>
      <c r="R116" s="125"/>
      <c r="S116" s="125"/>
      <c r="T116" s="125"/>
      <c r="U116" s="125"/>
      <c r="V116" s="125"/>
    </row>
    <row r="117">
      <c r="A117" s="122" t="s">
        <v>539</v>
      </c>
      <c r="B117" s="122" t="s">
        <v>541</v>
      </c>
      <c r="C117" s="125">
        <v>1204950.0</v>
      </c>
      <c r="D117" s="125">
        <v>1204950.0</v>
      </c>
      <c r="E117" s="125">
        <v>11.0</v>
      </c>
      <c r="F117" s="125">
        <v>0.0</v>
      </c>
      <c r="G117" s="125">
        <v>1091682.0</v>
      </c>
      <c r="H117" s="125">
        <v>113268.0</v>
      </c>
      <c r="I117" s="125" t="s">
        <v>2702</v>
      </c>
      <c r="J117" s="125">
        <v>563002.0</v>
      </c>
      <c r="K117" s="125">
        <v>240676.0</v>
      </c>
      <c r="L117" s="125">
        <v>19780.0</v>
      </c>
      <c r="M117" s="125">
        <v>170525.0</v>
      </c>
      <c r="N117" s="125">
        <v>-97699.0</v>
      </c>
      <c r="O117" s="125"/>
      <c r="P117" s="125"/>
      <c r="Q117" s="125"/>
      <c r="R117" s="125"/>
      <c r="S117" s="125"/>
      <c r="T117" s="125"/>
      <c r="U117" s="125"/>
      <c r="V117" s="125"/>
    </row>
    <row r="118">
      <c r="A118" s="122" t="s">
        <v>798</v>
      </c>
      <c r="B118" s="122" t="s">
        <v>800</v>
      </c>
      <c r="C118" s="125">
        <v>4.0419515E7</v>
      </c>
      <c r="D118" s="125">
        <v>4.0350515E7</v>
      </c>
      <c r="E118" s="125">
        <v>1954.0</v>
      </c>
      <c r="F118" s="125">
        <v>69000.0</v>
      </c>
      <c r="G118" s="125">
        <v>2.5442507E7</v>
      </c>
      <c r="H118" s="125">
        <v>1.4977008E7</v>
      </c>
      <c r="I118" s="125" t="s">
        <v>2703</v>
      </c>
      <c r="J118" s="125">
        <v>1.4252843E7</v>
      </c>
      <c r="K118" s="125">
        <v>1085551.0</v>
      </c>
      <c r="L118" s="125">
        <v>341860.0</v>
      </c>
      <c r="M118" s="125">
        <v>8047886.0</v>
      </c>
      <c r="N118" s="125">
        <v>-1714367.0</v>
      </c>
      <c r="O118" s="125"/>
      <c r="P118" s="125"/>
      <c r="Q118" s="125"/>
      <c r="R118" s="125"/>
      <c r="S118" s="125"/>
      <c r="T118" s="125"/>
      <c r="U118" s="125"/>
      <c r="V118" s="125"/>
    </row>
    <row r="119">
      <c r="A119" s="122" t="s">
        <v>856</v>
      </c>
      <c r="B119" s="122" t="s">
        <v>858</v>
      </c>
      <c r="C119" s="125">
        <v>5478427.0</v>
      </c>
      <c r="D119" s="125">
        <v>5387877.0</v>
      </c>
      <c r="E119" s="125">
        <v>276.0</v>
      </c>
      <c r="F119" s="125">
        <v>90550.0</v>
      </c>
      <c r="G119" s="125">
        <v>3893019.0</v>
      </c>
      <c r="H119" s="125">
        <v>1585408.0</v>
      </c>
      <c r="I119" s="125" t="s">
        <v>2704</v>
      </c>
      <c r="J119" s="125">
        <v>2381844.0</v>
      </c>
      <c r="K119" s="125">
        <v>454108.0</v>
      </c>
      <c r="L119" s="125">
        <v>1057.0</v>
      </c>
      <c r="M119" s="125">
        <v>956718.0</v>
      </c>
      <c r="N119" s="125">
        <v>-99292.0</v>
      </c>
      <c r="O119" s="125"/>
      <c r="P119" s="125"/>
      <c r="Q119" s="125"/>
      <c r="R119" s="125"/>
      <c r="S119" s="125"/>
      <c r="T119" s="125"/>
      <c r="U119" s="125"/>
      <c r="V119" s="125"/>
    </row>
    <row r="120">
      <c r="A120" s="122" t="s">
        <v>2070</v>
      </c>
      <c r="B120" s="122" t="s">
        <v>2071</v>
      </c>
      <c r="C120" s="125">
        <v>0.0</v>
      </c>
      <c r="D120" s="125">
        <v>0.0</v>
      </c>
      <c r="E120" s="125">
        <v>0.0</v>
      </c>
      <c r="F120" s="125">
        <v>0.0</v>
      </c>
      <c r="G120" s="125">
        <v>0.0</v>
      </c>
      <c r="H120" s="125">
        <v>0.0</v>
      </c>
      <c r="I120" s="125">
        <v>0.0</v>
      </c>
      <c r="J120" s="125">
        <v>0.0</v>
      </c>
      <c r="K120" s="125">
        <v>0.0</v>
      </c>
      <c r="L120" s="125">
        <v>0.0</v>
      </c>
      <c r="M120" s="125">
        <v>0.0</v>
      </c>
      <c r="N120" s="125">
        <v>0.0</v>
      </c>
      <c r="O120" s="125"/>
      <c r="P120" s="125"/>
      <c r="Q120" s="125"/>
      <c r="R120" s="125"/>
      <c r="S120" s="125"/>
      <c r="T120" s="125"/>
      <c r="U120" s="125"/>
      <c r="V120" s="125"/>
    </row>
    <row r="121">
      <c r="A121" s="122" t="s">
        <v>2072</v>
      </c>
      <c r="B121" s="122" t="s">
        <v>2073</v>
      </c>
      <c r="C121" s="125">
        <v>0.0</v>
      </c>
      <c r="D121" s="125">
        <v>0.0</v>
      </c>
      <c r="E121" s="125">
        <v>0.0</v>
      </c>
      <c r="F121" s="125">
        <v>0.0</v>
      </c>
      <c r="G121" s="125">
        <v>0.0</v>
      </c>
      <c r="H121" s="125">
        <v>0.0</v>
      </c>
      <c r="I121" s="125">
        <v>0.0</v>
      </c>
      <c r="J121" s="125">
        <v>0.0</v>
      </c>
      <c r="K121" s="125">
        <v>0.0</v>
      </c>
      <c r="L121" s="125">
        <v>0.0</v>
      </c>
      <c r="M121" s="125">
        <v>0.0</v>
      </c>
      <c r="N121" s="125">
        <v>0.0</v>
      </c>
      <c r="O121" s="125"/>
      <c r="P121" s="125"/>
      <c r="Q121" s="125"/>
      <c r="R121" s="125"/>
      <c r="S121" s="125"/>
      <c r="T121" s="125"/>
      <c r="U121" s="125"/>
      <c r="V121" s="125"/>
    </row>
    <row r="122">
      <c r="A122" s="122" t="s">
        <v>870</v>
      </c>
      <c r="B122" s="122" t="s">
        <v>2705</v>
      </c>
      <c r="C122" s="125">
        <v>5788615.0</v>
      </c>
      <c r="D122" s="125">
        <v>5686615.0</v>
      </c>
      <c r="E122" s="125">
        <v>105.0</v>
      </c>
      <c r="F122" s="125">
        <v>102000.0</v>
      </c>
      <c r="G122" s="125">
        <v>4147311.0</v>
      </c>
      <c r="H122" s="125">
        <v>1641304.0</v>
      </c>
      <c r="I122" s="125" t="s">
        <v>2706</v>
      </c>
      <c r="J122" s="125">
        <v>2741130.0</v>
      </c>
      <c r="K122" s="125">
        <v>306998.0</v>
      </c>
      <c r="L122" s="125">
        <v>4129.0</v>
      </c>
      <c r="M122" s="125">
        <v>698166.0</v>
      </c>
      <c r="N122" s="125">
        <v>-396888.0</v>
      </c>
      <c r="O122" s="125"/>
      <c r="P122" s="125"/>
      <c r="Q122" s="125"/>
      <c r="R122" s="125"/>
      <c r="S122" s="125"/>
      <c r="T122" s="125"/>
      <c r="U122" s="125"/>
      <c r="V122" s="125"/>
    </row>
    <row r="123">
      <c r="A123" s="122" t="s">
        <v>2074</v>
      </c>
      <c r="B123" s="122" t="s">
        <v>2075</v>
      </c>
      <c r="C123" s="125">
        <v>0.0</v>
      </c>
      <c r="D123" s="125">
        <v>0.0</v>
      </c>
      <c r="E123" s="125">
        <v>0.0</v>
      </c>
      <c r="F123" s="125">
        <v>0.0</v>
      </c>
      <c r="G123" s="125">
        <v>0.0</v>
      </c>
      <c r="H123" s="125">
        <v>0.0</v>
      </c>
      <c r="I123" s="125">
        <v>0.0</v>
      </c>
      <c r="J123" s="125">
        <v>0.0</v>
      </c>
      <c r="K123" s="125">
        <v>0.0</v>
      </c>
      <c r="L123" s="125">
        <v>0.0</v>
      </c>
      <c r="M123" s="125">
        <v>0.0</v>
      </c>
      <c r="N123" s="125">
        <v>0.0</v>
      </c>
      <c r="O123" s="125"/>
      <c r="P123" s="125"/>
      <c r="Q123" s="125"/>
      <c r="R123" s="125"/>
      <c r="S123" s="125"/>
      <c r="T123" s="125"/>
      <c r="U123" s="125"/>
      <c r="V123" s="125"/>
    </row>
    <row r="124">
      <c r="A124" s="122" t="s">
        <v>1990</v>
      </c>
      <c r="B124" s="122" t="s">
        <v>2241</v>
      </c>
      <c r="C124" s="125">
        <v>1.9965499E7</v>
      </c>
      <c r="D124" s="125">
        <v>1.9674499E7</v>
      </c>
      <c r="E124" s="125">
        <v>429.0</v>
      </c>
      <c r="F124" s="125">
        <v>291000.0</v>
      </c>
      <c r="G124" s="125">
        <v>1.3052151E7</v>
      </c>
      <c r="H124" s="125">
        <v>6913348.0</v>
      </c>
      <c r="I124" s="125" t="s">
        <v>2707</v>
      </c>
      <c r="J124" s="125">
        <v>8410544.0</v>
      </c>
      <c r="K124" s="125">
        <v>551930.0</v>
      </c>
      <c r="L124" s="125">
        <v>16258.0</v>
      </c>
      <c r="M124" s="125">
        <v>2774163.0</v>
      </c>
      <c r="N124" s="125">
        <v>-1299256.0</v>
      </c>
      <c r="O124" s="125"/>
      <c r="P124" s="125"/>
      <c r="Q124" s="125"/>
      <c r="R124" s="125"/>
      <c r="S124" s="125"/>
      <c r="T124" s="125"/>
      <c r="U124" s="125"/>
      <c r="V124" s="125"/>
    </row>
    <row r="125">
      <c r="A125" s="122" t="s">
        <v>2076</v>
      </c>
      <c r="B125" s="122" t="s">
        <v>2051</v>
      </c>
      <c r="C125" s="125">
        <v>0.0</v>
      </c>
      <c r="D125" s="125">
        <v>0.0</v>
      </c>
      <c r="E125" s="125">
        <v>0.0</v>
      </c>
      <c r="F125" s="125">
        <v>0.0</v>
      </c>
      <c r="G125" s="125">
        <v>0.0</v>
      </c>
      <c r="H125" s="125">
        <v>0.0</v>
      </c>
      <c r="I125" s="125">
        <v>0.0</v>
      </c>
      <c r="J125" s="125">
        <v>0.0</v>
      </c>
      <c r="K125" s="125">
        <v>0.0</v>
      </c>
      <c r="L125" s="125">
        <v>0.0</v>
      </c>
      <c r="M125" s="125">
        <v>0.0</v>
      </c>
      <c r="N125" s="125">
        <v>0.0</v>
      </c>
      <c r="O125" s="125"/>
      <c r="P125" s="125"/>
      <c r="Q125" s="125"/>
      <c r="R125" s="125"/>
      <c r="S125" s="125"/>
      <c r="T125" s="125"/>
      <c r="U125" s="125"/>
      <c r="V125" s="125"/>
    </row>
    <row r="126">
      <c r="A126" s="122" t="s">
        <v>525</v>
      </c>
      <c r="B126" s="122" t="s">
        <v>527</v>
      </c>
      <c r="C126" s="125">
        <v>1.905487E7</v>
      </c>
      <c r="D126" s="125">
        <v>1.871487E7</v>
      </c>
      <c r="E126" s="125">
        <v>277.0</v>
      </c>
      <c r="F126" s="125">
        <v>340000.0</v>
      </c>
      <c r="G126" s="125">
        <v>1.2651414E7</v>
      </c>
      <c r="H126" s="125">
        <v>6403456.0</v>
      </c>
      <c r="I126" s="125" t="s">
        <v>2708</v>
      </c>
      <c r="J126" s="125">
        <v>7774586.0</v>
      </c>
      <c r="K126" s="125">
        <v>381742.0</v>
      </c>
      <c r="L126" s="125">
        <v>49060.0</v>
      </c>
      <c r="M126" s="125">
        <v>2987756.0</v>
      </c>
      <c r="N126" s="125">
        <v>-1458270.0</v>
      </c>
      <c r="O126" s="125"/>
      <c r="P126" s="125"/>
      <c r="Q126" s="125"/>
      <c r="R126" s="125"/>
      <c r="S126" s="125"/>
      <c r="T126" s="125"/>
      <c r="U126" s="125"/>
      <c r="V126" s="125"/>
    </row>
    <row r="127">
      <c r="A127" s="122" t="s">
        <v>2077</v>
      </c>
      <c r="B127" s="122" t="s">
        <v>2078</v>
      </c>
      <c r="C127" s="125">
        <v>0.0</v>
      </c>
      <c r="D127" s="125">
        <v>0.0</v>
      </c>
      <c r="E127" s="125">
        <v>0.0</v>
      </c>
      <c r="F127" s="125">
        <v>0.0</v>
      </c>
      <c r="G127" s="125">
        <v>0.0</v>
      </c>
      <c r="H127" s="125">
        <v>0.0</v>
      </c>
      <c r="I127" s="125">
        <v>0.0</v>
      </c>
      <c r="J127" s="125">
        <v>0.0</v>
      </c>
      <c r="K127" s="125">
        <v>0.0</v>
      </c>
      <c r="L127" s="125">
        <v>0.0</v>
      </c>
      <c r="M127" s="125">
        <v>0.0</v>
      </c>
      <c r="N127" s="125">
        <v>0.0</v>
      </c>
      <c r="O127" s="125"/>
      <c r="P127" s="125"/>
      <c r="Q127" s="125"/>
      <c r="R127" s="125"/>
      <c r="S127" s="125"/>
      <c r="T127" s="125"/>
      <c r="U127" s="125"/>
      <c r="V127" s="125"/>
    </row>
    <row r="128">
      <c r="A128" s="122" t="s">
        <v>839</v>
      </c>
      <c r="B128" s="122" t="s">
        <v>1891</v>
      </c>
      <c r="C128" s="125">
        <v>6133123.0</v>
      </c>
      <c r="D128" s="125">
        <v>6133123.0</v>
      </c>
      <c r="E128" s="125">
        <v>366.0</v>
      </c>
      <c r="F128" s="125">
        <v>0.0</v>
      </c>
      <c r="G128" s="125">
        <v>3753673.0</v>
      </c>
      <c r="H128" s="125">
        <v>2379450.0</v>
      </c>
      <c r="I128" s="125" t="s">
        <v>2709</v>
      </c>
      <c r="J128" s="125">
        <v>2098804.0</v>
      </c>
      <c r="K128" s="125">
        <v>232042.0</v>
      </c>
      <c r="L128" s="125">
        <v>7227.0</v>
      </c>
      <c r="M128" s="125">
        <v>1232336.0</v>
      </c>
      <c r="N128" s="125">
        <v>-183264.0</v>
      </c>
      <c r="O128" s="125"/>
      <c r="P128" s="125"/>
      <c r="Q128" s="125"/>
      <c r="R128" s="125"/>
      <c r="S128" s="125"/>
      <c r="T128" s="125"/>
      <c r="U128" s="125"/>
      <c r="V128" s="125"/>
    </row>
    <row r="129">
      <c r="A129" s="122" t="s">
        <v>2079</v>
      </c>
      <c r="B129" s="122" t="s">
        <v>2080</v>
      </c>
      <c r="C129" s="125">
        <v>1527575.0</v>
      </c>
      <c r="D129" s="125">
        <v>1527575.0</v>
      </c>
      <c r="E129" s="125">
        <v>25.0</v>
      </c>
      <c r="F129" s="125">
        <v>0.0</v>
      </c>
      <c r="G129" s="125">
        <v>932633.0</v>
      </c>
      <c r="H129" s="125">
        <v>594942.0</v>
      </c>
      <c r="I129" s="125" t="s">
        <v>2668</v>
      </c>
      <c r="J129" s="125">
        <v>619490.0</v>
      </c>
      <c r="K129" s="125">
        <v>26553.0</v>
      </c>
      <c r="L129" s="125">
        <v>498.0</v>
      </c>
      <c r="M129" s="125">
        <v>212566.0</v>
      </c>
      <c r="N129" s="125">
        <v>-73526.0</v>
      </c>
      <c r="O129" s="125"/>
      <c r="P129" s="125"/>
      <c r="Q129" s="125"/>
      <c r="R129" s="125"/>
      <c r="S129" s="125"/>
      <c r="T129" s="125"/>
      <c r="U129" s="125"/>
      <c r="V129" s="125"/>
    </row>
    <row r="130">
      <c r="A130" s="122" t="s">
        <v>810</v>
      </c>
      <c r="B130" s="122" t="s">
        <v>2710</v>
      </c>
      <c r="C130" s="125">
        <v>8990.0</v>
      </c>
      <c r="D130" s="125">
        <v>8990.0</v>
      </c>
      <c r="E130" s="125">
        <v>1.0</v>
      </c>
      <c r="F130" s="125">
        <v>0.0</v>
      </c>
      <c r="G130" s="125">
        <v>7951.0</v>
      </c>
      <c r="H130" s="125">
        <v>1039.0</v>
      </c>
      <c r="I130" s="125" t="s">
        <v>2711</v>
      </c>
      <c r="J130" s="125">
        <v>4830.0</v>
      </c>
      <c r="K130" s="125">
        <v>683.0</v>
      </c>
      <c r="L130" s="125">
        <v>0.0</v>
      </c>
      <c r="M130" s="125">
        <v>1438.0</v>
      </c>
      <c r="N130" s="125">
        <v>-1000.0</v>
      </c>
      <c r="O130" s="125"/>
      <c r="P130" s="125"/>
      <c r="Q130" s="125"/>
      <c r="R130" s="125"/>
      <c r="S130" s="125"/>
      <c r="T130" s="125"/>
      <c r="U130" s="125"/>
      <c r="V130" s="125"/>
    </row>
    <row r="131">
      <c r="A131" s="122" t="s">
        <v>931</v>
      </c>
      <c r="B131" s="122" t="s">
        <v>1890</v>
      </c>
      <c r="C131" s="125">
        <v>1.7778251E7</v>
      </c>
      <c r="D131" s="125">
        <v>1.7742251E7</v>
      </c>
      <c r="E131" s="125">
        <v>997.0</v>
      </c>
      <c r="F131" s="125">
        <v>36000.0</v>
      </c>
      <c r="G131" s="125">
        <v>1.0250448E7</v>
      </c>
      <c r="H131" s="125">
        <v>7527803.0</v>
      </c>
      <c r="I131" s="125" t="s">
        <v>2712</v>
      </c>
      <c r="J131" s="125">
        <v>5331221.0</v>
      </c>
      <c r="K131" s="125">
        <v>789895.0</v>
      </c>
      <c r="L131" s="125">
        <v>37855.0</v>
      </c>
      <c r="M131" s="125">
        <v>3484799.0</v>
      </c>
      <c r="N131" s="125">
        <v>-606678.0</v>
      </c>
      <c r="O131" s="125"/>
      <c r="P131" s="125"/>
      <c r="Q131" s="125"/>
      <c r="R131" s="125"/>
      <c r="S131" s="125"/>
      <c r="T131" s="125"/>
      <c r="U131" s="125"/>
      <c r="V131" s="125"/>
    </row>
    <row r="132">
      <c r="A132" s="122" t="s">
        <v>2081</v>
      </c>
      <c r="B132" s="122" t="s">
        <v>2082</v>
      </c>
      <c r="C132" s="125">
        <v>0.0</v>
      </c>
      <c r="D132" s="125">
        <v>0.0</v>
      </c>
      <c r="E132" s="125">
        <v>0.0</v>
      </c>
      <c r="F132" s="125">
        <v>0.0</v>
      </c>
      <c r="G132" s="125">
        <v>0.0</v>
      </c>
      <c r="H132" s="125">
        <v>0.0</v>
      </c>
      <c r="I132" s="125">
        <v>0.0</v>
      </c>
      <c r="J132" s="125">
        <v>0.0</v>
      </c>
      <c r="K132" s="125">
        <v>0.0</v>
      </c>
      <c r="L132" s="125">
        <v>0.0</v>
      </c>
      <c r="M132" s="125">
        <v>0.0</v>
      </c>
      <c r="N132" s="125">
        <v>0.0</v>
      </c>
      <c r="O132" s="125"/>
      <c r="P132" s="125"/>
      <c r="Q132" s="125"/>
      <c r="R132" s="125"/>
      <c r="S132" s="125"/>
      <c r="T132" s="125"/>
      <c r="U132" s="125"/>
      <c r="V132" s="125"/>
    </row>
    <row r="133">
      <c r="A133" s="122" t="s">
        <v>2083</v>
      </c>
      <c r="B133" s="122" t="s">
        <v>2051</v>
      </c>
      <c r="C133" s="125">
        <v>0.0</v>
      </c>
      <c r="D133" s="125">
        <v>0.0</v>
      </c>
      <c r="E133" s="125">
        <v>0.0</v>
      </c>
      <c r="F133" s="125">
        <v>0.0</v>
      </c>
      <c r="G133" s="125">
        <v>0.0</v>
      </c>
      <c r="H133" s="125">
        <v>0.0</v>
      </c>
      <c r="I133" s="125">
        <v>0.0</v>
      </c>
      <c r="J133" s="125">
        <v>0.0</v>
      </c>
      <c r="K133" s="125">
        <v>0.0</v>
      </c>
      <c r="L133" s="125">
        <v>0.0</v>
      </c>
      <c r="M133" s="125">
        <v>0.0</v>
      </c>
      <c r="N133" s="125">
        <v>0.0</v>
      </c>
      <c r="O133" s="125"/>
      <c r="P133" s="125"/>
      <c r="Q133" s="125"/>
      <c r="R133" s="125"/>
      <c r="S133" s="125"/>
      <c r="T133" s="125"/>
      <c r="U133" s="125"/>
      <c r="V133" s="125"/>
    </row>
    <row r="134">
      <c r="A134" s="122" t="s">
        <v>903</v>
      </c>
      <c r="B134" s="122" t="s">
        <v>2713</v>
      </c>
      <c r="C134" s="125">
        <v>1273839.0</v>
      </c>
      <c r="D134" s="125">
        <v>1273839.0</v>
      </c>
      <c r="E134" s="125">
        <v>55.0</v>
      </c>
      <c r="F134" s="125">
        <v>0.0</v>
      </c>
      <c r="G134" s="125">
        <v>937277.0</v>
      </c>
      <c r="H134" s="125">
        <v>336562.0</v>
      </c>
      <c r="I134" s="125" t="s">
        <v>2714</v>
      </c>
      <c r="J134" s="125">
        <v>532665.0</v>
      </c>
      <c r="K134" s="125">
        <v>104004.0</v>
      </c>
      <c r="L134" s="125">
        <v>890.0</v>
      </c>
      <c r="M134" s="125">
        <v>226177.0</v>
      </c>
      <c r="N134" s="125">
        <v>-73541.0</v>
      </c>
      <c r="O134" s="125"/>
      <c r="P134" s="125"/>
      <c r="Q134" s="125"/>
      <c r="R134" s="125"/>
      <c r="S134" s="125"/>
      <c r="T134" s="125"/>
      <c r="U134" s="125"/>
      <c r="V134" s="125"/>
    </row>
    <row r="135">
      <c r="A135" s="122" t="s">
        <v>2084</v>
      </c>
      <c r="B135" s="122" t="s">
        <v>1904</v>
      </c>
      <c r="C135" s="125">
        <v>89980.0</v>
      </c>
      <c r="D135" s="125">
        <v>89980.0</v>
      </c>
      <c r="E135" s="125">
        <v>2.0</v>
      </c>
      <c r="F135" s="125">
        <v>0.0</v>
      </c>
      <c r="G135" s="125">
        <v>53654.0</v>
      </c>
      <c r="H135" s="125">
        <v>36326.0</v>
      </c>
      <c r="I135" s="125" t="s">
        <v>2715</v>
      </c>
      <c r="J135" s="125">
        <v>38678.0</v>
      </c>
      <c r="K135" s="125">
        <v>0.0</v>
      </c>
      <c r="L135" s="125">
        <v>0.0</v>
      </c>
      <c r="M135" s="125">
        <v>12596.0</v>
      </c>
      <c r="N135" s="125">
        <v>-2380.0</v>
      </c>
      <c r="O135" s="125"/>
      <c r="P135" s="125"/>
      <c r="Q135" s="125"/>
      <c r="R135" s="125"/>
      <c r="S135" s="125"/>
      <c r="T135" s="125"/>
      <c r="U135" s="125"/>
      <c r="V135" s="125"/>
    </row>
    <row r="136">
      <c r="A136" s="122" t="s">
        <v>2085</v>
      </c>
      <c r="B136" s="122" t="s">
        <v>2086</v>
      </c>
      <c r="C136" s="125">
        <v>0.0</v>
      </c>
      <c r="D136" s="125">
        <v>0.0</v>
      </c>
      <c r="E136" s="125">
        <v>0.0</v>
      </c>
      <c r="F136" s="125">
        <v>0.0</v>
      </c>
      <c r="G136" s="125">
        <v>0.0</v>
      </c>
      <c r="H136" s="125">
        <v>0.0</v>
      </c>
      <c r="I136" s="125">
        <v>0.0</v>
      </c>
      <c r="J136" s="125">
        <v>0.0</v>
      </c>
      <c r="K136" s="125">
        <v>0.0</v>
      </c>
      <c r="L136" s="125">
        <v>0.0</v>
      </c>
      <c r="M136" s="125">
        <v>0.0</v>
      </c>
      <c r="N136" s="125">
        <v>0.0</v>
      </c>
      <c r="O136" s="125"/>
      <c r="P136" s="125"/>
      <c r="Q136" s="125"/>
      <c r="R136" s="125"/>
      <c r="S136" s="125"/>
      <c r="T136" s="125"/>
      <c r="U136" s="125"/>
      <c r="V136" s="125"/>
    </row>
    <row r="137">
      <c r="A137" s="122" t="s">
        <v>623</v>
      </c>
      <c r="B137" s="122" t="s">
        <v>2087</v>
      </c>
      <c r="C137" s="125">
        <v>0.0</v>
      </c>
      <c r="D137" s="125">
        <v>0.0</v>
      </c>
      <c r="E137" s="125">
        <v>0.0</v>
      </c>
      <c r="F137" s="125">
        <v>0.0</v>
      </c>
      <c r="G137" s="125">
        <v>0.0</v>
      </c>
      <c r="H137" s="125">
        <v>0.0</v>
      </c>
      <c r="I137" s="125">
        <v>0.0</v>
      </c>
      <c r="J137" s="125">
        <v>0.0</v>
      </c>
      <c r="K137" s="125">
        <v>0.0</v>
      </c>
      <c r="L137" s="125">
        <v>0.0</v>
      </c>
      <c r="M137" s="125">
        <v>0.0</v>
      </c>
      <c r="N137" s="125">
        <v>0.0</v>
      </c>
      <c r="O137" s="125"/>
      <c r="P137" s="125"/>
      <c r="Q137" s="125"/>
      <c r="R137" s="125"/>
      <c r="S137" s="125"/>
      <c r="T137" s="125"/>
      <c r="U137" s="125"/>
      <c r="V137" s="125"/>
    </row>
    <row r="138">
      <c r="A138" s="122" t="s">
        <v>957</v>
      </c>
      <c r="B138" s="122" t="s">
        <v>956</v>
      </c>
      <c r="C138" s="125">
        <v>730410.0</v>
      </c>
      <c r="D138" s="125">
        <v>730410.0</v>
      </c>
      <c r="E138" s="125">
        <v>59.0</v>
      </c>
      <c r="F138" s="125">
        <v>0.0</v>
      </c>
      <c r="G138" s="125">
        <v>441765.0</v>
      </c>
      <c r="H138" s="125">
        <v>288645.0</v>
      </c>
      <c r="I138" s="125" t="s">
        <v>2716</v>
      </c>
      <c r="J138" s="125">
        <v>235476.0</v>
      </c>
      <c r="K138" s="125">
        <v>28440.0</v>
      </c>
      <c r="L138" s="125">
        <v>2433.0</v>
      </c>
      <c r="M138" s="125">
        <v>164744.0</v>
      </c>
      <c r="N138" s="125">
        <v>-10672.0</v>
      </c>
      <c r="O138" s="125"/>
      <c r="P138" s="125"/>
      <c r="Q138" s="125"/>
      <c r="R138" s="125"/>
      <c r="S138" s="125"/>
      <c r="T138" s="125"/>
      <c r="U138" s="125"/>
      <c r="V138" s="125"/>
    </row>
    <row r="139">
      <c r="A139" s="122" t="s">
        <v>2088</v>
      </c>
      <c r="B139" s="122" t="s">
        <v>2089</v>
      </c>
      <c r="C139" s="125">
        <v>0.0</v>
      </c>
      <c r="D139" s="125">
        <v>0.0</v>
      </c>
      <c r="E139" s="125">
        <v>0.0</v>
      </c>
      <c r="F139" s="125">
        <v>0.0</v>
      </c>
      <c r="G139" s="125">
        <v>0.0</v>
      </c>
      <c r="H139" s="125">
        <v>0.0</v>
      </c>
      <c r="I139" s="125">
        <v>0.0</v>
      </c>
      <c r="J139" s="125">
        <v>0.0</v>
      </c>
      <c r="K139" s="125">
        <v>0.0</v>
      </c>
      <c r="L139" s="125">
        <v>0.0</v>
      </c>
      <c r="M139" s="125">
        <v>0.0</v>
      </c>
      <c r="N139" s="125">
        <v>0.0</v>
      </c>
      <c r="O139" s="125"/>
      <c r="P139" s="125"/>
      <c r="Q139" s="125"/>
      <c r="R139" s="125"/>
      <c r="S139" s="125"/>
      <c r="T139" s="125"/>
      <c r="U139" s="125"/>
      <c r="V139" s="125"/>
    </row>
    <row r="140">
      <c r="A140" s="122" t="s">
        <v>638</v>
      </c>
      <c r="B140" s="122" t="s">
        <v>1843</v>
      </c>
      <c r="C140" s="125">
        <v>1260353.0</v>
      </c>
      <c r="D140" s="125">
        <v>1260353.0</v>
      </c>
      <c r="E140" s="125">
        <v>127.0</v>
      </c>
      <c r="F140" s="125">
        <v>0.0</v>
      </c>
      <c r="G140" s="125">
        <v>922386.0</v>
      </c>
      <c r="H140" s="125">
        <v>337967.0</v>
      </c>
      <c r="I140" s="125" t="s">
        <v>2717</v>
      </c>
      <c r="J140" s="125">
        <v>554630.0</v>
      </c>
      <c r="K140" s="125">
        <v>61729.0</v>
      </c>
      <c r="L140" s="125">
        <v>3395.0</v>
      </c>
      <c r="M140" s="125">
        <v>270463.0</v>
      </c>
      <c r="N140" s="125">
        <v>-32169.0</v>
      </c>
      <c r="O140" s="125"/>
      <c r="P140" s="125"/>
      <c r="Q140" s="125"/>
      <c r="R140" s="125"/>
      <c r="S140" s="125"/>
      <c r="T140" s="125"/>
      <c r="U140" s="125"/>
      <c r="V140" s="125"/>
    </row>
    <row r="141">
      <c r="A141" s="122" t="s">
        <v>2090</v>
      </c>
      <c r="B141" s="122" t="s">
        <v>2091</v>
      </c>
      <c r="C141" s="125">
        <v>0.0</v>
      </c>
      <c r="D141" s="125">
        <v>0.0</v>
      </c>
      <c r="E141" s="125">
        <v>0.0</v>
      </c>
      <c r="F141" s="125">
        <v>0.0</v>
      </c>
      <c r="G141" s="125">
        <v>0.0</v>
      </c>
      <c r="H141" s="125">
        <v>0.0</v>
      </c>
      <c r="I141" s="125">
        <v>0.0</v>
      </c>
      <c r="J141" s="125">
        <v>0.0</v>
      </c>
      <c r="K141" s="125">
        <v>0.0</v>
      </c>
      <c r="L141" s="125">
        <v>0.0</v>
      </c>
      <c r="M141" s="125">
        <v>0.0</v>
      </c>
      <c r="N141" s="125">
        <v>0.0</v>
      </c>
      <c r="O141" s="125"/>
      <c r="P141" s="125"/>
      <c r="Q141" s="125"/>
      <c r="R141" s="125"/>
      <c r="S141" s="125"/>
      <c r="T141" s="125"/>
      <c r="U141" s="125"/>
      <c r="V141" s="125"/>
    </row>
    <row r="142">
      <c r="A142" s="122" t="s">
        <v>821</v>
      </c>
      <c r="B142" s="122" t="s">
        <v>823</v>
      </c>
      <c r="C142" s="125">
        <v>0.0</v>
      </c>
      <c r="D142" s="125">
        <v>0.0</v>
      </c>
      <c r="E142" s="125">
        <v>0.0</v>
      </c>
      <c r="F142" s="125">
        <v>0.0</v>
      </c>
      <c r="G142" s="125">
        <v>0.0</v>
      </c>
      <c r="H142" s="125">
        <v>0.0</v>
      </c>
      <c r="I142" s="125">
        <v>0.0</v>
      </c>
      <c r="J142" s="125">
        <v>0.0</v>
      </c>
      <c r="K142" s="125">
        <v>0.0</v>
      </c>
      <c r="L142" s="125">
        <v>0.0</v>
      </c>
      <c r="M142" s="125">
        <v>0.0</v>
      </c>
      <c r="N142" s="125">
        <v>0.0</v>
      </c>
      <c r="O142" s="125"/>
      <c r="P142" s="125"/>
      <c r="Q142" s="125"/>
      <c r="R142" s="125"/>
      <c r="S142" s="125"/>
      <c r="T142" s="125"/>
      <c r="U142" s="125"/>
      <c r="V142" s="125"/>
    </row>
    <row r="143">
      <c r="A143" s="122" t="s">
        <v>715</v>
      </c>
      <c r="B143" s="122" t="s">
        <v>1852</v>
      </c>
      <c r="C143" s="125">
        <v>3704370.0</v>
      </c>
      <c r="D143" s="125">
        <v>3704370.0</v>
      </c>
      <c r="E143" s="125">
        <v>125.0</v>
      </c>
      <c r="F143" s="125">
        <v>0.0</v>
      </c>
      <c r="G143" s="125">
        <v>2413740.0</v>
      </c>
      <c r="H143" s="125">
        <v>1290630.0</v>
      </c>
      <c r="I143" s="125" t="s">
        <v>2718</v>
      </c>
      <c r="J143" s="125">
        <v>1218000.0</v>
      </c>
      <c r="K143" s="125">
        <v>117426.0</v>
      </c>
      <c r="L143" s="125">
        <v>3146.0</v>
      </c>
      <c r="M143" s="125">
        <v>653757.0</v>
      </c>
      <c r="N143" s="125">
        <v>-421411.0</v>
      </c>
      <c r="O143" s="125"/>
      <c r="P143" s="125"/>
      <c r="Q143" s="125"/>
      <c r="R143" s="125"/>
      <c r="S143" s="125"/>
      <c r="T143" s="125"/>
      <c r="U143" s="125"/>
      <c r="V143" s="125"/>
    </row>
    <row r="144">
      <c r="A144" s="122" t="s">
        <v>2092</v>
      </c>
      <c r="B144" s="122" t="s">
        <v>2719</v>
      </c>
      <c r="C144" s="125">
        <v>1.2763399E7</v>
      </c>
      <c r="D144" s="125">
        <v>1.2574399E7</v>
      </c>
      <c r="E144" s="125">
        <v>133.0</v>
      </c>
      <c r="F144" s="125">
        <v>189000.0</v>
      </c>
      <c r="G144" s="125">
        <v>7474019.0</v>
      </c>
      <c r="H144" s="125">
        <v>5289380.0</v>
      </c>
      <c r="I144" s="125" t="s">
        <v>2660</v>
      </c>
      <c r="J144" s="125">
        <v>4939472.0</v>
      </c>
      <c r="K144" s="125">
        <v>278129.0</v>
      </c>
      <c r="L144" s="125">
        <v>5364.0</v>
      </c>
      <c r="M144" s="125">
        <v>1749974.0</v>
      </c>
      <c r="N144" s="125">
        <v>-501080.0</v>
      </c>
      <c r="O144" s="125"/>
      <c r="P144" s="125"/>
      <c r="Q144" s="125"/>
      <c r="R144" s="125"/>
      <c r="S144" s="125"/>
      <c r="T144" s="125"/>
      <c r="U144" s="125"/>
      <c r="V144" s="125"/>
    </row>
    <row r="145">
      <c r="A145" s="122" t="s">
        <v>606</v>
      </c>
      <c r="B145" s="122" t="s">
        <v>608</v>
      </c>
      <c r="C145" s="125">
        <v>2613539.0</v>
      </c>
      <c r="D145" s="125">
        <v>2542909.0</v>
      </c>
      <c r="E145" s="125">
        <v>131.0</v>
      </c>
      <c r="F145" s="125">
        <v>70630.0</v>
      </c>
      <c r="G145" s="125">
        <v>1538482.0</v>
      </c>
      <c r="H145" s="125">
        <v>1075057.0</v>
      </c>
      <c r="I145" s="125" t="s">
        <v>2720</v>
      </c>
      <c r="J145" s="125">
        <v>866168.0</v>
      </c>
      <c r="K145" s="125">
        <v>126242.0</v>
      </c>
      <c r="L145" s="125">
        <v>5007.0</v>
      </c>
      <c r="M145" s="125">
        <v>478754.0</v>
      </c>
      <c r="N145" s="125">
        <v>-62311.0</v>
      </c>
      <c r="O145" s="125"/>
      <c r="P145" s="125"/>
      <c r="Q145" s="125"/>
      <c r="R145" s="125"/>
      <c r="S145" s="125"/>
      <c r="T145" s="125"/>
      <c r="U145" s="125"/>
      <c r="V145" s="125"/>
    </row>
    <row r="146">
      <c r="A146" s="122" t="s">
        <v>456</v>
      </c>
      <c r="B146" s="122" t="s">
        <v>458</v>
      </c>
      <c r="C146" s="125">
        <v>1426768.0</v>
      </c>
      <c r="D146" s="125">
        <v>1426768.0</v>
      </c>
      <c r="E146" s="125">
        <v>75.0</v>
      </c>
      <c r="F146" s="125">
        <v>0.0</v>
      </c>
      <c r="G146" s="125">
        <v>883815.0</v>
      </c>
      <c r="H146" s="125">
        <v>542953.0</v>
      </c>
      <c r="I146" s="125" t="s">
        <v>2721</v>
      </c>
      <c r="J146" s="125">
        <v>449913.0</v>
      </c>
      <c r="K146" s="125">
        <v>65421.0</v>
      </c>
      <c r="L146" s="125">
        <v>1162.0</v>
      </c>
      <c r="M146" s="125">
        <v>250476.0</v>
      </c>
      <c r="N146" s="125">
        <v>-116843.0</v>
      </c>
      <c r="O146" s="125"/>
      <c r="P146" s="125"/>
      <c r="Q146" s="125"/>
      <c r="R146" s="125"/>
      <c r="S146" s="125"/>
      <c r="T146" s="125"/>
      <c r="U146" s="125"/>
      <c r="V146" s="125"/>
    </row>
    <row r="147">
      <c r="A147" s="122" t="s">
        <v>813</v>
      </c>
      <c r="B147" s="122" t="s">
        <v>2682</v>
      </c>
      <c r="C147" s="125">
        <v>8990.0</v>
      </c>
      <c r="D147" s="125">
        <v>8990.0</v>
      </c>
      <c r="E147" s="125">
        <v>1.0</v>
      </c>
      <c r="F147" s="125">
        <v>0.0</v>
      </c>
      <c r="G147" s="125">
        <v>7658.0</v>
      </c>
      <c r="H147" s="125">
        <v>1332.0</v>
      </c>
      <c r="I147" s="125" t="s">
        <v>2722</v>
      </c>
      <c r="J147" s="125">
        <v>4609.0</v>
      </c>
      <c r="K147" s="125">
        <v>611.0</v>
      </c>
      <c r="L147" s="125">
        <v>0.0</v>
      </c>
      <c r="M147" s="125">
        <v>1438.0</v>
      </c>
      <c r="N147" s="125">
        <v>-1000.0</v>
      </c>
      <c r="O147" s="125"/>
      <c r="P147" s="125"/>
      <c r="Q147" s="125"/>
      <c r="R147" s="125"/>
      <c r="S147" s="125"/>
      <c r="T147" s="125"/>
      <c r="U147" s="125"/>
      <c r="V147" s="125"/>
    </row>
    <row r="148">
      <c r="A148" s="122" t="s">
        <v>736</v>
      </c>
      <c r="B148" s="122" t="s">
        <v>1835</v>
      </c>
      <c r="C148" s="125">
        <v>1.3188569E7</v>
      </c>
      <c r="D148" s="125">
        <v>1.2768569E7</v>
      </c>
      <c r="E148" s="125">
        <v>76.0</v>
      </c>
      <c r="F148" s="125">
        <v>420000.0</v>
      </c>
      <c r="G148" s="125">
        <v>7624214.0</v>
      </c>
      <c r="H148" s="125">
        <v>5564355.0</v>
      </c>
      <c r="I148" s="125" t="s">
        <v>2723</v>
      </c>
      <c r="J148" s="125">
        <v>4768795.0</v>
      </c>
      <c r="K148" s="125">
        <v>272252.0</v>
      </c>
      <c r="L148" s="125">
        <v>39080.0</v>
      </c>
      <c r="M148" s="125">
        <v>2047112.0</v>
      </c>
      <c r="N148" s="125">
        <v>-496975.0</v>
      </c>
      <c r="O148" s="125"/>
      <c r="P148" s="125"/>
      <c r="Q148" s="125"/>
      <c r="R148" s="125"/>
      <c r="S148" s="125"/>
      <c r="T148" s="125"/>
      <c r="U148" s="125"/>
      <c r="V148" s="125"/>
    </row>
    <row r="149">
      <c r="A149" s="122" t="s">
        <v>548</v>
      </c>
      <c r="B149" s="122" t="s">
        <v>550</v>
      </c>
      <c r="C149" s="125">
        <v>3955075.0</v>
      </c>
      <c r="D149" s="125">
        <v>3955075.0</v>
      </c>
      <c r="E149" s="125">
        <v>44.0</v>
      </c>
      <c r="F149" s="125">
        <v>0.0</v>
      </c>
      <c r="G149" s="125">
        <v>2839694.0</v>
      </c>
      <c r="H149" s="125">
        <v>1115381.0</v>
      </c>
      <c r="I149" s="125" t="s">
        <v>2724</v>
      </c>
      <c r="J149" s="125">
        <v>1838701.0</v>
      </c>
      <c r="K149" s="125">
        <v>150976.0</v>
      </c>
      <c r="L149" s="125">
        <v>9260.0</v>
      </c>
      <c r="M149" s="125">
        <v>557628.0</v>
      </c>
      <c r="N149" s="125">
        <v>-283129.0</v>
      </c>
      <c r="O149" s="125"/>
      <c r="P149" s="125"/>
      <c r="Q149" s="125"/>
      <c r="R149" s="125"/>
      <c r="S149" s="125"/>
      <c r="T149" s="125"/>
      <c r="U149" s="125"/>
      <c r="V149" s="125"/>
    </row>
    <row r="150">
      <c r="A150" s="122" t="s">
        <v>2094</v>
      </c>
      <c r="B150" s="122" t="s">
        <v>1906</v>
      </c>
      <c r="C150" s="125">
        <v>0.0</v>
      </c>
      <c r="D150" s="125">
        <v>0.0</v>
      </c>
      <c r="E150" s="125">
        <v>0.0</v>
      </c>
      <c r="F150" s="125">
        <v>0.0</v>
      </c>
      <c r="G150" s="125">
        <v>0.0</v>
      </c>
      <c r="H150" s="125">
        <v>0.0</v>
      </c>
      <c r="I150" s="125">
        <v>0.0</v>
      </c>
      <c r="J150" s="125">
        <v>0.0</v>
      </c>
      <c r="K150" s="125">
        <v>0.0</v>
      </c>
      <c r="L150" s="125">
        <v>0.0</v>
      </c>
      <c r="M150" s="125">
        <v>0.0</v>
      </c>
      <c r="N150" s="125">
        <v>0.0</v>
      </c>
      <c r="O150" s="125"/>
      <c r="P150" s="125"/>
      <c r="Q150" s="125"/>
      <c r="R150" s="125"/>
      <c r="S150" s="125"/>
      <c r="T150" s="125"/>
      <c r="U150" s="125"/>
      <c r="V150" s="125"/>
    </row>
    <row r="151">
      <c r="A151" s="122" t="s">
        <v>2095</v>
      </c>
      <c r="B151" s="122" t="s">
        <v>2096</v>
      </c>
      <c r="C151" s="125">
        <v>0.0</v>
      </c>
      <c r="D151" s="125">
        <v>0.0</v>
      </c>
      <c r="E151" s="125">
        <v>0.0</v>
      </c>
      <c r="F151" s="125">
        <v>0.0</v>
      </c>
      <c r="G151" s="125">
        <v>0.0</v>
      </c>
      <c r="H151" s="125">
        <v>0.0</v>
      </c>
      <c r="I151" s="125">
        <v>0.0</v>
      </c>
      <c r="J151" s="125">
        <v>0.0</v>
      </c>
      <c r="K151" s="125">
        <v>0.0</v>
      </c>
      <c r="L151" s="125">
        <v>0.0</v>
      </c>
      <c r="M151" s="125">
        <v>0.0</v>
      </c>
      <c r="N151" s="125">
        <v>0.0</v>
      </c>
      <c r="O151" s="125"/>
      <c r="P151" s="125"/>
      <c r="Q151" s="125"/>
      <c r="R151" s="125"/>
      <c r="S151" s="125"/>
      <c r="T151" s="125"/>
      <c r="U151" s="125"/>
      <c r="V151" s="125"/>
    </row>
    <row r="152">
      <c r="A152" s="122" t="s">
        <v>568</v>
      </c>
      <c r="B152" s="122" t="s">
        <v>1867</v>
      </c>
      <c r="C152" s="125">
        <v>0.0</v>
      </c>
      <c r="D152" s="125">
        <v>0.0</v>
      </c>
      <c r="E152" s="125">
        <v>0.0</v>
      </c>
      <c r="F152" s="125">
        <v>0.0</v>
      </c>
      <c r="G152" s="125">
        <v>0.0</v>
      </c>
      <c r="H152" s="125">
        <v>0.0</v>
      </c>
      <c r="I152" s="125">
        <v>0.0</v>
      </c>
      <c r="J152" s="125">
        <v>0.0</v>
      </c>
      <c r="K152" s="125">
        <v>0.0</v>
      </c>
      <c r="L152" s="125">
        <v>0.0</v>
      </c>
      <c r="M152" s="125">
        <v>0.0</v>
      </c>
      <c r="N152" s="125">
        <v>0.0</v>
      </c>
      <c r="O152" s="125"/>
      <c r="P152" s="125"/>
      <c r="Q152" s="125"/>
      <c r="R152" s="125"/>
      <c r="S152" s="125"/>
      <c r="T152" s="125"/>
      <c r="U152" s="125"/>
      <c r="V152" s="125"/>
    </row>
    <row r="153">
      <c r="A153" s="122" t="s">
        <v>2097</v>
      </c>
      <c r="B153" s="122" t="s">
        <v>2098</v>
      </c>
      <c r="C153" s="125">
        <v>9990.0</v>
      </c>
      <c r="D153" s="125">
        <v>9990.0</v>
      </c>
      <c r="E153" s="125">
        <v>1.0</v>
      </c>
      <c r="F153" s="125">
        <v>0.0</v>
      </c>
      <c r="G153" s="125">
        <v>6843.0</v>
      </c>
      <c r="H153" s="125">
        <v>3147.0</v>
      </c>
      <c r="I153" s="125" t="s">
        <v>2725</v>
      </c>
      <c r="J153" s="125">
        <v>3000.0</v>
      </c>
      <c r="K153" s="125">
        <v>1345.0</v>
      </c>
      <c r="L153" s="125">
        <v>0.0</v>
      </c>
      <c r="M153" s="125">
        <v>1498.0</v>
      </c>
      <c r="N153" s="125">
        <v>-1000.0</v>
      </c>
      <c r="O153" s="125"/>
      <c r="P153" s="125"/>
      <c r="Q153" s="125"/>
      <c r="R153" s="125"/>
      <c r="S153" s="125"/>
      <c r="T153" s="125"/>
      <c r="U153" s="125"/>
      <c r="V153" s="125"/>
    </row>
    <row r="154">
      <c r="A154" s="122" t="s">
        <v>2099</v>
      </c>
      <c r="B154" s="122" t="s">
        <v>2100</v>
      </c>
      <c r="C154" s="125">
        <v>2518923.0</v>
      </c>
      <c r="D154" s="125">
        <v>2518923.0</v>
      </c>
      <c r="E154" s="125">
        <v>151.0</v>
      </c>
      <c r="F154" s="125">
        <v>0.0</v>
      </c>
      <c r="G154" s="125">
        <v>1612457.0</v>
      </c>
      <c r="H154" s="125">
        <v>906466.0</v>
      </c>
      <c r="I154" s="125" t="s">
        <v>2726</v>
      </c>
      <c r="J154" s="125">
        <v>925781.0</v>
      </c>
      <c r="K154" s="125">
        <v>104131.0</v>
      </c>
      <c r="L154" s="125">
        <v>5869.0</v>
      </c>
      <c r="M154" s="125">
        <v>538986.0</v>
      </c>
      <c r="N154" s="125">
        <v>-37690.0</v>
      </c>
      <c r="O154" s="125"/>
      <c r="P154" s="125"/>
      <c r="Q154" s="125"/>
      <c r="R154" s="125"/>
      <c r="S154" s="125"/>
      <c r="T154" s="125"/>
      <c r="U154" s="125"/>
      <c r="V154" s="125"/>
    </row>
    <row r="155">
      <c r="A155" s="122" t="s">
        <v>827</v>
      </c>
      <c r="B155" s="122" t="s">
        <v>829</v>
      </c>
      <c r="C155" s="125">
        <v>1.3989526E7</v>
      </c>
      <c r="D155" s="125">
        <v>1.3890526E7</v>
      </c>
      <c r="E155" s="125">
        <v>156.0</v>
      </c>
      <c r="F155" s="125">
        <v>99000.0</v>
      </c>
      <c r="G155" s="125">
        <v>9774507.0</v>
      </c>
      <c r="H155" s="125">
        <v>4215019.0</v>
      </c>
      <c r="I155" s="125" t="s">
        <v>2727</v>
      </c>
      <c r="J155" s="125">
        <v>6208936.0</v>
      </c>
      <c r="K155" s="125">
        <v>330754.0</v>
      </c>
      <c r="L155" s="125">
        <v>34640.0</v>
      </c>
      <c r="M155" s="125">
        <v>2021099.0</v>
      </c>
      <c r="N155" s="125">
        <v>-1179078.0</v>
      </c>
      <c r="O155" s="125"/>
      <c r="P155" s="125"/>
      <c r="Q155" s="125"/>
      <c r="R155" s="125"/>
      <c r="S155" s="125"/>
      <c r="T155" s="125"/>
      <c r="U155" s="125"/>
      <c r="V155" s="125"/>
    </row>
    <row r="156">
      <c r="A156" s="122" t="s">
        <v>900</v>
      </c>
      <c r="B156" s="122" t="s">
        <v>1844</v>
      </c>
      <c r="C156" s="125">
        <v>2896211.0</v>
      </c>
      <c r="D156" s="125">
        <v>2896211.0</v>
      </c>
      <c r="E156" s="125">
        <v>23.0</v>
      </c>
      <c r="F156" s="125">
        <v>0.0</v>
      </c>
      <c r="G156" s="125">
        <v>1921478.0</v>
      </c>
      <c r="H156" s="125">
        <v>974733.0</v>
      </c>
      <c r="I156" s="125" t="s">
        <v>2728</v>
      </c>
      <c r="J156" s="125">
        <v>1212215.0</v>
      </c>
      <c r="K156" s="125">
        <v>220435.0</v>
      </c>
      <c r="L156" s="125">
        <v>11960.0</v>
      </c>
      <c r="M156" s="125">
        <v>351449.0</v>
      </c>
      <c r="N156" s="125">
        <v>-125419.0</v>
      </c>
      <c r="O156" s="125"/>
      <c r="P156" s="125"/>
      <c r="Q156" s="125"/>
      <c r="R156" s="125"/>
      <c r="S156" s="125"/>
      <c r="T156" s="125"/>
      <c r="U156" s="125"/>
      <c r="V156" s="125"/>
    </row>
    <row r="157">
      <c r="A157" s="122" t="s">
        <v>680</v>
      </c>
      <c r="B157" s="122" t="s">
        <v>682</v>
      </c>
      <c r="C157" s="125">
        <v>1245316.0</v>
      </c>
      <c r="D157" s="125">
        <v>1245316.0</v>
      </c>
      <c r="E157" s="125">
        <v>25.0</v>
      </c>
      <c r="F157" s="125">
        <v>0.0</v>
      </c>
      <c r="G157" s="125">
        <v>998618.0</v>
      </c>
      <c r="H157" s="125">
        <v>246698.0</v>
      </c>
      <c r="I157" s="125" t="s">
        <v>2729</v>
      </c>
      <c r="J157" s="125">
        <v>588325.0</v>
      </c>
      <c r="K157" s="125">
        <v>137496.0</v>
      </c>
      <c r="L157" s="125">
        <v>643.0</v>
      </c>
      <c r="M157" s="125">
        <v>186789.0</v>
      </c>
      <c r="N157" s="125">
        <v>-85365.0</v>
      </c>
      <c r="O157" s="125"/>
      <c r="P157" s="125"/>
      <c r="Q157" s="125"/>
      <c r="R157" s="125"/>
      <c r="S157" s="125"/>
      <c r="T157" s="125"/>
      <c r="U157" s="125"/>
      <c r="V157" s="125"/>
    </row>
    <row r="158">
      <c r="A158" s="122" t="s">
        <v>842</v>
      </c>
      <c r="B158" s="122" t="s">
        <v>1892</v>
      </c>
      <c r="C158" s="125">
        <v>7738234.0</v>
      </c>
      <c r="D158" s="125">
        <v>7738234.0</v>
      </c>
      <c r="E158" s="125">
        <v>391.0</v>
      </c>
      <c r="F158" s="125">
        <v>0.0</v>
      </c>
      <c r="G158" s="125">
        <v>5481442.0</v>
      </c>
      <c r="H158" s="125">
        <v>2256792.0</v>
      </c>
      <c r="I158" s="125" t="s">
        <v>2666</v>
      </c>
      <c r="J158" s="125">
        <v>3264465.0</v>
      </c>
      <c r="K158" s="125">
        <v>522728.0</v>
      </c>
      <c r="L158" s="125">
        <v>8205.0</v>
      </c>
      <c r="M158" s="125">
        <v>1498744.0</v>
      </c>
      <c r="N158" s="125">
        <v>-187300.0</v>
      </c>
      <c r="O158" s="125"/>
      <c r="P158" s="125"/>
      <c r="Q158" s="125"/>
      <c r="R158" s="125"/>
      <c r="S158" s="125"/>
      <c r="T158" s="125"/>
      <c r="U158" s="125"/>
      <c r="V158" s="125"/>
    </row>
    <row r="159">
      <c r="A159" s="122" t="s">
        <v>519</v>
      </c>
      <c r="B159" s="122" t="s">
        <v>521</v>
      </c>
      <c r="C159" s="125">
        <v>1580972.0</v>
      </c>
      <c r="D159" s="125">
        <v>1580972.0</v>
      </c>
      <c r="E159" s="125">
        <v>16.0</v>
      </c>
      <c r="F159" s="125">
        <v>0.0</v>
      </c>
      <c r="G159" s="125">
        <v>1056846.0</v>
      </c>
      <c r="H159" s="125">
        <v>524126.0</v>
      </c>
      <c r="I159" s="125" t="s">
        <v>2730</v>
      </c>
      <c r="J159" s="125">
        <v>596640.0</v>
      </c>
      <c r="K159" s="125">
        <v>183090.0</v>
      </c>
      <c r="L159" s="125">
        <v>3126.0</v>
      </c>
      <c r="M159" s="125">
        <v>207528.0</v>
      </c>
      <c r="N159" s="125">
        <v>-66462.0</v>
      </c>
      <c r="O159" s="125"/>
      <c r="P159" s="125"/>
      <c r="Q159" s="125"/>
      <c r="R159" s="125"/>
      <c r="S159" s="125"/>
      <c r="T159" s="125"/>
      <c r="U159" s="125"/>
      <c r="V159" s="125"/>
    </row>
    <row r="160">
      <c r="A160" s="122" t="s">
        <v>635</v>
      </c>
      <c r="B160" s="122" t="s">
        <v>637</v>
      </c>
      <c r="C160" s="125">
        <v>0.0</v>
      </c>
      <c r="D160" s="125">
        <v>0.0</v>
      </c>
      <c r="E160" s="125">
        <v>0.0</v>
      </c>
      <c r="F160" s="125">
        <v>0.0</v>
      </c>
      <c r="G160" s="125">
        <v>0.0</v>
      </c>
      <c r="H160" s="125">
        <v>0.0</v>
      </c>
      <c r="I160" s="125">
        <v>0.0</v>
      </c>
      <c r="J160" s="125">
        <v>0.0</v>
      </c>
      <c r="K160" s="125">
        <v>0.0</v>
      </c>
      <c r="L160" s="125">
        <v>0.0</v>
      </c>
      <c r="M160" s="125">
        <v>0.0</v>
      </c>
      <c r="N160" s="125">
        <v>0.0</v>
      </c>
      <c r="O160" s="125"/>
      <c r="P160" s="125"/>
      <c r="Q160" s="125"/>
      <c r="R160" s="125"/>
      <c r="S160" s="125"/>
      <c r="T160" s="125"/>
      <c r="U160" s="125"/>
      <c r="V160" s="125"/>
    </row>
    <row r="161">
      <c r="A161" s="122" t="s">
        <v>916</v>
      </c>
      <c r="B161" s="122" t="s">
        <v>918</v>
      </c>
      <c r="C161" s="125">
        <v>1.5725699E7</v>
      </c>
      <c r="D161" s="125">
        <v>1.5723699E7</v>
      </c>
      <c r="E161" s="125">
        <v>1392.0</v>
      </c>
      <c r="F161" s="125">
        <v>2000.0</v>
      </c>
      <c r="G161" s="125">
        <v>1.1435973E7</v>
      </c>
      <c r="H161" s="125">
        <v>4289726.0</v>
      </c>
      <c r="I161" s="125" t="s">
        <v>2731</v>
      </c>
      <c r="J161" s="125">
        <v>6806584.0</v>
      </c>
      <c r="K161" s="125">
        <v>715844.0</v>
      </c>
      <c r="L161" s="125">
        <v>53408.0</v>
      </c>
      <c r="M161" s="125">
        <v>3665341.0</v>
      </c>
      <c r="N161" s="125">
        <v>-194796.0</v>
      </c>
      <c r="O161" s="125"/>
      <c r="P161" s="125"/>
      <c r="Q161" s="125"/>
      <c r="R161" s="125"/>
      <c r="S161" s="125"/>
      <c r="T161" s="125"/>
      <c r="U161" s="125"/>
      <c r="V161" s="125"/>
    </row>
    <row r="162">
      <c r="A162" s="122" t="s">
        <v>2103</v>
      </c>
      <c r="B162" s="122" t="s">
        <v>2017</v>
      </c>
      <c r="C162" s="125">
        <v>0.0</v>
      </c>
      <c r="D162" s="125">
        <v>0.0</v>
      </c>
      <c r="E162" s="125">
        <v>0.0</v>
      </c>
      <c r="F162" s="125">
        <v>0.0</v>
      </c>
      <c r="G162" s="125">
        <v>0.0</v>
      </c>
      <c r="H162" s="125">
        <v>0.0</v>
      </c>
      <c r="I162" s="125">
        <v>0.0</v>
      </c>
      <c r="J162" s="125">
        <v>0.0</v>
      </c>
      <c r="K162" s="125">
        <v>0.0</v>
      </c>
      <c r="L162" s="125">
        <v>0.0</v>
      </c>
      <c r="M162" s="125">
        <v>0.0</v>
      </c>
      <c r="N162" s="125">
        <v>0.0</v>
      </c>
      <c r="O162" s="125"/>
      <c r="P162" s="125"/>
      <c r="Q162" s="125"/>
      <c r="R162" s="125"/>
      <c r="S162" s="125"/>
      <c r="T162" s="125"/>
      <c r="U162" s="125"/>
      <c r="V162" s="125"/>
    </row>
    <row r="163">
      <c r="A163" s="122" t="s">
        <v>864</v>
      </c>
      <c r="B163" s="122" t="s">
        <v>1902</v>
      </c>
      <c r="C163" s="125">
        <v>5418694.0</v>
      </c>
      <c r="D163" s="125">
        <v>5418694.0</v>
      </c>
      <c r="E163" s="125">
        <v>68.0</v>
      </c>
      <c r="F163" s="125">
        <v>0.0</v>
      </c>
      <c r="G163" s="125">
        <v>5144909.0</v>
      </c>
      <c r="H163" s="125">
        <v>273785.0</v>
      </c>
      <c r="I163" s="125" t="s">
        <v>2732</v>
      </c>
      <c r="J163" s="125">
        <v>3788416.0</v>
      </c>
      <c r="K163" s="125">
        <v>402671.0</v>
      </c>
      <c r="L163" s="125">
        <v>425.0</v>
      </c>
      <c r="M163" s="125">
        <v>597855.0</v>
      </c>
      <c r="N163" s="125">
        <v>-355542.0</v>
      </c>
      <c r="O163" s="125"/>
      <c r="P163" s="125"/>
      <c r="Q163" s="125"/>
      <c r="R163" s="125"/>
      <c r="S163" s="125"/>
      <c r="T163" s="125"/>
      <c r="U163" s="125"/>
      <c r="V163" s="125"/>
    </row>
    <row r="164">
      <c r="A164" s="122" t="s">
        <v>2104</v>
      </c>
      <c r="B164" s="122" t="s">
        <v>2017</v>
      </c>
      <c r="C164" s="125">
        <v>0.0</v>
      </c>
      <c r="D164" s="125">
        <v>0.0</v>
      </c>
      <c r="E164" s="125">
        <v>0.0</v>
      </c>
      <c r="F164" s="125">
        <v>0.0</v>
      </c>
      <c r="G164" s="125">
        <v>0.0</v>
      </c>
      <c r="H164" s="125">
        <v>0.0</v>
      </c>
      <c r="I164" s="125">
        <v>0.0</v>
      </c>
      <c r="J164" s="125">
        <v>0.0</v>
      </c>
      <c r="K164" s="125">
        <v>0.0</v>
      </c>
      <c r="L164" s="125">
        <v>0.0</v>
      </c>
      <c r="M164" s="125">
        <v>0.0</v>
      </c>
      <c r="N164" s="125">
        <v>0.0</v>
      </c>
      <c r="O164" s="125"/>
      <c r="P164" s="125"/>
      <c r="Q164" s="125"/>
      <c r="R164" s="125"/>
      <c r="S164" s="125"/>
      <c r="T164" s="125"/>
      <c r="U164" s="125"/>
      <c r="V164" s="125"/>
    </row>
    <row r="165">
      <c r="A165" s="122" t="s">
        <v>650</v>
      </c>
      <c r="B165" s="122" t="s">
        <v>652</v>
      </c>
      <c r="C165" s="125">
        <v>1892470.0</v>
      </c>
      <c r="D165" s="125">
        <v>1892470.0</v>
      </c>
      <c r="E165" s="125">
        <v>192.0</v>
      </c>
      <c r="F165" s="125">
        <v>0.0</v>
      </c>
      <c r="G165" s="125">
        <v>903269.0</v>
      </c>
      <c r="H165" s="125">
        <v>989201.0</v>
      </c>
      <c r="I165" s="125" t="s">
        <v>2733</v>
      </c>
      <c r="J165" s="125">
        <v>343024.0</v>
      </c>
      <c r="K165" s="125">
        <v>97001.0</v>
      </c>
      <c r="L165" s="125">
        <v>2837.0</v>
      </c>
      <c r="M165" s="125">
        <v>394931.0</v>
      </c>
      <c r="N165" s="125">
        <v>-65476.0</v>
      </c>
      <c r="O165" s="125"/>
      <c r="P165" s="125"/>
      <c r="Q165" s="125"/>
      <c r="R165" s="125"/>
      <c r="S165" s="125"/>
      <c r="T165" s="125"/>
      <c r="U165" s="125"/>
      <c r="V165" s="125"/>
    </row>
    <row r="166">
      <c r="A166" s="122" t="s">
        <v>2105</v>
      </c>
      <c r="B166" s="122" t="s">
        <v>2106</v>
      </c>
      <c r="C166" s="125">
        <v>0.0</v>
      </c>
      <c r="D166" s="125">
        <v>0.0</v>
      </c>
      <c r="E166" s="125">
        <v>0.0</v>
      </c>
      <c r="F166" s="125">
        <v>0.0</v>
      </c>
      <c r="G166" s="125">
        <v>0.0</v>
      </c>
      <c r="H166" s="125">
        <v>0.0</v>
      </c>
      <c r="I166" s="125">
        <v>0.0</v>
      </c>
      <c r="J166" s="125">
        <v>0.0</v>
      </c>
      <c r="K166" s="125">
        <v>0.0</v>
      </c>
      <c r="L166" s="125">
        <v>0.0</v>
      </c>
      <c r="M166" s="125">
        <v>0.0</v>
      </c>
      <c r="N166" s="125">
        <v>0.0</v>
      </c>
      <c r="O166" s="125"/>
      <c r="P166" s="125"/>
      <c r="Q166" s="125"/>
      <c r="R166" s="125"/>
      <c r="S166" s="125"/>
      <c r="T166" s="125"/>
      <c r="U166" s="125"/>
      <c r="V166" s="125"/>
    </row>
    <row r="167">
      <c r="A167" s="122" t="s">
        <v>485</v>
      </c>
      <c r="B167" s="122" t="s">
        <v>486</v>
      </c>
      <c r="C167" s="125">
        <v>8958670.0</v>
      </c>
      <c r="D167" s="125">
        <v>8958670.0</v>
      </c>
      <c r="E167" s="125">
        <v>305.0</v>
      </c>
      <c r="F167" s="125">
        <v>0.0</v>
      </c>
      <c r="G167" s="125">
        <v>6227519.0</v>
      </c>
      <c r="H167" s="125">
        <v>2731151.0</v>
      </c>
      <c r="I167" s="125" t="s">
        <v>2734</v>
      </c>
      <c r="J167" s="125">
        <v>3025675.0</v>
      </c>
      <c r="K167" s="125">
        <v>745725.0</v>
      </c>
      <c r="L167" s="125">
        <v>11730.0</v>
      </c>
      <c r="M167" s="125">
        <v>1343684.0</v>
      </c>
      <c r="N167" s="125">
        <v>-1100705.0</v>
      </c>
      <c r="O167" s="125"/>
      <c r="P167" s="125"/>
      <c r="Q167" s="125"/>
      <c r="R167" s="125"/>
      <c r="S167" s="125"/>
      <c r="T167" s="125"/>
      <c r="U167" s="125"/>
      <c r="V167" s="125"/>
    </row>
    <row r="168">
      <c r="A168" s="122" t="s">
        <v>2107</v>
      </c>
      <c r="B168" s="122" t="s">
        <v>2108</v>
      </c>
      <c r="C168" s="125">
        <v>0.0</v>
      </c>
      <c r="D168" s="125">
        <v>0.0</v>
      </c>
      <c r="E168" s="125">
        <v>0.0</v>
      </c>
      <c r="F168" s="125">
        <v>0.0</v>
      </c>
      <c r="G168" s="125">
        <v>57842.0</v>
      </c>
      <c r="H168" s="125">
        <v>-57842.0</v>
      </c>
      <c r="I168" s="125">
        <v>0.0</v>
      </c>
      <c r="J168" s="125">
        <v>0.0</v>
      </c>
      <c r="K168" s="125">
        <v>57842.0</v>
      </c>
      <c r="L168" s="125">
        <v>0.0</v>
      </c>
      <c r="M168" s="125">
        <v>0.0</v>
      </c>
      <c r="N168" s="125">
        <v>0.0</v>
      </c>
      <c r="O168" s="125"/>
      <c r="P168" s="125"/>
      <c r="Q168" s="125"/>
      <c r="R168" s="125"/>
      <c r="S168" s="125"/>
      <c r="T168" s="125"/>
      <c r="U168" s="125"/>
      <c r="V168" s="125"/>
    </row>
    <row r="169">
      <c r="A169" s="122" t="s">
        <v>2109</v>
      </c>
      <c r="B169" s="122" t="s">
        <v>2110</v>
      </c>
      <c r="C169" s="125">
        <v>0.0</v>
      </c>
      <c r="D169" s="125">
        <v>0.0</v>
      </c>
      <c r="E169" s="125">
        <v>0.0</v>
      </c>
      <c r="F169" s="125">
        <v>0.0</v>
      </c>
      <c r="G169" s="125">
        <v>0.0</v>
      </c>
      <c r="H169" s="125">
        <v>0.0</v>
      </c>
      <c r="I169" s="125">
        <v>0.0</v>
      </c>
      <c r="J169" s="125">
        <v>0.0</v>
      </c>
      <c r="K169" s="125">
        <v>0.0</v>
      </c>
      <c r="L169" s="125">
        <v>0.0</v>
      </c>
      <c r="M169" s="125">
        <v>0.0</v>
      </c>
      <c r="N169" s="125">
        <v>0.0</v>
      </c>
      <c r="O169" s="125"/>
      <c r="P169" s="125"/>
      <c r="Q169" s="125"/>
      <c r="R169" s="125"/>
      <c r="S169" s="125"/>
      <c r="T169" s="125"/>
      <c r="U169" s="125"/>
      <c r="V169" s="125"/>
    </row>
    <row r="170">
      <c r="A170" s="122" t="s">
        <v>954</v>
      </c>
      <c r="B170" s="122" t="s">
        <v>956</v>
      </c>
      <c r="C170" s="125">
        <v>730347.0</v>
      </c>
      <c r="D170" s="125">
        <v>730347.0</v>
      </c>
      <c r="E170" s="125">
        <v>58.0</v>
      </c>
      <c r="F170" s="125">
        <v>0.0</v>
      </c>
      <c r="G170" s="125">
        <v>434429.0</v>
      </c>
      <c r="H170" s="125">
        <v>295918.0</v>
      </c>
      <c r="I170" s="125" t="s">
        <v>2686</v>
      </c>
      <c r="J170" s="125">
        <v>240932.0</v>
      </c>
      <c r="K170" s="125">
        <v>7601.0</v>
      </c>
      <c r="L170" s="125">
        <v>4199.0</v>
      </c>
      <c r="M170" s="125">
        <v>164895.0</v>
      </c>
      <c r="N170" s="125">
        <v>-16802.0</v>
      </c>
      <c r="O170" s="125"/>
      <c r="P170" s="125"/>
      <c r="Q170" s="125"/>
      <c r="R170" s="125"/>
      <c r="S170" s="125"/>
      <c r="T170" s="125"/>
      <c r="U170" s="125"/>
      <c r="V170" s="125"/>
    </row>
    <row r="171">
      <c r="A171" s="122" t="s">
        <v>976</v>
      </c>
      <c r="B171" s="122" t="s">
        <v>1889</v>
      </c>
      <c r="C171" s="125">
        <v>0.0</v>
      </c>
      <c r="D171" s="125">
        <v>0.0</v>
      </c>
      <c r="E171" s="125">
        <v>0.0</v>
      </c>
      <c r="F171" s="125">
        <v>0.0</v>
      </c>
      <c r="G171" s="125">
        <v>0.0</v>
      </c>
      <c r="H171" s="125">
        <v>0.0</v>
      </c>
      <c r="I171" s="125">
        <v>0.0</v>
      </c>
      <c r="J171" s="125">
        <v>0.0</v>
      </c>
      <c r="K171" s="125">
        <v>0.0</v>
      </c>
      <c r="L171" s="125">
        <v>0.0</v>
      </c>
      <c r="M171" s="125">
        <v>0.0</v>
      </c>
      <c r="N171" s="125">
        <v>0.0</v>
      </c>
      <c r="O171" s="125"/>
      <c r="P171" s="125"/>
      <c r="Q171" s="125"/>
      <c r="R171" s="125"/>
      <c r="S171" s="125"/>
      <c r="T171" s="125"/>
      <c r="U171" s="125"/>
      <c r="V171" s="125"/>
    </row>
    <row r="172">
      <c r="A172" s="122" t="s">
        <v>674</v>
      </c>
      <c r="B172" s="122" t="s">
        <v>676</v>
      </c>
      <c r="C172" s="125">
        <v>4396409.0</v>
      </c>
      <c r="D172" s="125">
        <v>4394409.0</v>
      </c>
      <c r="E172" s="125">
        <v>226.0</v>
      </c>
      <c r="F172" s="125">
        <v>2000.0</v>
      </c>
      <c r="G172" s="125">
        <v>3262630.0</v>
      </c>
      <c r="H172" s="125">
        <v>1133779.0</v>
      </c>
      <c r="I172" s="125" t="s">
        <v>2735</v>
      </c>
      <c r="J172" s="125">
        <v>2249092.0</v>
      </c>
      <c r="K172" s="125">
        <v>83203.0</v>
      </c>
      <c r="L172" s="125">
        <v>13851.0</v>
      </c>
      <c r="M172" s="125">
        <v>869794.0</v>
      </c>
      <c r="N172" s="125">
        <v>-46690.0</v>
      </c>
      <c r="O172" s="125"/>
      <c r="P172" s="125"/>
      <c r="Q172" s="125"/>
      <c r="R172" s="125"/>
      <c r="S172" s="125"/>
      <c r="T172" s="125"/>
      <c r="U172" s="125"/>
      <c r="V172" s="125"/>
    </row>
    <row r="173">
      <c r="A173" s="122" t="s">
        <v>2111</v>
      </c>
      <c r="B173" s="122" t="s">
        <v>2112</v>
      </c>
      <c r="C173" s="125">
        <v>0.0</v>
      </c>
      <c r="D173" s="125">
        <v>0.0</v>
      </c>
      <c r="E173" s="125">
        <v>0.0</v>
      </c>
      <c r="F173" s="125">
        <v>0.0</v>
      </c>
      <c r="G173" s="125">
        <v>0.0</v>
      </c>
      <c r="H173" s="125">
        <v>0.0</v>
      </c>
      <c r="I173" s="125">
        <v>0.0</v>
      </c>
      <c r="J173" s="125">
        <v>0.0</v>
      </c>
      <c r="K173" s="125">
        <v>0.0</v>
      </c>
      <c r="L173" s="125">
        <v>0.0</v>
      </c>
      <c r="M173" s="125">
        <v>0.0</v>
      </c>
      <c r="N173" s="125">
        <v>0.0</v>
      </c>
      <c r="O173" s="125"/>
      <c r="P173" s="125"/>
      <c r="Q173" s="125"/>
      <c r="R173" s="125"/>
      <c r="S173" s="125"/>
      <c r="T173" s="125"/>
      <c r="U173" s="125"/>
      <c r="V173" s="125"/>
    </row>
    <row r="174">
      <c r="A174" s="122" t="s">
        <v>586</v>
      </c>
      <c r="B174" s="122" t="s">
        <v>1894</v>
      </c>
      <c r="C174" s="125">
        <v>1187733.0</v>
      </c>
      <c r="D174" s="125">
        <v>1187733.0</v>
      </c>
      <c r="E174" s="125">
        <v>18.0</v>
      </c>
      <c r="F174" s="125">
        <v>0.0</v>
      </c>
      <c r="G174" s="125">
        <v>763680.0</v>
      </c>
      <c r="H174" s="125">
        <v>424053.0</v>
      </c>
      <c r="I174" s="125" t="s">
        <v>2736</v>
      </c>
      <c r="J174" s="125">
        <v>433386.0</v>
      </c>
      <c r="K174" s="125">
        <v>56848.0</v>
      </c>
      <c r="L174" s="125">
        <v>1764.0</v>
      </c>
      <c r="M174" s="125">
        <v>183438.0</v>
      </c>
      <c r="N174" s="125">
        <v>-88244.0</v>
      </c>
      <c r="O174" s="125"/>
      <c r="P174" s="125"/>
      <c r="Q174" s="125"/>
      <c r="R174" s="125"/>
      <c r="S174" s="125"/>
      <c r="T174" s="125"/>
      <c r="U174" s="125"/>
      <c r="V174" s="125"/>
    </row>
    <row r="175">
      <c r="A175" s="122" t="s">
        <v>2113</v>
      </c>
      <c r="B175" s="122" t="s">
        <v>2114</v>
      </c>
      <c r="C175" s="125">
        <v>0.0</v>
      </c>
      <c r="D175" s="125">
        <v>0.0</v>
      </c>
      <c r="E175" s="125">
        <v>0.0</v>
      </c>
      <c r="F175" s="125">
        <v>0.0</v>
      </c>
      <c r="G175" s="125">
        <v>0.0</v>
      </c>
      <c r="H175" s="125">
        <v>0.0</v>
      </c>
      <c r="I175" s="125">
        <v>0.0</v>
      </c>
      <c r="J175" s="125">
        <v>0.0</v>
      </c>
      <c r="K175" s="125">
        <v>0.0</v>
      </c>
      <c r="L175" s="125">
        <v>0.0</v>
      </c>
      <c r="M175" s="125">
        <v>0.0</v>
      </c>
      <c r="N175" s="125">
        <v>0.0</v>
      </c>
      <c r="O175" s="125"/>
      <c r="P175" s="125"/>
      <c r="Q175" s="125"/>
      <c r="R175" s="125"/>
      <c r="S175" s="125"/>
      <c r="T175" s="125"/>
      <c r="U175" s="125"/>
      <c r="V175" s="125"/>
    </row>
    <row r="176">
      <c r="A176" s="122" t="s">
        <v>476</v>
      </c>
      <c r="B176" s="122" t="s">
        <v>478</v>
      </c>
      <c r="C176" s="125">
        <v>1.1286878E7</v>
      </c>
      <c r="D176" s="125">
        <v>1.1219878E7</v>
      </c>
      <c r="E176" s="125">
        <v>234.0</v>
      </c>
      <c r="F176" s="125">
        <v>67000.0</v>
      </c>
      <c r="G176" s="125">
        <v>7183061.0</v>
      </c>
      <c r="H176" s="125">
        <v>4103817.0</v>
      </c>
      <c r="I176" s="125" t="s">
        <v>2737</v>
      </c>
      <c r="J176" s="125">
        <v>4008186.0</v>
      </c>
      <c r="K176" s="125">
        <v>549194.0</v>
      </c>
      <c r="L176" s="125">
        <v>12616.0</v>
      </c>
      <c r="M176" s="125">
        <v>1688389.0</v>
      </c>
      <c r="N176" s="125">
        <v>-924676.0</v>
      </c>
      <c r="O176" s="125"/>
      <c r="P176" s="125"/>
      <c r="Q176" s="125"/>
      <c r="R176" s="125"/>
      <c r="S176" s="125"/>
      <c r="T176" s="125"/>
      <c r="U176" s="125"/>
      <c r="V176" s="125"/>
    </row>
    <row r="177">
      <c r="A177" s="122" t="s">
        <v>905</v>
      </c>
      <c r="B177" s="122" t="s">
        <v>907</v>
      </c>
      <c r="C177" s="125">
        <v>1896235.0</v>
      </c>
      <c r="D177" s="125">
        <v>1896235.0</v>
      </c>
      <c r="E177" s="125">
        <v>86.0</v>
      </c>
      <c r="F177" s="125">
        <v>0.0</v>
      </c>
      <c r="G177" s="125">
        <v>1398860.0</v>
      </c>
      <c r="H177" s="125">
        <v>497375.0</v>
      </c>
      <c r="I177" s="125" t="s">
        <v>2738</v>
      </c>
      <c r="J177" s="125">
        <v>949784.0</v>
      </c>
      <c r="K177" s="125">
        <v>32029.0</v>
      </c>
      <c r="L177" s="125">
        <v>2766.0</v>
      </c>
      <c r="M177" s="125">
        <v>310618.0</v>
      </c>
      <c r="N177" s="125">
        <v>-103663.0</v>
      </c>
      <c r="O177" s="125"/>
      <c r="P177" s="125"/>
      <c r="Q177" s="125"/>
      <c r="R177" s="125"/>
      <c r="S177" s="125"/>
      <c r="T177" s="125"/>
      <c r="U177" s="125"/>
      <c r="V177" s="125"/>
    </row>
    <row r="178">
      <c r="A178" s="122" t="s">
        <v>891</v>
      </c>
      <c r="B178" s="122" t="s">
        <v>1870</v>
      </c>
      <c r="C178" s="125">
        <v>272624.0</v>
      </c>
      <c r="D178" s="125">
        <v>272624.0</v>
      </c>
      <c r="E178" s="125">
        <v>18.0</v>
      </c>
      <c r="F178" s="125">
        <v>0.0</v>
      </c>
      <c r="G178" s="125">
        <v>220183.0</v>
      </c>
      <c r="H178" s="125">
        <v>52441.0</v>
      </c>
      <c r="I178" s="125" t="s">
        <v>2739</v>
      </c>
      <c r="J178" s="125">
        <v>126990.0</v>
      </c>
      <c r="K178" s="125">
        <v>33344.0</v>
      </c>
      <c r="L178" s="125">
        <v>1131.0</v>
      </c>
      <c r="M178" s="125">
        <v>54186.0</v>
      </c>
      <c r="N178" s="125">
        <v>-4532.0</v>
      </c>
      <c r="O178" s="125"/>
      <c r="P178" s="125"/>
      <c r="Q178" s="125"/>
      <c r="R178" s="125"/>
      <c r="S178" s="125"/>
      <c r="T178" s="125"/>
      <c r="U178" s="125"/>
      <c r="V178" s="125"/>
    </row>
    <row r="179">
      <c r="A179" s="122" t="s">
        <v>819</v>
      </c>
      <c r="B179" s="122" t="s">
        <v>2682</v>
      </c>
      <c r="C179" s="125">
        <v>96940.0</v>
      </c>
      <c r="D179" s="125">
        <v>96940.0</v>
      </c>
      <c r="E179" s="125">
        <v>11.0</v>
      </c>
      <c r="F179" s="125">
        <v>0.0</v>
      </c>
      <c r="G179" s="125">
        <v>78507.0</v>
      </c>
      <c r="H179" s="125">
        <v>18433.0</v>
      </c>
      <c r="I179" s="125" t="s">
        <v>2740</v>
      </c>
      <c r="J179" s="125">
        <v>50556.0</v>
      </c>
      <c r="K179" s="125">
        <v>3163.0</v>
      </c>
      <c r="L179" s="125">
        <v>0.0</v>
      </c>
      <c r="M179" s="125">
        <v>22598.0</v>
      </c>
      <c r="N179" s="125">
        <v>-2190.0</v>
      </c>
      <c r="O179" s="125"/>
      <c r="P179" s="125"/>
      <c r="Q179" s="125"/>
      <c r="R179" s="125"/>
      <c r="S179" s="125"/>
      <c r="T179" s="125"/>
      <c r="U179" s="125"/>
      <c r="V179" s="125"/>
    </row>
    <row r="180">
      <c r="A180" s="122" t="s">
        <v>583</v>
      </c>
      <c r="B180" s="122" t="s">
        <v>1893</v>
      </c>
      <c r="C180" s="125">
        <v>2577080.0</v>
      </c>
      <c r="D180" s="125">
        <v>2549080.0</v>
      </c>
      <c r="E180" s="125">
        <v>43.0</v>
      </c>
      <c r="F180" s="125">
        <v>28000.0</v>
      </c>
      <c r="G180" s="125">
        <v>1570841.0</v>
      </c>
      <c r="H180" s="125">
        <v>1006239.0</v>
      </c>
      <c r="I180" s="125" t="s">
        <v>2741</v>
      </c>
      <c r="J180" s="125">
        <v>884080.0</v>
      </c>
      <c r="K180" s="125">
        <v>113000.0</v>
      </c>
      <c r="L180" s="125">
        <v>1088.0</v>
      </c>
      <c r="M180" s="125">
        <v>407457.0</v>
      </c>
      <c r="N180" s="125">
        <v>-165216.0</v>
      </c>
      <c r="O180" s="125"/>
      <c r="P180" s="125"/>
      <c r="Q180" s="125"/>
      <c r="R180" s="125"/>
      <c r="S180" s="125"/>
      <c r="T180" s="125"/>
      <c r="U180" s="125"/>
      <c r="V180" s="125"/>
    </row>
    <row r="181">
      <c r="A181" s="122" t="s">
        <v>2115</v>
      </c>
      <c r="B181" s="122" t="s">
        <v>2051</v>
      </c>
      <c r="C181" s="125">
        <v>0.0</v>
      </c>
      <c r="D181" s="125">
        <v>0.0</v>
      </c>
      <c r="E181" s="125">
        <v>0.0</v>
      </c>
      <c r="F181" s="125">
        <v>0.0</v>
      </c>
      <c r="G181" s="125">
        <v>0.0</v>
      </c>
      <c r="H181" s="125">
        <v>0.0</v>
      </c>
      <c r="I181" s="125">
        <v>0.0</v>
      </c>
      <c r="J181" s="125">
        <v>0.0</v>
      </c>
      <c r="K181" s="125">
        <v>0.0</v>
      </c>
      <c r="L181" s="125">
        <v>0.0</v>
      </c>
      <c r="M181" s="125">
        <v>0.0</v>
      </c>
      <c r="N181" s="125">
        <v>0.0</v>
      </c>
      <c r="O181" s="125"/>
      <c r="P181" s="125"/>
      <c r="Q181" s="125"/>
      <c r="R181" s="125"/>
      <c r="S181" s="125"/>
      <c r="T181" s="125"/>
      <c r="U181" s="125"/>
      <c r="V181" s="125"/>
    </row>
    <row r="182">
      <c r="A182" s="122" t="s">
        <v>533</v>
      </c>
      <c r="B182" s="122" t="s">
        <v>1880</v>
      </c>
      <c r="C182" s="125">
        <v>3114628.0</v>
      </c>
      <c r="D182" s="125">
        <v>3097628.0</v>
      </c>
      <c r="E182" s="125">
        <v>162.0</v>
      </c>
      <c r="F182" s="125">
        <v>17000.0</v>
      </c>
      <c r="G182" s="125">
        <v>1482316.0</v>
      </c>
      <c r="H182" s="125">
        <v>1632312.0</v>
      </c>
      <c r="I182" s="125" t="s">
        <v>2742</v>
      </c>
      <c r="J182" s="125">
        <v>690120.0</v>
      </c>
      <c r="K182" s="125">
        <v>110304.0</v>
      </c>
      <c r="L182" s="125">
        <v>5624.0</v>
      </c>
      <c r="M182" s="125">
        <v>606573.0</v>
      </c>
      <c r="N182" s="125">
        <v>-69695.0</v>
      </c>
      <c r="O182" s="125"/>
      <c r="P182" s="125"/>
      <c r="Q182" s="125"/>
      <c r="R182" s="125"/>
      <c r="S182" s="125"/>
      <c r="T182" s="125"/>
      <c r="U182" s="125"/>
      <c r="V182" s="125"/>
    </row>
    <row r="183">
      <c r="A183" s="122" t="s">
        <v>704</v>
      </c>
      <c r="B183" s="122" t="s">
        <v>706</v>
      </c>
      <c r="C183" s="125">
        <v>1.9768535E7</v>
      </c>
      <c r="D183" s="125">
        <v>1.9719535E7</v>
      </c>
      <c r="E183" s="125">
        <v>564.0</v>
      </c>
      <c r="F183" s="125">
        <v>49000.0</v>
      </c>
      <c r="G183" s="125">
        <v>1.316172E7</v>
      </c>
      <c r="H183" s="125">
        <v>6606815.0</v>
      </c>
      <c r="I183" s="125" t="s">
        <v>2743</v>
      </c>
      <c r="J183" s="125">
        <v>7840375.0</v>
      </c>
      <c r="K183" s="125">
        <v>783239.0</v>
      </c>
      <c r="L183" s="125">
        <v>27716.0</v>
      </c>
      <c r="M183" s="125">
        <v>2794012.0</v>
      </c>
      <c r="N183" s="125">
        <v>-1716378.0</v>
      </c>
      <c r="O183" s="125"/>
      <c r="P183" s="125"/>
      <c r="Q183" s="125"/>
      <c r="R183" s="125"/>
      <c r="S183" s="125"/>
      <c r="T183" s="125"/>
      <c r="U183" s="125"/>
      <c r="V183" s="125"/>
    </row>
    <row r="184">
      <c r="A184" s="122" t="s">
        <v>2116</v>
      </c>
      <c r="B184" s="122" t="s">
        <v>2117</v>
      </c>
      <c r="C184" s="125">
        <v>0.0</v>
      </c>
      <c r="D184" s="125">
        <v>0.0</v>
      </c>
      <c r="E184" s="125">
        <v>0.0</v>
      </c>
      <c r="F184" s="125">
        <v>0.0</v>
      </c>
      <c r="G184" s="125">
        <v>0.0</v>
      </c>
      <c r="H184" s="125">
        <v>0.0</v>
      </c>
      <c r="I184" s="125">
        <v>0.0</v>
      </c>
      <c r="J184" s="125">
        <v>0.0</v>
      </c>
      <c r="K184" s="125">
        <v>0.0</v>
      </c>
      <c r="L184" s="125">
        <v>0.0</v>
      </c>
      <c r="M184" s="125">
        <v>0.0</v>
      </c>
      <c r="N184" s="125">
        <v>0.0</v>
      </c>
      <c r="O184" s="125"/>
      <c r="P184" s="125"/>
      <c r="Q184" s="125"/>
      <c r="R184" s="125"/>
      <c r="S184" s="125"/>
      <c r="T184" s="125"/>
      <c r="U184" s="125"/>
      <c r="V184" s="125"/>
    </row>
    <row r="185">
      <c r="A185" s="122" t="s">
        <v>530</v>
      </c>
      <c r="B185" s="122" t="s">
        <v>1833</v>
      </c>
      <c r="C185" s="125">
        <v>4495015.0</v>
      </c>
      <c r="D185" s="125">
        <v>4495015.0</v>
      </c>
      <c r="E185" s="125">
        <v>181.0</v>
      </c>
      <c r="F185" s="125">
        <v>0.0</v>
      </c>
      <c r="G185" s="125">
        <v>2683466.0</v>
      </c>
      <c r="H185" s="125">
        <v>1811549.0</v>
      </c>
      <c r="I185" s="125" t="s">
        <v>2744</v>
      </c>
      <c r="J185" s="125">
        <v>1244298.0</v>
      </c>
      <c r="K185" s="125">
        <v>131713.0</v>
      </c>
      <c r="L185" s="125">
        <v>3694.0</v>
      </c>
      <c r="M185" s="125">
        <v>752428.0</v>
      </c>
      <c r="N185" s="125">
        <v>-551333.0</v>
      </c>
      <c r="O185" s="125"/>
      <c r="P185" s="125"/>
      <c r="Q185" s="125"/>
      <c r="R185" s="125"/>
      <c r="S185" s="125"/>
      <c r="T185" s="125"/>
      <c r="U185" s="125"/>
      <c r="V185" s="125"/>
    </row>
    <row r="186">
      <c r="A186" s="122" t="s">
        <v>2118</v>
      </c>
      <c r="B186" s="122" t="s">
        <v>2119</v>
      </c>
      <c r="C186" s="125">
        <v>0.0</v>
      </c>
      <c r="D186" s="125">
        <v>0.0</v>
      </c>
      <c r="E186" s="125">
        <v>0.0</v>
      </c>
      <c r="F186" s="125">
        <v>0.0</v>
      </c>
      <c r="G186" s="125">
        <v>0.0</v>
      </c>
      <c r="H186" s="125">
        <v>0.0</v>
      </c>
      <c r="I186" s="125">
        <v>0.0</v>
      </c>
      <c r="J186" s="125">
        <v>0.0</v>
      </c>
      <c r="K186" s="125">
        <v>0.0</v>
      </c>
      <c r="L186" s="125">
        <v>0.0</v>
      </c>
      <c r="M186" s="125">
        <v>0.0</v>
      </c>
      <c r="N186" s="125">
        <v>0.0</v>
      </c>
      <c r="O186" s="125"/>
      <c r="P186" s="125"/>
      <c r="Q186" s="125"/>
      <c r="R186" s="125"/>
      <c r="S186" s="125"/>
      <c r="T186" s="125"/>
      <c r="U186" s="125"/>
      <c r="V186" s="125"/>
    </row>
    <row r="187">
      <c r="A187" s="122" t="s">
        <v>441</v>
      </c>
      <c r="B187" s="122" t="s">
        <v>443</v>
      </c>
      <c r="C187" s="125">
        <v>1.15830747E8</v>
      </c>
      <c r="D187" s="125">
        <v>1.15830747E8</v>
      </c>
      <c r="E187" s="125">
        <v>5780.0</v>
      </c>
      <c r="F187" s="125">
        <v>0.0</v>
      </c>
      <c r="G187" s="125">
        <v>7.6786144E7</v>
      </c>
      <c r="H187" s="125">
        <v>3.9044603E7</v>
      </c>
      <c r="I187" s="125" t="s">
        <v>2745</v>
      </c>
      <c r="J187" s="125">
        <v>4.9588376E7</v>
      </c>
      <c r="K187" s="125">
        <v>2503983.0</v>
      </c>
      <c r="L187" s="125">
        <v>69638.0</v>
      </c>
      <c r="M187" s="125">
        <v>2.2690031E7</v>
      </c>
      <c r="N187" s="125">
        <v>-1934116.0</v>
      </c>
      <c r="O187" s="125"/>
      <c r="P187" s="125"/>
      <c r="Q187" s="125"/>
      <c r="R187" s="125"/>
      <c r="S187" s="125"/>
      <c r="T187" s="125"/>
      <c r="U187" s="125"/>
      <c r="V187" s="125"/>
    </row>
    <row r="188">
      <c r="A188" s="122" t="s">
        <v>2120</v>
      </c>
      <c r="B188" s="122" t="s">
        <v>2017</v>
      </c>
      <c r="C188" s="125">
        <v>0.0</v>
      </c>
      <c r="D188" s="125">
        <v>0.0</v>
      </c>
      <c r="E188" s="125">
        <v>0.0</v>
      </c>
      <c r="F188" s="125">
        <v>0.0</v>
      </c>
      <c r="G188" s="125">
        <v>0.0</v>
      </c>
      <c r="H188" s="125">
        <v>0.0</v>
      </c>
      <c r="I188" s="125">
        <v>0.0</v>
      </c>
      <c r="J188" s="125">
        <v>0.0</v>
      </c>
      <c r="K188" s="125">
        <v>0.0</v>
      </c>
      <c r="L188" s="125">
        <v>0.0</v>
      </c>
      <c r="M188" s="125">
        <v>0.0</v>
      </c>
      <c r="N188" s="125">
        <v>0.0</v>
      </c>
      <c r="O188" s="125"/>
      <c r="P188" s="125"/>
      <c r="Q188" s="125"/>
      <c r="R188" s="125"/>
      <c r="S188" s="125"/>
      <c r="T188" s="125"/>
      <c r="U188" s="125"/>
      <c r="V188" s="125"/>
    </row>
    <row r="189">
      <c r="A189" s="122" t="s">
        <v>2121</v>
      </c>
      <c r="B189" s="122" t="s">
        <v>2122</v>
      </c>
      <c r="C189" s="125">
        <v>0.0</v>
      </c>
      <c r="D189" s="125">
        <v>0.0</v>
      </c>
      <c r="E189" s="125">
        <v>0.0</v>
      </c>
      <c r="F189" s="125">
        <v>0.0</v>
      </c>
      <c r="G189" s="125">
        <v>0.0</v>
      </c>
      <c r="H189" s="125">
        <v>0.0</v>
      </c>
      <c r="I189" s="125">
        <v>0.0</v>
      </c>
      <c r="J189" s="125">
        <v>0.0</v>
      </c>
      <c r="K189" s="125">
        <v>0.0</v>
      </c>
      <c r="L189" s="125">
        <v>0.0</v>
      </c>
      <c r="M189" s="125">
        <v>0.0</v>
      </c>
      <c r="N189" s="125">
        <v>0.0</v>
      </c>
      <c r="O189" s="125"/>
      <c r="P189" s="125"/>
      <c r="Q189" s="125"/>
      <c r="R189" s="125"/>
      <c r="S189" s="125"/>
      <c r="T189" s="125"/>
      <c r="U189" s="125"/>
      <c r="V189" s="125"/>
    </row>
    <row r="190">
      <c r="A190" s="122" t="s">
        <v>574</v>
      </c>
      <c r="B190" s="122" t="s">
        <v>2123</v>
      </c>
      <c r="C190" s="125">
        <v>0.0</v>
      </c>
      <c r="D190" s="125">
        <v>0.0</v>
      </c>
      <c r="E190" s="125">
        <v>0.0</v>
      </c>
      <c r="F190" s="125">
        <v>0.0</v>
      </c>
      <c r="G190" s="125">
        <v>0.0</v>
      </c>
      <c r="H190" s="125">
        <v>0.0</v>
      </c>
      <c r="I190" s="125">
        <v>0.0</v>
      </c>
      <c r="J190" s="125">
        <v>0.0</v>
      </c>
      <c r="K190" s="125">
        <v>0.0</v>
      </c>
      <c r="L190" s="125">
        <v>0.0</v>
      </c>
      <c r="M190" s="125">
        <v>0.0</v>
      </c>
      <c r="N190" s="125">
        <v>0.0</v>
      </c>
      <c r="O190" s="125"/>
      <c r="P190" s="125"/>
      <c r="Q190" s="125"/>
      <c r="R190" s="125"/>
      <c r="S190" s="125"/>
      <c r="T190" s="125"/>
      <c r="U190" s="125"/>
      <c r="V190" s="125"/>
    </row>
    <row r="191">
      <c r="A191" s="122" t="s">
        <v>801</v>
      </c>
      <c r="B191" s="122" t="s">
        <v>803</v>
      </c>
      <c r="C191" s="125">
        <v>0.0</v>
      </c>
      <c r="D191" s="125">
        <v>0.0</v>
      </c>
      <c r="E191" s="125">
        <v>0.0</v>
      </c>
      <c r="F191" s="125">
        <v>0.0</v>
      </c>
      <c r="G191" s="125">
        <v>0.0</v>
      </c>
      <c r="H191" s="125">
        <v>0.0</v>
      </c>
      <c r="I191" s="125">
        <v>0.0</v>
      </c>
      <c r="J191" s="125">
        <v>0.0</v>
      </c>
      <c r="K191" s="125">
        <v>0.0</v>
      </c>
      <c r="L191" s="125">
        <v>0.0</v>
      </c>
      <c r="M191" s="125">
        <v>0.0</v>
      </c>
      <c r="N191" s="125">
        <v>0.0</v>
      </c>
      <c r="O191" s="125"/>
      <c r="P191" s="125"/>
      <c r="Q191" s="125"/>
      <c r="R191" s="125"/>
      <c r="S191" s="125"/>
      <c r="T191" s="125"/>
      <c r="U191" s="125"/>
      <c r="V191" s="125"/>
    </row>
    <row r="192">
      <c r="A192" s="122" t="s">
        <v>959</v>
      </c>
      <c r="B192" s="122" t="s">
        <v>1873</v>
      </c>
      <c r="C192" s="125">
        <v>2995807.0</v>
      </c>
      <c r="D192" s="125">
        <v>2995807.0</v>
      </c>
      <c r="E192" s="125">
        <v>247.0</v>
      </c>
      <c r="F192" s="125">
        <v>0.0</v>
      </c>
      <c r="G192" s="125">
        <v>1776691.0</v>
      </c>
      <c r="H192" s="125">
        <v>1219116.0</v>
      </c>
      <c r="I192" s="125" t="s">
        <v>2746</v>
      </c>
      <c r="J192" s="125">
        <v>1011250.0</v>
      </c>
      <c r="K192" s="125">
        <v>32251.0</v>
      </c>
      <c r="L192" s="125">
        <v>11312.0</v>
      </c>
      <c r="M192" s="125">
        <v>675029.0</v>
      </c>
      <c r="N192" s="125">
        <v>-46849.0</v>
      </c>
      <c r="O192" s="125"/>
      <c r="P192" s="125"/>
      <c r="Q192" s="125"/>
      <c r="R192" s="125"/>
      <c r="S192" s="125"/>
      <c r="T192" s="125"/>
      <c r="U192" s="125"/>
      <c r="V192" s="125"/>
    </row>
    <row r="193">
      <c r="A193" s="122" t="s">
        <v>2124</v>
      </c>
      <c r="B193" s="122" t="s">
        <v>2125</v>
      </c>
      <c r="C193" s="125">
        <v>0.0</v>
      </c>
      <c r="D193" s="125">
        <v>0.0</v>
      </c>
      <c r="E193" s="125">
        <v>0.0</v>
      </c>
      <c r="F193" s="125">
        <v>0.0</v>
      </c>
      <c r="G193" s="125">
        <v>0.0</v>
      </c>
      <c r="H193" s="125">
        <v>0.0</v>
      </c>
      <c r="I193" s="125">
        <v>0.0</v>
      </c>
      <c r="J193" s="125">
        <v>0.0</v>
      </c>
      <c r="K193" s="125">
        <v>0.0</v>
      </c>
      <c r="L193" s="125">
        <v>0.0</v>
      </c>
      <c r="M193" s="125">
        <v>0.0</v>
      </c>
      <c r="N193" s="125">
        <v>0.0</v>
      </c>
      <c r="O193" s="125"/>
      <c r="P193" s="125"/>
      <c r="Q193" s="125"/>
      <c r="R193" s="125"/>
      <c r="S193" s="125"/>
      <c r="T193" s="125"/>
      <c r="U193" s="125"/>
      <c r="V193" s="125"/>
    </row>
    <row r="194">
      <c r="A194" s="122" t="s">
        <v>656</v>
      </c>
      <c r="B194" s="122" t="s">
        <v>658</v>
      </c>
      <c r="C194" s="125">
        <v>0.0</v>
      </c>
      <c r="D194" s="125">
        <v>0.0</v>
      </c>
      <c r="E194" s="125">
        <v>0.0</v>
      </c>
      <c r="F194" s="125">
        <v>0.0</v>
      </c>
      <c r="G194" s="125">
        <v>0.0</v>
      </c>
      <c r="H194" s="125">
        <v>0.0</v>
      </c>
      <c r="I194" s="125">
        <v>0.0</v>
      </c>
      <c r="J194" s="125">
        <v>0.0</v>
      </c>
      <c r="K194" s="125">
        <v>0.0</v>
      </c>
      <c r="L194" s="125">
        <v>0.0</v>
      </c>
      <c r="M194" s="125">
        <v>0.0</v>
      </c>
      <c r="N194" s="125">
        <v>0.0</v>
      </c>
      <c r="O194" s="125"/>
      <c r="P194" s="125"/>
      <c r="Q194" s="125"/>
      <c r="R194" s="125"/>
      <c r="S194" s="125"/>
      <c r="T194" s="125"/>
      <c r="U194" s="125"/>
      <c r="V194" s="125"/>
    </row>
    <row r="195">
      <c r="A195" s="122" t="s">
        <v>513</v>
      </c>
      <c r="B195" s="122" t="s">
        <v>515</v>
      </c>
      <c r="C195" s="125">
        <v>1.3008777E7</v>
      </c>
      <c r="D195" s="125">
        <v>1.2968777E7</v>
      </c>
      <c r="E195" s="125">
        <v>299.0</v>
      </c>
      <c r="F195" s="125">
        <v>40000.0</v>
      </c>
      <c r="G195" s="125">
        <v>1.0131487E7</v>
      </c>
      <c r="H195" s="125">
        <v>2877290.0</v>
      </c>
      <c r="I195" s="125" t="s">
        <v>2747</v>
      </c>
      <c r="J195" s="125">
        <v>3070358.0</v>
      </c>
      <c r="K195" s="125">
        <v>1238981.0</v>
      </c>
      <c r="L195" s="125">
        <v>0.0</v>
      </c>
      <c r="M195" s="125">
        <v>1950241.0</v>
      </c>
      <c r="N195" s="125">
        <v>-3871907.0</v>
      </c>
      <c r="O195" s="125"/>
      <c r="P195" s="125"/>
      <c r="Q195" s="125"/>
      <c r="R195" s="125"/>
      <c r="S195" s="125"/>
      <c r="T195" s="125"/>
      <c r="U195" s="125"/>
      <c r="V195" s="125"/>
    </row>
    <row r="196">
      <c r="A196" s="122" t="s">
        <v>2126</v>
      </c>
      <c r="B196" s="122" t="s">
        <v>2127</v>
      </c>
      <c r="C196" s="125">
        <v>0.0</v>
      </c>
      <c r="D196" s="125">
        <v>0.0</v>
      </c>
      <c r="E196" s="125">
        <v>0.0</v>
      </c>
      <c r="F196" s="125">
        <v>0.0</v>
      </c>
      <c r="G196" s="125">
        <v>0.0</v>
      </c>
      <c r="H196" s="125">
        <v>0.0</v>
      </c>
      <c r="I196" s="125">
        <v>0.0</v>
      </c>
      <c r="J196" s="125">
        <v>0.0</v>
      </c>
      <c r="K196" s="125">
        <v>0.0</v>
      </c>
      <c r="L196" s="125">
        <v>0.0</v>
      </c>
      <c r="M196" s="125">
        <v>0.0</v>
      </c>
      <c r="N196" s="125">
        <v>0.0</v>
      </c>
      <c r="O196" s="125"/>
      <c r="P196" s="125"/>
      <c r="Q196" s="125"/>
      <c r="R196" s="125"/>
      <c r="S196" s="125"/>
      <c r="T196" s="125"/>
      <c r="U196" s="125"/>
      <c r="V196" s="125"/>
    </row>
    <row r="197">
      <c r="A197" s="122" t="s">
        <v>951</v>
      </c>
      <c r="B197" s="122" t="s">
        <v>1871</v>
      </c>
      <c r="C197" s="125">
        <v>865602.0</v>
      </c>
      <c r="D197" s="125">
        <v>865602.0</v>
      </c>
      <c r="E197" s="125">
        <v>80.0</v>
      </c>
      <c r="F197" s="125">
        <v>0.0</v>
      </c>
      <c r="G197" s="125">
        <v>727217.0</v>
      </c>
      <c r="H197" s="125">
        <v>138385.0</v>
      </c>
      <c r="I197" s="125" t="s">
        <v>2748</v>
      </c>
      <c r="J197" s="125">
        <v>379520.0</v>
      </c>
      <c r="K197" s="125">
        <v>118372.0</v>
      </c>
      <c r="L197" s="125">
        <v>6036.0</v>
      </c>
      <c r="M197" s="125">
        <v>182899.0</v>
      </c>
      <c r="N197" s="125">
        <v>-40390.0</v>
      </c>
      <c r="O197" s="125"/>
      <c r="P197" s="125"/>
      <c r="Q197" s="125"/>
      <c r="R197" s="125"/>
      <c r="S197" s="125"/>
      <c r="T197" s="125"/>
      <c r="U197" s="125"/>
      <c r="V197" s="125"/>
    </row>
    <row r="198">
      <c r="A198" s="122" t="s">
        <v>709</v>
      </c>
      <c r="B198" s="122" t="s">
        <v>711</v>
      </c>
      <c r="C198" s="125">
        <v>1.2684232E7</v>
      </c>
      <c r="D198" s="125">
        <v>1.2684232E7</v>
      </c>
      <c r="E198" s="125">
        <v>1651.0</v>
      </c>
      <c r="F198" s="125">
        <v>0.0</v>
      </c>
      <c r="G198" s="125">
        <v>1.1219452E7</v>
      </c>
      <c r="H198" s="125">
        <v>1464780.0</v>
      </c>
      <c r="I198" s="125" t="s">
        <v>2749</v>
      </c>
      <c r="J198" s="125">
        <v>6678295.0</v>
      </c>
      <c r="K198" s="125">
        <v>1347087.0</v>
      </c>
      <c r="L198" s="125">
        <v>12191.0</v>
      </c>
      <c r="M198" s="125">
        <v>2663582.0</v>
      </c>
      <c r="N198" s="125">
        <v>-518297.0</v>
      </c>
      <c r="O198" s="125"/>
      <c r="P198" s="125"/>
      <c r="Q198" s="125"/>
      <c r="R198" s="125"/>
      <c r="S198" s="125"/>
      <c r="T198" s="125"/>
      <c r="U198" s="125"/>
      <c r="V198" s="125"/>
    </row>
    <row r="199">
      <c r="A199" s="122" t="s">
        <v>948</v>
      </c>
      <c r="B199" s="122" t="s">
        <v>1872</v>
      </c>
      <c r="C199" s="125">
        <v>1480380.0</v>
      </c>
      <c r="D199" s="125">
        <v>1480380.0</v>
      </c>
      <c r="E199" s="125">
        <v>136.0</v>
      </c>
      <c r="F199" s="125">
        <v>0.0</v>
      </c>
      <c r="G199" s="125">
        <v>1245820.0</v>
      </c>
      <c r="H199" s="125">
        <v>234560.0</v>
      </c>
      <c r="I199" s="125" t="s">
        <v>2750</v>
      </c>
      <c r="J199" s="125">
        <v>632672.0</v>
      </c>
      <c r="K199" s="125">
        <v>240846.0</v>
      </c>
      <c r="L199" s="125">
        <v>4412.0</v>
      </c>
      <c r="M199" s="125">
        <v>318659.0</v>
      </c>
      <c r="N199" s="125">
        <v>-49231.0</v>
      </c>
      <c r="O199" s="125"/>
      <c r="P199" s="125"/>
      <c r="Q199" s="125"/>
      <c r="R199" s="125"/>
      <c r="S199" s="125"/>
      <c r="T199" s="125"/>
      <c r="U199" s="125"/>
      <c r="V199" s="125"/>
    </row>
    <row r="200">
      <c r="A200" s="122" t="s">
        <v>724</v>
      </c>
      <c r="B200" s="122" t="s">
        <v>2128</v>
      </c>
      <c r="C200" s="125">
        <v>0.0</v>
      </c>
      <c r="D200" s="125">
        <v>0.0</v>
      </c>
      <c r="E200" s="125">
        <v>0.0</v>
      </c>
      <c r="F200" s="125">
        <v>0.0</v>
      </c>
      <c r="G200" s="125">
        <v>0.0</v>
      </c>
      <c r="H200" s="125">
        <v>0.0</v>
      </c>
      <c r="I200" s="125">
        <v>0.0</v>
      </c>
      <c r="J200" s="125">
        <v>0.0</v>
      </c>
      <c r="K200" s="125">
        <v>0.0</v>
      </c>
      <c r="L200" s="125">
        <v>0.0</v>
      </c>
      <c r="M200" s="125">
        <v>0.0</v>
      </c>
      <c r="N200" s="125">
        <v>0.0</v>
      </c>
      <c r="O200" s="125"/>
      <c r="P200" s="125"/>
      <c r="Q200" s="125"/>
      <c r="R200" s="125"/>
      <c r="S200" s="125"/>
      <c r="T200" s="125"/>
      <c r="U200" s="125"/>
      <c r="V200" s="125"/>
    </row>
    <row r="201">
      <c r="A201" s="122" t="s">
        <v>2129</v>
      </c>
      <c r="B201" s="122" t="s">
        <v>1905</v>
      </c>
      <c r="C201" s="125">
        <v>0.0</v>
      </c>
      <c r="D201" s="125">
        <v>0.0</v>
      </c>
      <c r="E201" s="125">
        <v>0.0</v>
      </c>
      <c r="F201" s="125">
        <v>0.0</v>
      </c>
      <c r="G201" s="125">
        <v>0.0</v>
      </c>
      <c r="H201" s="125">
        <v>0.0</v>
      </c>
      <c r="I201" s="125">
        <v>0.0</v>
      </c>
      <c r="J201" s="125">
        <v>0.0</v>
      </c>
      <c r="K201" s="125">
        <v>0.0</v>
      </c>
      <c r="L201" s="125">
        <v>0.0</v>
      </c>
      <c r="M201" s="125">
        <v>0.0</v>
      </c>
      <c r="N201" s="125">
        <v>0.0</v>
      </c>
      <c r="O201" s="125"/>
      <c r="P201" s="125"/>
      <c r="Q201" s="125"/>
      <c r="R201" s="125"/>
      <c r="S201" s="125"/>
      <c r="T201" s="125"/>
      <c r="U201" s="125"/>
      <c r="V201" s="125"/>
    </row>
    <row r="202">
      <c r="A202" s="122" t="s">
        <v>778</v>
      </c>
      <c r="B202" s="122" t="s">
        <v>779</v>
      </c>
      <c r="C202" s="125">
        <v>2708826.0</v>
      </c>
      <c r="D202" s="125">
        <v>2699826.0</v>
      </c>
      <c r="E202" s="125">
        <v>114.0</v>
      </c>
      <c r="F202" s="125">
        <v>9000.0</v>
      </c>
      <c r="G202" s="125">
        <v>1921839.0</v>
      </c>
      <c r="H202" s="125">
        <v>786987.0</v>
      </c>
      <c r="I202" s="125" t="s">
        <v>2751</v>
      </c>
      <c r="J202" s="125">
        <v>1083000.0</v>
      </c>
      <c r="K202" s="125">
        <v>105927.0</v>
      </c>
      <c r="L202" s="125">
        <v>24440.0</v>
      </c>
      <c r="M202" s="125">
        <v>461626.0</v>
      </c>
      <c r="N202" s="125">
        <v>-246846.0</v>
      </c>
      <c r="O202" s="125"/>
      <c r="P202" s="125"/>
      <c r="Q202" s="125"/>
      <c r="R202" s="125"/>
      <c r="S202" s="125"/>
      <c r="T202" s="125"/>
      <c r="U202" s="125"/>
      <c r="V202" s="125"/>
    </row>
    <row r="203">
      <c r="A203" s="122" t="s">
        <v>2130</v>
      </c>
      <c r="B203" s="122" t="s">
        <v>2131</v>
      </c>
      <c r="C203" s="125">
        <v>0.0</v>
      </c>
      <c r="D203" s="125">
        <v>0.0</v>
      </c>
      <c r="E203" s="125">
        <v>0.0</v>
      </c>
      <c r="F203" s="125">
        <v>0.0</v>
      </c>
      <c r="G203" s="125">
        <v>0.0</v>
      </c>
      <c r="H203" s="125">
        <v>0.0</v>
      </c>
      <c r="I203" s="125">
        <v>0.0</v>
      </c>
      <c r="J203" s="125">
        <v>0.0</v>
      </c>
      <c r="K203" s="125">
        <v>0.0</v>
      </c>
      <c r="L203" s="125">
        <v>0.0</v>
      </c>
      <c r="M203" s="125">
        <v>0.0</v>
      </c>
      <c r="N203" s="125">
        <v>0.0</v>
      </c>
      <c r="O203" s="125"/>
      <c r="P203" s="125"/>
      <c r="Q203" s="125"/>
      <c r="R203" s="125"/>
      <c r="S203" s="125"/>
      <c r="T203" s="125"/>
      <c r="U203" s="125"/>
      <c r="V203" s="125"/>
    </row>
    <row r="204">
      <c r="A204" s="122" t="s">
        <v>565</v>
      </c>
      <c r="B204" s="122" t="s">
        <v>1854</v>
      </c>
      <c r="C204" s="125">
        <v>4951144.0</v>
      </c>
      <c r="D204" s="125">
        <v>4951144.0</v>
      </c>
      <c r="E204" s="125">
        <v>335.0</v>
      </c>
      <c r="F204" s="125">
        <v>0.0</v>
      </c>
      <c r="G204" s="125">
        <v>2749152.0</v>
      </c>
      <c r="H204" s="125">
        <v>2201992.0</v>
      </c>
      <c r="I204" s="125" t="s">
        <v>2752</v>
      </c>
      <c r="J204" s="125">
        <v>1405768.0</v>
      </c>
      <c r="K204" s="125">
        <v>148032.0</v>
      </c>
      <c r="L204" s="125">
        <v>14485.0</v>
      </c>
      <c r="M204" s="125">
        <v>1097502.0</v>
      </c>
      <c r="N204" s="125">
        <v>-83365.0</v>
      </c>
      <c r="O204" s="125"/>
      <c r="P204" s="125"/>
      <c r="Q204" s="125"/>
      <c r="R204" s="125"/>
      <c r="S204" s="125"/>
      <c r="T204" s="125"/>
      <c r="U204" s="125"/>
      <c r="V204" s="125"/>
    </row>
    <row r="205">
      <c r="A205" s="122" t="s">
        <v>2132</v>
      </c>
      <c r="B205" s="122" t="s">
        <v>2133</v>
      </c>
      <c r="C205" s="125">
        <v>0.0</v>
      </c>
      <c r="D205" s="125">
        <v>0.0</v>
      </c>
      <c r="E205" s="125">
        <v>0.0</v>
      </c>
      <c r="F205" s="125">
        <v>0.0</v>
      </c>
      <c r="G205" s="125">
        <v>0.0</v>
      </c>
      <c r="H205" s="125">
        <v>0.0</v>
      </c>
      <c r="I205" s="125">
        <v>0.0</v>
      </c>
      <c r="J205" s="125">
        <v>0.0</v>
      </c>
      <c r="K205" s="125">
        <v>0.0</v>
      </c>
      <c r="L205" s="125">
        <v>0.0</v>
      </c>
      <c r="M205" s="125">
        <v>0.0</v>
      </c>
      <c r="N205" s="125">
        <v>0.0</v>
      </c>
      <c r="O205" s="125"/>
      <c r="P205" s="125"/>
      <c r="Q205" s="125"/>
      <c r="R205" s="125"/>
      <c r="S205" s="125"/>
      <c r="T205" s="125"/>
      <c r="U205" s="125"/>
      <c r="V205" s="125"/>
    </row>
    <row r="206">
      <c r="A206" s="122" t="s">
        <v>712</v>
      </c>
      <c r="B206" s="122" t="s">
        <v>714</v>
      </c>
      <c r="C206" s="125">
        <v>5254549.0</v>
      </c>
      <c r="D206" s="125">
        <v>5254549.0</v>
      </c>
      <c r="E206" s="125">
        <v>291.0</v>
      </c>
      <c r="F206" s="125">
        <v>0.0</v>
      </c>
      <c r="G206" s="125">
        <v>3358764.0</v>
      </c>
      <c r="H206" s="125">
        <v>1895785.0</v>
      </c>
      <c r="I206" s="125" t="s">
        <v>2753</v>
      </c>
      <c r="J206" s="125">
        <v>2058451.0</v>
      </c>
      <c r="K206" s="125">
        <v>171169.0</v>
      </c>
      <c r="L206" s="125">
        <v>9642.0</v>
      </c>
      <c r="M206" s="125">
        <v>1045485.0</v>
      </c>
      <c r="N206" s="125">
        <v>-74017.0</v>
      </c>
      <c r="O206" s="125"/>
      <c r="P206" s="125"/>
      <c r="Q206" s="125"/>
      <c r="R206" s="125"/>
      <c r="S206" s="125"/>
      <c r="T206" s="125"/>
      <c r="U206" s="125"/>
      <c r="V206" s="125"/>
    </row>
    <row r="207">
      <c r="A207" s="122" t="s">
        <v>490</v>
      </c>
      <c r="B207" s="122" t="s">
        <v>492</v>
      </c>
      <c r="C207" s="125">
        <v>1.3331393E7</v>
      </c>
      <c r="D207" s="125">
        <v>1.3331393E7</v>
      </c>
      <c r="E207" s="125">
        <v>225.0</v>
      </c>
      <c r="F207" s="125">
        <v>0.0</v>
      </c>
      <c r="G207" s="125">
        <v>8444133.0</v>
      </c>
      <c r="H207" s="125">
        <v>4887260.0</v>
      </c>
      <c r="I207" s="125" t="s">
        <v>2754</v>
      </c>
      <c r="J207" s="125">
        <v>5302773.0</v>
      </c>
      <c r="K207" s="125">
        <v>342027.0</v>
      </c>
      <c r="L207" s="125">
        <v>10260.0</v>
      </c>
      <c r="M207" s="125">
        <v>1999909.0</v>
      </c>
      <c r="N207" s="125">
        <v>-789164.0</v>
      </c>
      <c r="O207" s="125"/>
      <c r="P207" s="125"/>
      <c r="Q207" s="125"/>
      <c r="R207" s="125"/>
      <c r="S207" s="125"/>
      <c r="T207" s="125"/>
      <c r="U207" s="125"/>
      <c r="V207" s="125"/>
    </row>
    <row r="208">
      <c r="A208" s="122" t="s">
        <v>600</v>
      </c>
      <c r="B208" s="122" t="s">
        <v>602</v>
      </c>
      <c r="C208" s="125">
        <v>8930187.0</v>
      </c>
      <c r="D208" s="125">
        <v>8908187.0</v>
      </c>
      <c r="E208" s="125">
        <v>365.0</v>
      </c>
      <c r="F208" s="125">
        <v>22000.0</v>
      </c>
      <c r="G208" s="125">
        <v>6980877.0</v>
      </c>
      <c r="H208" s="125">
        <v>1949310.0</v>
      </c>
      <c r="I208" s="125" t="s">
        <v>2755</v>
      </c>
      <c r="J208" s="125">
        <v>4193287.0</v>
      </c>
      <c r="K208" s="125">
        <v>587904.0</v>
      </c>
      <c r="L208" s="125">
        <v>21011.0</v>
      </c>
      <c r="M208" s="125">
        <v>1380619.0</v>
      </c>
      <c r="N208" s="125">
        <v>-798056.0</v>
      </c>
      <c r="O208" s="125"/>
      <c r="P208" s="125"/>
      <c r="Q208" s="125"/>
      <c r="R208" s="125"/>
      <c r="S208" s="125"/>
      <c r="T208" s="125"/>
      <c r="U208" s="125"/>
      <c r="V208" s="125"/>
    </row>
    <row r="209">
      <c r="A209" s="122" t="s">
        <v>493</v>
      </c>
      <c r="B209" s="122" t="s">
        <v>495</v>
      </c>
      <c r="C209" s="125">
        <v>5613980.0</v>
      </c>
      <c r="D209" s="125">
        <v>5608980.0</v>
      </c>
      <c r="E209" s="125">
        <v>447.0</v>
      </c>
      <c r="F209" s="125">
        <v>5000.0</v>
      </c>
      <c r="G209" s="125">
        <v>3021105.0</v>
      </c>
      <c r="H209" s="125">
        <v>2592875.0</v>
      </c>
      <c r="I209" s="125" t="s">
        <v>2756</v>
      </c>
      <c r="J209" s="125">
        <v>1325355.0</v>
      </c>
      <c r="K209" s="125">
        <v>210880.0</v>
      </c>
      <c r="L209" s="125">
        <v>76200.0</v>
      </c>
      <c r="M209" s="125">
        <v>1319761.0</v>
      </c>
      <c r="N209" s="125">
        <v>-88909.0</v>
      </c>
      <c r="O209" s="125"/>
      <c r="P209" s="125"/>
      <c r="Q209" s="125"/>
      <c r="R209" s="125"/>
      <c r="S209" s="125"/>
      <c r="T209" s="125"/>
      <c r="U209" s="125"/>
      <c r="V209" s="125"/>
    </row>
    <row r="210">
      <c r="A210" s="122" t="s">
        <v>2134</v>
      </c>
      <c r="B210" s="122" t="s">
        <v>2135</v>
      </c>
      <c r="C210" s="125">
        <v>0.0</v>
      </c>
      <c r="D210" s="125">
        <v>0.0</v>
      </c>
      <c r="E210" s="125">
        <v>0.0</v>
      </c>
      <c r="F210" s="125">
        <v>0.0</v>
      </c>
      <c r="G210" s="125">
        <v>0.0</v>
      </c>
      <c r="H210" s="125">
        <v>0.0</v>
      </c>
      <c r="I210" s="125">
        <v>0.0</v>
      </c>
      <c r="J210" s="125">
        <v>0.0</v>
      </c>
      <c r="K210" s="125">
        <v>0.0</v>
      </c>
      <c r="L210" s="125">
        <v>0.0</v>
      </c>
      <c r="M210" s="125">
        <v>0.0</v>
      </c>
      <c r="N210" s="125">
        <v>0.0</v>
      </c>
      <c r="O210" s="125"/>
      <c r="P210" s="125"/>
      <c r="Q210" s="125"/>
      <c r="R210" s="125"/>
      <c r="S210" s="125"/>
      <c r="T210" s="125"/>
      <c r="U210" s="125"/>
      <c r="V210" s="125"/>
    </row>
    <row r="211">
      <c r="A211" s="122" t="s">
        <v>545</v>
      </c>
      <c r="B211" s="122" t="s">
        <v>547</v>
      </c>
      <c r="C211" s="125">
        <v>1.0141537E7</v>
      </c>
      <c r="D211" s="125">
        <v>1.0093537E7</v>
      </c>
      <c r="E211" s="125">
        <v>516.0</v>
      </c>
      <c r="F211" s="125">
        <v>48000.0</v>
      </c>
      <c r="G211" s="125">
        <v>6234997.0</v>
      </c>
      <c r="H211" s="125">
        <v>3906540.0</v>
      </c>
      <c r="I211" s="125" t="s">
        <v>2674</v>
      </c>
      <c r="J211" s="125">
        <v>3654958.0</v>
      </c>
      <c r="K211" s="125">
        <v>350081.0</v>
      </c>
      <c r="L211" s="125">
        <v>23355.0</v>
      </c>
      <c r="M211" s="125">
        <v>1967032.0</v>
      </c>
      <c r="N211" s="125">
        <v>-239571.0</v>
      </c>
      <c r="O211" s="125"/>
      <c r="P211" s="125"/>
      <c r="Q211" s="125"/>
      <c r="R211" s="125"/>
      <c r="S211" s="125"/>
      <c r="T211" s="125"/>
      <c r="U211" s="125"/>
      <c r="V211" s="125"/>
    </row>
    <row r="212">
      <c r="A212" s="122" t="s">
        <v>789</v>
      </c>
      <c r="B212" s="122" t="s">
        <v>791</v>
      </c>
      <c r="C212" s="125">
        <v>1371489.0</v>
      </c>
      <c r="D212" s="125">
        <v>1371489.0</v>
      </c>
      <c r="E212" s="125">
        <v>73.0</v>
      </c>
      <c r="F212" s="125">
        <v>0.0</v>
      </c>
      <c r="G212" s="125">
        <v>778948.0</v>
      </c>
      <c r="H212" s="125">
        <v>592541.0</v>
      </c>
      <c r="I212" s="125" t="s">
        <v>2757</v>
      </c>
      <c r="J212" s="125">
        <v>429094.0</v>
      </c>
      <c r="K212" s="125">
        <v>30456.0</v>
      </c>
      <c r="L212" s="125">
        <v>2169.0</v>
      </c>
      <c r="M212" s="125">
        <v>277313.0</v>
      </c>
      <c r="N212" s="125">
        <v>-39916.0</v>
      </c>
      <c r="O212" s="125"/>
      <c r="P212" s="125"/>
      <c r="Q212" s="125"/>
      <c r="R212" s="125"/>
      <c r="S212" s="125"/>
      <c r="T212" s="125"/>
      <c r="U212" s="125"/>
      <c r="V212" s="125"/>
    </row>
    <row r="213">
      <c r="A213" s="122" t="s">
        <v>653</v>
      </c>
      <c r="B213" s="122" t="s">
        <v>655</v>
      </c>
      <c r="C213" s="125">
        <v>1080062.0</v>
      </c>
      <c r="D213" s="125">
        <v>1080062.0</v>
      </c>
      <c r="E213" s="125">
        <v>137.0</v>
      </c>
      <c r="F213" s="125">
        <v>0.0</v>
      </c>
      <c r="G213" s="125">
        <v>460833.0</v>
      </c>
      <c r="H213" s="125">
        <v>619229.0</v>
      </c>
      <c r="I213" s="125" t="s">
        <v>2758</v>
      </c>
      <c r="J213" s="125">
        <v>158513.0</v>
      </c>
      <c r="K213" s="125">
        <v>25800.0</v>
      </c>
      <c r="L213" s="125">
        <v>2577.0</v>
      </c>
      <c r="M213" s="125">
        <v>222284.0</v>
      </c>
      <c r="N213" s="125">
        <v>-51659.0</v>
      </c>
      <c r="O213" s="125"/>
      <c r="P213" s="125"/>
      <c r="Q213" s="125"/>
      <c r="R213" s="125"/>
      <c r="S213" s="125"/>
      <c r="T213" s="125"/>
      <c r="U213" s="125"/>
      <c r="V213" s="125"/>
    </row>
    <row r="214">
      <c r="A214" s="122" t="s">
        <v>2136</v>
      </c>
      <c r="B214" s="122" t="s">
        <v>2039</v>
      </c>
      <c r="C214" s="125">
        <v>0.0</v>
      </c>
      <c r="D214" s="125">
        <v>0.0</v>
      </c>
      <c r="E214" s="125">
        <v>0.0</v>
      </c>
      <c r="F214" s="125">
        <v>0.0</v>
      </c>
      <c r="G214" s="125">
        <v>0.0</v>
      </c>
      <c r="H214" s="125">
        <v>0.0</v>
      </c>
      <c r="I214" s="125">
        <v>0.0</v>
      </c>
      <c r="J214" s="125">
        <v>0.0</v>
      </c>
      <c r="K214" s="125">
        <v>0.0</v>
      </c>
      <c r="L214" s="125">
        <v>0.0</v>
      </c>
      <c r="M214" s="125">
        <v>0.0</v>
      </c>
      <c r="N214" s="125">
        <v>0.0</v>
      </c>
      <c r="O214" s="125"/>
      <c r="P214" s="125"/>
      <c r="Q214" s="125"/>
      <c r="R214" s="125"/>
      <c r="S214" s="125"/>
      <c r="T214" s="125"/>
      <c r="U214" s="125"/>
      <c r="V214" s="125"/>
    </row>
    <row r="215">
      <c r="A215" s="122" t="s">
        <v>780</v>
      </c>
      <c r="B215" s="122" t="s">
        <v>1899</v>
      </c>
      <c r="C215" s="125">
        <v>30918.0</v>
      </c>
      <c r="D215" s="125">
        <v>30918.0</v>
      </c>
      <c r="E215" s="125">
        <v>1.0</v>
      </c>
      <c r="F215" s="125">
        <v>0.0</v>
      </c>
      <c r="G215" s="125">
        <v>20478.0</v>
      </c>
      <c r="H215" s="125">
        <v>10440.0</v>
      </c>
      <c r="I215" s="125" t="s">
        <v>2759</v>
      </c>
      <c r="J215" s="125">
        <v>12176.0</v>
      </c>
      <c r="K215" s="125">
        <v>0.0</v>
      </c>
      <c r="L215" s="125">
        <v>8.0</v>
      </c>
      <c r="M215" s="125">
        <v>4019.0</v>
      </c>
      <c r="N215" s="125">
        <v>-4275.0</v>
      </c>
      <c r="O215" s="125"/>
      <c r="P215" s="125"/>
      <c r="Q215" s="125"/>
      <c r="R215" s="125"/>
      <c r="S215" s="125"/>
      <c r="T215" s="125"/>
      <c r="U215" s="125"/>
      <c r="V215" s="125"/>
    </row>
    <row r="216">
      <c r="A216" s="122" t="s">
        <v>689</v>
      </c>
      <c r="B216" s="122" t="s">
        <v>691</v>
      </c>
      <c r="C216" s="125">
        <v>1.5841783E7</v>
      </c>
      <c r="D216" s="125">
        <v>1.5841783E7</v>
      </c>
      <c r="E216" s="125">
        <v>200.0</v>
      </c>
      <c r="F216" s="125">
        <v>0.0</v>
      </c>
      <c r="G216" s="125">
        <v>9405438.0</v>
      </c>
      <c r="H216" s="125">
        <v>6436345.0</v>
      </c>
      <c r="I216" s="125" t="s">
        <v>2760</v>
      </c>
      <c r="J216" s="125">
        <v>4796488.0</v>
      </c>
      <c r="K216" s="125">
        <v>795421.0</v>
      </c>
      <c r="L216" s="125">
        <v>35740.0</v>
      </c>
      <c r="M216" s="125">
        <v>2374846.0</v>
      </c>
      <c r="N216" s="125">
        <v>-1402943.0</v>
      </c>
      <c r="O216" s="125"/>
      <c r="P216" s="125"/>
      <c r="Q216" s="125"/>
      <c r="R216" s="125"/>
      <c r="S216" s="125"/>
      <c r="T216" s="125"/>
      <c r="U216" s="125"/>
      <c r="V216" s="125"/>
    </row>
    <row r="217">
      <c r="A217" s="122" t="s">
        <v>2137</v>
      </c>
      <c r="B217" s="122" t="s">
        <v>2002</v>
      </c>
      <c r="C217" s="125">
        <v>0.0</v>
      </c>
      <c r="D217" s="125">
        <v>0.0</v>
      </c>
      <c r="E217" s="125">
        <v>0.0</v>
      </c>
      <c r="F217" s="125">
        <v>0.0</v>
      </c>
      <c r="G217" s="125">
        <v>0.0</v>
      </c>
      <c r="H217" s="125">
        <v>0.0</v>
      </c>
      <c r="I217" s="125">
        <v>0.0</v>
      </c>
      <c r="J217" s="125">
        <v>0.0</v>
      </c>
      <c r="K217" s="125">
        <v>0.0</v>
      </c>
      <c r="L217" s="125">
        <v>0.0</v>
      </c>
      <c r="M217" s="125">
        <v>0.0</v>
      </c>
      <c r="N217" s="125">
        <v>0.0</v>
      </c>
      <c r="O217" s="125"/>
      <c r="P217" s="125"/>
      <c r="Q217" s="125"/>
      <c r="R217" s="125"/>
      <c r="S217" s="125"/>
      <c r="T217" s="125"/>
      <c r="U217" s="125"/>
      <c r="V217" s="125"/>
    </row>
    <row r="218">
      <c r="A218" s="122" t="s">
        <v>2138</v>
      </c>
      <c r="B218" s="122" t="s">
        <v>2761</v>
      </c>
      <c r="C218" s="125">
        <v>2130242.0</v>
      </c>
      <c r="D218" s="125">
        <v>2071242.0</v>
      </c>
      <c r="E218" s="125">
        <v>53.0</v>
      </c>
      <c r="F218" s="125">
        <v>59000.0</v>
      </c>
      <c r="G218" s="125">
        <v>1430323.0</v>
      </c>
      <c r="H218" s="125">
        <v>699919.0</v>
      </c>
      <c r="I218" s="125" t="s">
        <v>2762</v>
      </c>
      <c r="J218" s="125">
        <v>935344.0</v>
      </c>
      <c r="K218" s="125">
        <v>53415.0</v>
      </c>
      <c r="L218" s="125">
        <v>734.0</v>
      </c>
      <c r="M218" s="125">
        <v>302451.0</v>
      </c>
      <c r="N218" s="125">
        <v>-138379.0</v>
      </c>
      <c r="O218" s="125"/>
      <c r="P218" s="125"/>
      <c r="Q218" s="125"/>
      <c r="R218" s="125"/>
      <c r="S218" s="125"/>
      <c r="T218" s="125"/>
      <c r="U218" s="125"/>
      <c r="V218" s="125"/>
    </row>
    <row r="219">
      <c r="A219" s="122" t="s">
        <v>721</v>
      </c>
      <c r="B219" s="122" t="s">
        <v>723</v>
      </c>
      <c r="C219" s="125">
        <v>0.0</v>
      </c>
      <c r="D219" s="125">
        <v>0.0</v>
      </c>
      <c r="E219" s="125">
        <v>0.0</v>
      </c>
      <c r="F219" s="125">
        <v>0.0</v>
      </c>
      <c r="G219" s="125">
        <v>0.0</v>
      </c>
      <c r="H219" s="125">
        <v>0.0</v>
      </c>
      <c r="I219" s="125">
        <v>0.0</v>
      </c>
      <c r="J219" s="125">
        <v>0.0</v>
      </c>
      <c r="K219" s="125">
        <v>0.0</v>
      </c>
      <c r="L219" s="125">
        <v>0.0</v>
      </c>
      <c r="M219" s="125">
        <v>0.0</v>
      </c>
      <c r="N219" s="125">
        <v>0.0</v>
      </c>
      <c r="O219" s="125"/>
      <c r="P219" s="125"/>
      <c r="Q219" s="125"/>
      <c r="R219" s="125"/>
      <c r="S219" s="125"/>
      <c r="T219" s="125"/>
      <c r="U219" s="125"/>
      <c r="V219" s="125"/>
    </row>
    <row r="220">
      <c r="A220" s="122" t="s">
        <v>771</v>
      </c>
      <c r="B220" s="122" t="s">
        <v>775</v>
      </c>
      <c r="C220" s="125">
        <v>0.0</v>
      </c>
      <c r="D220" s="125">
        <v>0.0</v>
      </c>
      <c r="E220" s="125">
        <v>0.0</v>
      </c>
      <c r="F220" s="125">
        <v>0.0</v>
      </c>
      <c r="G220" s="125">
        <v>0.0</v>
      </c>
      <c r="H220" s="125">
        <v>0.0</v>
      </c>
      <c r="I220" s="125">
        <v>0.0</v>
      </c>
      <c r="J220" s="125">
        <v>0.0</v>
      </c>
      <c r="K220" s="125">
        <v>0.0</v>
      </c>
      <c r="L220" s="125">
        <v>0.0</v>
      </c>
      <c r="M220" s="125">
        <v>0.0</v>
      </c>
      <c r="N220" s="125">
        <v>0.0</v>
      </c>
      <c r="O220" s="125"/>
      <c r="P220" s="125"/>
      <c r="Q220" s="125"/>
      <c r="R220" s="125"/>
      <c r="S220" s="125"/>
      <c r="T220" s="125"/>
      <c r="U220" s="125"/>
      <c r="V220" s="125"/>
    </row>
    <row r="221">
      <c r="A221" s="122" t="s">
        <v>836</v>
      </c>
      <c r="B221" s="122" t="s">
        <v>838</v>
      </c>
      <c r="C221" s="125">
        <v>1.5598107E7</v>
      </c>
      <c r="D221" s="125">
        <v>1.5523107E7</v>
      </c>
      <c r="E221" s="125">
        <v>262.0</v>
      </c>
      <c r="F221" s="125">
        <v>75000.0</v>
      </c>
      <c r="G221" s="125">
        <v>1.2893691E7</v>
      </c>
      <c r="H221" s="125">
        <v>2704416.0</v>
      </c>
      <c r="I221" s="125" t="s">
        <v>2763</v>
      </c>
      <c r="J221" s="125">
        <v>7848210.0</v>
      </c>
      <c r="K221" s="125">
        <v>746690.0</v>
      </c>
      <c r="L221" s="125">
        <v>0.0</v>
      </c>
      <c r="M221" s="125">
        <v>2338275.0</v>
      </c>
      <c r="N221" s="125">
        <v>-1960516.0</v>
      </c>
      <c r="O221" s="125"/>
      <c r="P221" s="125"/>
      <c r="Q221" s="125"/>
      <c r="R221" s="125"/>
      <c r="S221" s="125"/>
      <c r="T221" s="125"/>
      <c r="U221" s="125"/>
      <c r="V221" s="125"/>
    </row>
    <row r="222">
      <c r="A222" s="122" t="s">
        <v>2140</v>
      </c>
      <c r="B222" s="122" t="s">
        <v>2141</v>
      </c>
      <c r="C222" s="125">
        <v>0.0</v>
      </c>
      <c r="D222" s="125">
        <v>0.0</v>
      </c>
      <c r="E222" s="125">
        <v>0.0</v>
      </c>
      <c r="F222" s="125">
        <v>0.0</v>
      </c>
      <c r="G222" s="125">
        <v>0.0</v>
      </c>
      <c r="H222" s="125">
        <v>0.0</v>
      </c>
      <c r="I222" s="125">
        <v>0.0</v>
      </c>
      <c r="J222" s="125">
        <v>0.0</v>
      </c>
      <c r="K222" s="125">
        <v>0.0</v>
      </c>
      <c r="L222" s="125">
        <v>0.0</v>
      </c>
      <c r="M222" s="125">
        <v>0.0</v>
      </c>
      <c r="N222" s="125">
        <v>0.0</v>
      </c>
      <c r="O222" s="125"/>
      <c r="P222" s="125"/>
      <c r="Q222" s="125"/>
      <c r="R222" s="125"/>
      <c r="S222" s="125"/>
      <c r="T222" s="125"/>
      <c r="U222" s="125"/>
      <c r="V222" s="125"/>
    </row>
    <row r="223">
      <c r="A223" s="122" t="s">
        <v>2142</v>
      </c>
      <c r="B223" s="122" t="s">
        <v>2143</v>
      </c>
      <c r="C223" s="125">
        <v>0.0</v>
      </c>
      <c r="D223" s="125">
        <v>0.0</v>
      </c>
      <c r="E223" s="125">
        <v>0.0</v>
      </c>
      <c r="F223" s="125">
        <v>0.0</v>
      </c>
      <c r="G223" s="125">
        <v>0.0</v>
      </c>
      <c r="H223" s="125">
        <v>0.0</v>
      </c>
      <c r="I223" s="125">
        <v>0.0</v>
      </c>
      <c r="J223" s="125">
        <v>0.0</v>
      </c>
      <c r="K223" s="125">
        <v>0.0</v>
      </c>
      <c r="L223" s="125">
        <v>0.0</v>
      </c>
      <c r="M223" s="125">
        <v>0.0</v>
      </c>
      <c r="N223" s="125">
        <v>0.0</v>
      </c>
      <c r="O223" s="125"/>
      <c r="P223" s="125"/>
      <c r="Q223" s="125"/>
      <c r="R223" s="125"/>
      <c r="S223" s="125"/>
      <c r="T223" s="125"/>
      <c r="U223" s="125"/>
      <c r="V223" s="125"/>
    </row>
    <row r="224">
      <c r="A224" s="122" t="s">
        <v>2144</v>
      </c>
      <c r="B224" s="122" t="s">
        <v>2145</v>
      </c>
      <c r="C224" s="125">
        <v>89990.0</v>
      </c>
      <c r="D224" s="125">
        <v>89990.0</v>
      </c>
      <c r="E224" s="125">
        <v>1.0</v>
      </c>
      <c r="F224" s="125">
        <v>0.0</v>
      </c>
      <c r="G224" s="125">
        <v>83151.0</v>
      </c>
      <c r="H224" s="125">
        <v>6839.0</v>
      </c>
      <c r="I224" s="125" t="s">
        <v>2764</v>
      </c>
      <c r="J224" s="125">
        <v>51532.0</v>
      </c>
      <c r="K224" s="125">
        <v>0.0</v>
      </c>
      <c r="L224" s="125">
        <v>5320.0</v>
      </c>
      <c r="M224" s="125">
        <v>11699.0</v>
      </c>
      <c r="N224" s="125">
        <v>-14600.0</v>
      </c>
      <c r="O224" s="125"/>
      <c r="P224" s="125"/>
      <c r="Q224" s="125"/>
      <c r="R224" s="125"/>
      <c r="S224" s="125"/>
      <c r="T224" s="125"/>
      <c r="U224" s="125"/>
      <c r="V224" s="125"/>
    </row>
    <row r="225">
      <c r="A225" s="122" t="s">
        <v>551</v>
      </c>
      <c r="B225" s="122" t="s">
        <v>1845</v>
      </c>
      <c r="C225" s="125">
        <v>5931669.0</v>
      </c>
      <c r="D225" s="125">
        <v>5931669.0</v>
      </c>
      <c r="E225" s="125">
        <v>51.0</v>
      </c>
      <c r="F225" s="125">
        <v>0.0</v>
      </c>
      <c r="G225" s="125">
        <v>4259930.0</v>
      </c>
      <c r="H225" s="125">
        <v>1671739.0</v>
      </c>
      <c r="I225" s="125" t="s">
        <v>2765</v>
      </c>
      <c r="J225" s="125">
        <v>2511526.0</v>
      </c>
      <c r="K225" s="125">
        <v>332983.0</v>
      </c>
      <c r="L225" s="125">
        <v>30760.0</v>
      </c>
      <c r="M225" s="125">
        <v>877301.0</v>
      </c>
      <c r="N225" s="125">
        <v>-507360.0</v>
      </c>
      <c r="O225" s="125"/>
      <c r="P225" s="125"/>
      <c r="Q225" s="125"/>
      <c r="R225" s="125"/>
      <c r="S225" s="125"/>
      <c r="T225" s="125"/>
      <c r="U225" s="125"/>
      <c r="V225" s="125"/>
    </row>
    <row r="226">
      <c r="A226" s="122" t="s">
        <v>2146</v>
      </c>
      <c r="B226" s="122" t="s">
        <v>2147</v>
      </c>
      <c r="C226" s="125">
        <v>0.0</v>
      </c>
      <c r="D226" s="125">
        <v>0.0</v>
      </c>
      <c r="E226" s="125">
        <v>0.0</v>
      </c>
      <c r="F226" s="125">
        <v>0.0</v>
      </c>
      <c r="G226" s="125">
        <v>0.0</v>
      </c>
      <c r="H226" s="125">
        <v>0.0</v>
      </c>
      <c r="I226" s="125">
        <v>0.0</v>
      </c>
      <c r="J226" s="125">
        <v>0.0</v>
      </c>
      <c r="K226" s="125">
        <v>0.0</v>
      </c>
      <c r="L226" s="125">
        <v>0.0</v>
      </c>
      <c r="M226" s="125">
        <v>0.0</v>
      </c>
      <c r="N226" s="125">
        <v>0.0</v>
      </c>
      <c r="O226" s="125"/>
      <c r="P226" s="125"/>
      <c r="Q226" s="125"/>
      <c r="R226" s="125"/>
      <c r="S226" s="125"/>
      <c r="T226" s="125"/>
      <c r="U226" s="125"/>
      <c r="V226" s="125"/>
    </row>
    <row r="227">
      <c r="A227" s="122" t="s">
        <v>824</v>
      </c>
      <c r="B227" s="122" t="s">
        <v>1897</v>
      </c>
      <c r="C227" s="125">
        <v>917970.0</v>
      </c>
      <c r="D227" s="125">
        <v>917970.0</v>
      </c>
      <c r="E227" s="125">
        <v>12.0</v>
      </c>
      <c r="F227" s="125">
        <v>0.0</v>
      </c>
      <c r="G227" s="125">
        <v>694758.0</v>
      </c>
      <c r="H227" s="125">
        <v>223212.0</v>
      </c>
      <c r="I227" s="125" t="s">
        <v>2766</v>
      </c>
      <c r="J227" s="125">
        <v>405264.0</v>
      </c>
      <c r="K227" s="125">
        <v>82052.0</v>
      </c>
      <c r="L227" s="125">
        <v>274.0</v>
      </c>
      <c r="M227" s="125">
        <v>145272.0</v>
      </c>
      <c r="N227" s="125">
        <v>-61896.0</v>
      </c>
      <c r="O227" s="125"/>
      <c r="P227" s="125"/>
      <c r="Q227" s="125"/>
      <c r="R227" s="125"/>
      <c r="S227" s="125"/>
      <c r="T227" s="125"/>
      <c r="U227" s="125"/>
      <c r="V227" s="125"/>
    </row>
    <row r="228">
      <c r="A228" s="122" t="s">
        <v>668</v>
      </c>
      <c r="B228" s="122" t="s">
        <v>670</v>
      </c>
      <c r="C228" s="125">
        <v>1079814.0</v>
      </c>
      <c r="D228" s="125">
        <v>1079814.0</v>
      </c>
      <c r="E228" s="125">
        <v>76.0</v>
      </c>
      <c r="F228" s="125">
        <v>0.0</v>
      </c>
      <c r="G228" s="125">
        <v>756265.0</v>
      </c>
      <c r="H228" s="125">
        <v>323549.0</v>
      </c>
      <c r="I228" s="125" t="s">
        <v>2767</v>
      </c>
      <c r="J228" s="125">
        <v>427682.0</v>
      </c>
      <c r="K228" s="125">
        <v>79401.0</v>
      </c>
      <c r="L228" s="125">
        <v>2660.0</v>
      </c>
      <c r="M228" s="125">
        <v>219023.0</v>
      </c>
      <c r="N228" s="125">
        <v>-27499.0</v>
      </c>
      <c r="O228" s="125"/>
      <c r="P228" s="125"/>
      <c r="Q228" s="125"/>
      <c r="R228" s="125"/>
      <c r="S228" s="125"/>
      <c r="T228" s="125"/>
      <c r="U228" s="125"/>
      <c r="V228" s="125"/>
    </row>
    <row r="229">
      <c r="A229" s="122" t="s">
        <v>879</v>
      </c>
      <c r="B229" s="122" t="s">
        <v>881</v>
      </c>
      <c r="C229" s="125">
        <v>69990.0</v>
      </c>
      <c r="D229" s="125">
        <v>69990.0</v>
      </c>
      <c r="E229" s="125">
        <v>1.0</v>
      </c>
      <c r="F229" s="125">
        <v>0.0</v>
      </c>
      <c r="G229" s="125">
        <v>42820.0</v>
      </c>
      <c r="H229" s="125">
        <v>27170.0</v>
      </c>
      <c r="I229" s="125" t="s">
        <v>2768</v>
      </c>
      <c r="J229" s="125">
        <v>32321.0</v>
      </c>
      <c r="K229" s="125">
        <v>0.0</v>
      </c>
      <c r="L229" s="125">
        <v>0.0</v>
      </c>
      <c r="M229" s="125">
        <v>10499.0</v>
      </c>
      <c r="N229" s="125">
        <v>0.0</v>
      </c>
      <c r="O229" s="125"/>
      <c r="P229" s="125"/>
      <c r="Q229" s="125"/>
      <c r="R229" s="125"/>
      <c r="S229" s="125"/>
      <c r="T229" s="125"/>
      <c r="U229" s="125"/>
      <c r="V229" s="125"/>
    </row>
    <row r="230">
      <c r="A230" s="122" t="s">
        <v>782</v>
      </c>
      <c r="B230" s="122" t="s">
        <v>783</v>
      </c>
      <c r="C230" s="125">
        <v>1252283.0</v>
      </c>
      <c r="D230" s="125">
        <v>1252283.0</v>
      </c>
      <c r="E230" s="125">
        <v>50.0</v>
      </c>
      <c r="F230" s="125">
        <v>0.0</v>
      </c>
      <c r="G230" s="125">
        <v>789907.0</v>
      </c>
      <c r="H230" s="125">
        <v>462376.0</v>
      </c>
      <c r="I230" s="125" t="s">
        <v>2769</v>
      </c>
      <c r="J230" s="125">
        <v>396050.0</v>
      </c>
      <c r="K230" s="125">
        <v>27570.0</v>
      </c>
      <c r="L230" s="125">
        <v>562.0</v>
      </c>
      <c r="M230" s="125">
        <v>207309.0</v>
      </c>
      <c r="N230" s="125">
        <v>-158416.0</v>
      </c>
      <c r="O230" s="125"/>
      <c r="P230" s="125"/>
      <c r="Q230" s="125"/>
      <c r="R230" s="125"/>
      <c r="S230" s="125"/>
      <c r="T230" s="125"/>
      <c r="U230" s="125"/>
      <c r="V230" s="125"/>
    </row>
    <row r="231">
      <c r="A231" s="122" t="s">
        <v>695</v>
      </c>
      <c r="B231" s="122" t="s">
        <v>697</v>
      </c>
      <c r="C231" s="125">
        <v>0.0</v>
      </c>
      <c r="D231" s="125">
        <v>0.0</v>
      </c>
      <c r="E231" s="125">
        <v>0.0</v>
      </c>
      <c r="F231" s="125">
        <v>0.0</v>
      </c>
      <c r="G231" s="125">
        <v>320.0</v>
      </c>
      <c r="H231" s="125">
        <v>-320.0</v>
      </c>
      <c r="I231" s="125">
        <v>0.0</v>
      </c>
      <c r="J231" s="125">
        <v>0.0</v>
      </c>
      <c r="K231" s="125">
        <v>0.0</v>
      </c>
      <c r="L231" s="125">
        <v>320.0</v>
      </c>
      <c r="M231" s="125">
        <v>0.0</v>
      </c>
      <c r="N231" s="125">
        <v>0.0</v>
      </c>
      <c r="O231" s="125"/>
      <c r="P231" s="125"/>
      <c r="Q231" s="125"/>
      <c r="R231" s="125"/>
      <c r="S231" s="125"/>
      <c r="T231" s="125"/>
      <c r="U231" s="125"/>
      <c r="V231" s="125"/>
    </row>
    <row r="232">
      <c r="A232" s="122" t="s">
        <v>559</v>
      </c>
      <c r="B232" s="122" t="s">
        <v>1853</v>
      </c>
      <c r="C232" s="125">
        <v>3169184.0</v>
      </c>
      <c r="D232" s="125">
        <v>3151184.0</v>
      </c>
      <c r="E232" s="125">
        <v>246.0</v>
      </c>
      <c r="F232" s="125">
        <v>18000.0</v>
      </c>
      <c r="G232" s="125">
        <v>2342052.0</v>
      </c>
      <c r="H232" s="125">
        <v>827132.0</v>
      </c>
      <c r="I232" s="125" t="s">
        <v>2770</v>
      </c>
      <c r="J232" s="125">
        <v>1239986.0</v>
      </c>
      <c r="K232" s="125">
        <v>297389.0</v>
      </c>
      <c r="L232" s="125">
        <v>6865.0</v>
      </c>
      <c r="M232" s="125">
        <v>685923.0</v>
      </c>
      <c r="N232" s="125">
        <v>-111889.0</v>
      </c>
      <c r="O232" s="125"/>
      <c r="P232" s="125"/>
      <c r="Q232" s="125"/>
      <c r="R232" s="125"/>
      <c r="S232" s="125"/>
      <c r="T232" s="125"/>
      <c r="U232" s="125"/>
      <c r="V232" s="125"/>
    </row>
    <row r="233">
      <c r="A233" s="122" t="s">
        <v>833</v>
      </c>
      <c r="B233" s="122" t="s">
        <v>835</v>
      </c>
      <c r="C233" s="125">
        <v>0.0</v>
      </c>
      <c r="D233" s="125">
        <v>0.0</v>
      </c>
      <c r="E233" s="125">
        <v>0.0</v>
      </c>
      <c r="F233" s="125">
        <v>0.0</v>
      </c>
      <c r="G233" s="125">
        <v>10647.0</v>
      </c>
      <c r="H233" s="125">
        <v>-10647.0</v>
      </c>
      <c r="I233" s="125">
        <v>0.0</v>
      </c>
      <c r="J233" s="125">
        <v>0.0</v>
      </c>
      <c r="K233" s="125">
        <v>10153.0</v>
      </c>
      <c r="L233" s="125">
        <v>494.0</v>
      </c>
      <c r="M233" s="125">
        <v>0.0</v>
      </c>
      <c r="N233" s="125">
        <v>0.0</v>
      </c>
      <c r="O233" s="125"/>
      <c r="P233" s="125"/>
      <c r="Q233" s="125"/>
      <c r="R233" s="125"/>
      <c r="S233" s="125"/>
      <c r="T233" s="125"/>
      <c r="U233" s="125"/>
      <c r="V233" s="125"/>
    </row>
    <row r="234">
      <c r="A234" s="122" t="s">
        <v>1494</v>
      </c>
      <c r="B234" s="122" t="s">
        <v>2771</v>
      </c>
      <c r="C234" s="125">
        <v>1755738.0</v>
      </c>
      <c r="D234" s="125">
        <v>1755738.0</v>
      </c>
      <c r="E234" s="125">
        <v>93.0</v>
      </c>
      <c r="F234" s="125">
        <v>0.0</v>
      </c>
      <c r="G234" s="125">
        <v>1192264.0</v>
      </c>
      <c r="H234" s="125">
        <v>563474.0</v>
      </c>
      <c r="I234" s="125" t="s">
        <v>2772</v>
      </c>
      <c r="J234" s="125">
        <v>735630.0</v>
      </c>
      <c r="K234" s="125">
        <v>83112.0</v>
      </c>
      <c r="L234" s="125">
        <v>4674.0</v>
      </c>
      <c r="M234" s="125">
        <v>304836.0</v>
      </c>
      <c r="N234" s="125">
        <v>-64012.0</v>
      </c>
      <c r="O234" s="125"/>
      <c r="P234" s="125"/>
      <c r="Q234" s="125"/>
      <c r="R234" s="125"/>
      <c r="S234" s="125"/>
      <c r="T234" s="125"/>
      <c r="U234" s="125"/>
      <c r="V234" s="125"/>
    </row>
    <row r="235">
      <c r="A235" s="122" t="s">
        <v>762</v>
      </c>
      <c r="B235" s="122" t="s">
        <v>764</v>
      </c>
      <c r="C235" s="125">
        <v>238874.0</v>
      </c>
      <c r="D235" s="125">
        <v>238874.0</v>
      </c>
      <c r="E235" s="125">
        <v>13.0</v>
      </c>
      <c r="F235" s="125">
        <v>0.0</v>
      </c>
      <c r="G235" s="125">
        <v>199195.0</v>
      </c>
      <c r="H235" s="125">
        <v>39679.0</v>
      </c>
      <c r="I235" s="125" t="s">
        <v>2773</v>
      </c>
      <c r="J235" s="125">
        <v>138385.0</v>
      </c>
      <c r="K235" s="125">
        <v>14169.0</v>
      </c>
      <c r="L235" s="125">
        <v>1178.0</v>
      </c>
      <c r="M235" s="125">
        <v>43053.0</v>
      </c>
      <c r="N235" s="125">
        <v>-2410.0</v>
      </c>
      <c r="O235" s="125"/>
      <c r="P235" s="125"/>
      <c r="Q235" s="125"/>
      <c r="R235" s="125"/>
      <c r="S235" s="125"/>
      <c r="T235" s="125"/>
      <c r="U235" s="125"/>
      <c r="V235" s="125"/>
    </row>
    <row r="236">
      <c r="A236" s="122" t="s">
        <v>792</v>
      </c>
      <c r="B236" s="122" t="s">
        <v>2774</v>
      </c>
      <c r="C236" s="125">
        <v>2006015.0</v>
      </c>
      <c r="D236" s="125">
        <v>2006015.0</v>
      </c>
      <c r="E236" s="125">
        <v>113.0</v>
      </c>
      <c r="F236" s="125">
        <v>0.0</v>
      </c>
      <c r="G236" s="125">
        <v>1144283.0</v>
      </c>
      <c r="H236" s="125">
        <v>861732.0</v>
      </c>
      <c r="I236" s="125" t="s">
        <v>2775</v>
      </c>
      <c r="J236" s="125">
        <v>664214.0</v>
      </c>
      <c r="K236" s="125">
        <v>27954.0</v>
      </c>
      <c r="L236" s="125">
        <v>2170.0</v>
      </c>
      <c r="M236" s="125">
        <v>421833.0</v>
      </c>
      <c r="N236" s="125">
        <v>-28112.0</v>
      </c>
      <c r="O236" s="125"/>
      <c r="P236" s="125"/>
      <c r="Q236" s="125"/>
      <c r="R236" s="125"/>
      <c r="S236" s="125"/>
      <c r="T236" s="125"/>
      <c r="U236" s="125"/>
      <c r="V236" s="125"/>
    </row>
    <row r="237">
      <c r="A237" s="122" t="s">
        <v>446</v>
      </c>
      <c r="B237" s="122" t="s">
        <v>448</v>
      </c>
      <c r="C237" s="125">
        <v>1.6565816E7</v>
      </c>
      <c r="D237" s="125">
        <v>1.6504816E7</v>
      </c>
      <c r="E237" s="125">
        <v>683.0</v>
      </c>
      <c r="F237" s="125">
        <v>61000.0</v>
      </c>
      <c r="G237" s="125">
        <v>1.1993162E7</v>
      </c>
      <c r="H237" s="125">
        <v>4572654.0</v>
      </c>
      <c r="I237" s="125" t="s">
        <v>2776</v>
      </c>
      <c r="J237" s="125">
        <v>7269086.0</v>
      </c>
      <c r="K237" s="125">
        <v>751204.0</v>
      </c>
      <c r="L237" s="125">
        <v>35733.0</v>
      </c>
      <c r="M237" s="125">
        <v>2791624.0</v>
      </c>
      <c r="N237" s="125">
        <v>-1145515.0</v>
      </c>
      <c r="O237" s="125"/>
      <c r="P237" s="125"/>
      <c r="Q237" s="125"/>
      <c r="R237" s="125"/>
      <c r="S237" s="125"/>
      <c r="T237" s="125"/>
      <c r="U237" s="125"/>
      <c r="V237" s="125"/>
    </row>
    <row r="238">
      <c r="A238" s="122" t="s">
        <v>967</v>
      </c>
      <c r="B238" s="122" t="s">
        <v>1888</v>
      </c>
      <c r="C238" s="125">
        <v>841164.0</v>
      </c>
      <c r="D238" s="125">
        <v>841164.0</v>
      </c>
      <c r="E238" s="125">
        <v>22.0</v>
      </c>
      <c r="F238" s="125">
        <v>0.0</v>
      </c>
      <c r="G238" s="125">
        <v>514602.0</v>
      </c>
      <c r="H238" s="125">
        <v>326562.0</v>
      </c>
      <c r="I238" s="125" t="s">
        <v>2768</v>
      </c>
      <c r="J238" s="125">
        <v>206076.0</v>
      </c>
      <c r="K238" s="125">
        <v>44703.0</v>
      </c>
      <c r="L238" s="125">
        <v>0.0</v>
      </c>
      <c r="M238" s="125">
        <v>126180.0</v>
      </c>
      <c r="N238" s="125">
        <v>-137643.0</v>
      </c>
      <c r="O238" s="125"/>
      <c r="P238" s="125"/>
      <c r="Q238" s="125"/>
      <c r="R238" s="125"/>
      <c r="S238" s="125"/>
      <c r="T238" s="125"/>
      <c r="U238" s="125"/>
      <c r="V238" s="125"/>
    </row>
    <row r="239">
      <c r="A239" s="122" t="s">
        <v>964</v>
      </c>
      <c r="B239" s="122" t="s">
        <v>1887</v>
      </c>
      <c r="C239" s="125">
        <v>5826320.0</v>
      </c>
      <c r="D239" s="125">
        <v>5826320.0</v>
      </c>
      <c r="E239" s="125">
        <v>199.0</v>
      </c>
      <c r="F239" s="125">
        <v>0.0</v>
      </c>
      <c r="G239" s="125">
        <v>4653655.0</v>
      </c>
      <c r="H239" s="125">
        <v>1172665.0</v>
      </c>
      <c r="I239" s="125" t="s">
        <v>2777</v>
      </c>
      <c r="J239" s="125">
        <v>1957867.0</v>
      </c>
      <c r="K239" s="125">
        <v>723113.0</v>
      </c>
      <c r="L239" s="125">
        <v>5744.0</v>
      </c>
      <c r="M239" s="125">
        <v>873287.0</v>
      </c>
      <c r="N239" s="125">
        <v>-1093644.0</v>
      </c>
      <c r="O239" s="125"/>
      <c r="P239" s="125"/>
      <c r="Q239" s="125"/>
      <c r="R239" s="125"/>
      <c r="S239" s="125"/>
      <c r="T239" s="125"/>
      <c r="U239" s="125"/>
      <c r="V239" s="125"/>
    </row>
    <row r="240">
      <c r="A240" s="122" t="s">
        <v>919</v>
      </c>
      <c r="B240" s="122" t="s">
        <v>1904</v>
      </c>
      <c r="C240" s="125">
        <v>77980.0</v>
      </c>
      <c r="D240" s="125">
        <v>77980.0</v>
      </c>
      <c r="E240" s="125">
        <v>2.0</v>
      </c>
      <c r="F240" s="125">
        <v>0.0</v>
      </c>
      <c r="G240" s="125">
        <v>67527.0</v>
      </c>
      <c r="H240" s="125">
        <v>10453.0</v>
      </c>
      <c r="I240" s="125" t="s">
        <v>2778</v>
      </c>
      <c r="J240" s="125">
        <v>38998.0</v>
      </c>
      <c r="K240" s="125">
        <v>8918.0</v>
      </c>
      <c r="L240" s="125">
        <v>50.0</v>
      </c>
      <c r="M240" s="125">
        <v>12476.0</v>
      </c>
      <c r="N240" s="125">
        <v>-7085.0</v>
      </c>
      <c r="O240" s="125"/>
      <c r="P240" s="125"/>
      <c r="Q240" s="125"/>
      <c r="R240" s="125"/>
      <c r="S240" s="125"/>
      <c r="T240" s="125"/>
      <c r="U240" s="125"/>
      <c r="V240" s="125"/>
    </row>
    <row r="241">
      <c r="A241" s="122" t="s">
        <v>925</v>
      </c>
      <c r="B241" s="122" t="s">
        <v>1906</v>
      </c>
      <c r="C241" s="125">
        <v>1036781.0</v>
      </c>
      <c r="D241" s="125">
        <v>1018781.0</v>
      </c>
      <c r="E241" s="125">
        <v>30.0</v>
      </c>
      <c r="F241" s="125">
        <v>18000.0</v>
      </c>
      <c r="G241" s="125">
        <v>1047635.0</v>
      </c>
      <c r="H241" s="125">
        <v>-10854.0</v>
      </c>
      <c r="I241" s="125" t="s">
        <v>2779</v>
      </c>
      <c r="J241" s="125">
        <v>631980.0</v>
      </c>
      <c r="K241" s="125">
        <v>136070.0</v>
      </c>
      <c r="L241" s="125">
        <v>8711.0</v>
      </c>
      <c r="M241" s="125">
        <v>165178.0</v>
      </c>
      <c r="N241" s="125">
        <v>-105696.0</v>
      </c>
      <c r="O241" s="125"/>
      <c r="P241" s="125"/>
      <c r="Q241" s="125"/>
      <c r="R241" s="125"/>
      <c r="S241" s="125"/>
      <c r="T241" s="125"/>
      <c r="U241" s="125"/>
      <c r="V241" s="125"/>
    </row>
    <row r="242">
      <c r="A242" s="122" t="s">
        <v>922</v>
      </c>
      <c r="B242" s="122" t="s">
        <v>1905</v>
      </c>
      <c r="C242" s="125">
        <v>0.0</v>
      </c>
      <c r="D242" s="125">
        <v>0.0</v>
      </c>
      <c r="E242" s="125">
        <v>0.0</v>
      </c>
      <c r="F242" s="125">
        <v>0.0</v>
      </c>
      <c r="G242" s="125">
        <v>0.0</v>
      </c>
      <c r="H242" s="125">
        <v>0.0</v>
      </c>
      <c r="I242" s="125">
        <v>0.0</v>
      </c>
      <c r="J242" s="125">
        <v>0.0</v>
      </c>
      <c r="K242" s="125">
        <v>0.0</v>
      </c>
      <c r="L242" s="125">
        <v>0.0</v>
      </c>
      <c r="M242" s="125">
        <v>0.0</v>
      </c>
      <c r="N242" s="125">
        <v>0.0</v>
      </c>
      <c r="O242" s="125"/>
      <c r="P242" s="125"/>
      <c r="Q242" s="125"/>
      <c r="R242" s="125"/>
      <c r="S242" s="125"/>
      <c r="T242" s="125"/>
      <c r="U242" s="125"/>
      <c r="V242" s="125"/>
    </row>
    <row r="243">
      <c r="A243" s="122" t="s">
        <v>1020</v>
      </c>
      <c r="B243" s="122" t="s">
        <v>2152</v>
      </c>
      <c r="C243" s="125">
        <v>0.0</v>
      </c>
      <c r="D243" s="125">
        <v>0.0</v>
      </c>
      <c r="E243" s="125">
        <v>0.0</v>
      </c>
      <c r="F243" s="125">
        <v>0.0</v>
      </c>
      <c r="G243" s="125">
        <v>0.0</v>
      </c>
      <c r="H243" s="125">
        <v>0.0</v>
      </c>
      <c r="I243" s="125">
        <v>0.0</v>
      </c>
      <c r="J243" s="125">
        <v>0.0</v>
      </c>
      <c r="K243" s="125">
        <v>0.0</v>
      </c>
      <c r="L243" s="125">
        <v>0.0</v>
      </c>
      <c r="M243" s="125">
        <v>0.0</v>
      </c>
      <c r="N243" s="125">
        <v>0.0</v>
      </c>
      <c r="O243" s="125"/>
      <c r="P243" s="125"/>
      <c r="Q243" s="125"/>
      <c r="R243" s="125"/>
      <c r="S243" s="125"/>
      <c r="T243" s="125"/>
      <c r="U243" s="125"/>
      <c r="V243" s="125"/>
    </row>
    <row r="244">
      <c r="A244" s="122" t="s">
        <v>2153</v>
      </c>
      <c r="B244" s="122" t="s">
        <v>2154</v>
      </c>
      <c r="C244" s="125">
        <v>0.0</v>
      </c>
      <c r="D244" s="125">
        <v>0.0</v>
      </c>
      <c r="E244" s="125">
        <v>0.0</v>
      </c>
      <c r="F244" s="125">
        <v>0.0</v>
      </c>
      <c r="G244" s="125">
        <v>0.0</v>
      </c>
      <c r="H244" s="125">
        <v>0.0</v>
      </c>
      <c r="I244" s="125">
        <v>0.0</v>
      </c>
      <c r="J244" s="125">
        <v>0.0</v>
      </c>
      <c r="K244" s="125">
        <v>0.0</v>
      </c>
      <c r="L244" s="125">
        <v>0.0</v>
      </c>
      <c r="M244" s="125">
        <v>0.0</v>
      </c>
      <c r="N244" s="125">
        <v>0.0</v>
      </c>
      <c r="O244" s="125"/>
      <c r="P244" s="125"/>
      <c r="Q244" s="125"/>
      <c r="R244" s="125"/>
      <c r="S244" s="125"/>
      <c r="T244" s="125"/>
      <c r="U244" s="125"/>
      <c r="V244" s="125"/>
    </row>
    <row r="245">
      <c r="A245" s="122" t="s">
        <v>942</v>
      </c>
      <c r="B245" s="122" t="s">
        <v>944</v>
      </c>
      <c r="C245" s="125">
        <v>0.0</v>
      </c>
      <c r="D245" s="125">
        <v>0.0</v>
      </c>
      <c r="E245" s="125">
        <v>0.0</v>
      </c>
      <c r="F245" s="125">
        <v>0.0</v>
      </c>
      <c r="G245" s="125">
        <v>0.0</v>
      </c>
      <c r="H245" s="125">
        <v>0.0</v>
      </c>
      <c r="I245" s="125">
        <v>0.0</v>
      </c>
      <c r="J245" s="125">
        <v>0.0</v>
      </c>
      <c r="K245" s="125">
        <v>0.0</v>
      </c>
      <c r="L245" s="125">
        <v>0.0</v>
      </c>
      <c r="M245" s="125">
        <v>0.0</v>
      </c>
      <c r="N245" s="125">
        <v>0.0</v>
      </c>
      <c r="O245" s="125"/>
      <c r="P245" s="125"/>
      <c r="Q245" s="125"/>
      <c r="R245" s="125"/>
      <c r="S245" s="125"/>
      <c r="T245" s="125"/>
      <c r="U245" s="125"/>
      <c r="V245" s="125"/>
    </row>
    <row r="246">
      <c r="A246" s="122" t="s">
        <v>934</v>
      </c>
      <c r="B246" s="122" t="s">
        <v>936</v>
      </c>
      <c r="C246" s="125">
        <v>9674798.0</v>
      </c>
      <c r="D246" s="125">
        <v>9655798.0</v>
      </c>
      <c r="E246" s="125">
        <v>556.0</v>
      </c>
      <c r="F246" s="125">
        <v>19000.0</v>
      </c>
      <c r="G246" s="125">
        <v>7541151.0</v>
      </c>
      <c r="H246" s="125">
        <v>2133647.0</v>
      </c>
      <c r="I246" s="125" t="s">
        <v>2780</v>
      </c>
      <c r="J246" s="125">
        <v>4257637.0</v>
      </c>
      <c r="K246" s="125">
        <v>871308.0</v>
      </c>
      <c r="L246" s="125">
        <v>252780.0</v>
      </c>
      <c r="M246" s="125">
        <v>1914218.0</v>
      </c>
      <c r="N246" s="125">
        <v>-245208.0</v>
      </c>
      <c r="O246" s="125"/>
      <c r="P246" s="125"/>
      <c r="Q246" s="125"/>
      <c r="R246" s="125"/>
      <c r="S246" s="125"/>
      <c r="T246" s="125"/>
      <c r="U246" s="125"/>
      <c r="V246" s="125"/>
    </row>
    <row r="247">
      <c r="A247" s="122" t="s">
        <v>2155</v>
      </c>
      <c r="B247" s="122" t="s">
        <v>2156</v>
      </c>
      <c r="C247" s="125">
        <v>0.0</v>
      </c>
      <c r="D247" s="125">
        <v>0.0</v>
      </c>
      <c r="E247" s="125">
        <v>0.0</v>
      </c>
      <c r="F247" s="125">
        <v>0.0</v>
      </c>
      <c r="G247" s="125">
        <v>0.0</v>
      </c>
      <c r="H247" s="125">
        <v>0.0</v>
      </c>
      <c r="I247" s="125">
        <v>0.0</v>
      </c>
      <c r="J247" s="125">
        <v>0.0</v>
      </c>
      <c r="K247" s="125">
        <v>0.0</v>
      </c>
      <c r="L247" s="125">
        <v>0.0</v>
      </c>
      <c r="M247" s="125">
        <v>0.0</v>
      </c>
      <c r="N247" s="125">
        <v>0.0</v>
      </c>
      <c r="O247" s="125"/>
      <c r="P247" s="125"/>
      <c r="Q247" s="125"/>
      <c r="R247" s="125"/>
      <c r="S247" s="125"/>
      <c r="T247" s="125"/>
      <c r="U247" s="125"/>
      <c r="V247" s="125"/>
    </row>
    <row r="248">
      <c r="A248" s="122" t="s">
        <v>2157</v>
      </c>
      <c r="B248" s="122" t="s">
        <v>2154</v>
      </c>
      <c r="C248" s="125">
        <v>0.0</v>
      </c>
      <c r="D248" s="125">
        <v>0.0</v>
      </c>
      <c r="E248" s="125">
        <v>0.0</v>
      </c>
      <c r="F248" s="125">
        <v>0.0</v>
      </c>
      <c r="G248" s="125">
        <v>0.0</v>
      </c>
      <c r="H248" s="125">
        <v>0.0</v>
      </c>
      <c r="I248" s="125">
        <v>0.0</v>
      </c>
      <c r="J248" s="125">
        <v>0.0</v>
      </c>
      <c r="K248" s="125">
        <v>0.0</v>
      </c>
      <c r="L248" s="125">
        <v>0.0</v>
      </c>
      <c r="M248" s="125">
        <v>0.0</v>
      </c>
      <c r="N248" s="125">
        <v>0.0</v>
      </c>
      <c r="O248" s="125"/>
      <c r="P248" s="125"/>
      <c r="Q248" s="125"/>
      <c r="R248" s="125"/>
      <c r="S248" s="125"/>
      <c r="T248" s="125"/>
      <c r="U248" s="125"/>
      <c r="V248" s="125"/>
    </row>
    <row r="249">
      <c r="A249" s="122" t="s">
        <v>1000</v>
      </c>
      <c r="B249" s="122" t="s">
        <v>1862</v>
      </c>
      <c r="C249" s="125">
        <v>1.0998278E7</v>
      </c>
      <c r="D249" s="125">
        <v>1.0908278E7</v>
      </c>
      <c r="E249" s="125">
        <v>69.0</v>
      </c>
      <c r="F249" s="125">
        <v>90000.0</v>
      </c>
      <c r="G249" s="125">
        <v>5312597.0</v>
      </c>
      <c r="H249" s="125">
        <v>5685681.0</v>
      </c>
      <c r="I249" s="125" t="s">
        <v>2781</v>
      </c>
      <c r="J249" s="125">
        <v>2972286.0</v>
      </c>
      <c r="K249" s="125">
        <v>102057.0</v>
      </c>
      <c r="L249" s="125">
        <v>9160.0</v>
      </c>
      <c r="M249" s="125">
        <v>1904940.0</v>
      </c>
      <c r="N249" s="125">
        <v>-324154.0</v>
      </c>
      <c r="O249" s="125"/>
      <c r="P249" s="125"/>
      <c r="Q249" s="125"/>
      <c r="R249" s="125"/>
      <c r="S249" s="125"/>
      <c r="T249" s="125"/>
      <c r="U249" s="125"/>
      <c r="V249" s="125"/>
    </row>
    <row r="250">
      <c r="A250" s="122" t="s">
        <v>2158</v>
      </c>
      <c r="B250" s="122" t="s">
        <v>2159</v>
      </c>
      <c r="C250" s="125">
        <v>0.0</v>
      </c>
      <c r="D250" s="125">
        <v>0.0</v>
      </c>
      <c r="E250" s="125">
        <v>0.0</v>
      </c>
      <c r="F250" s="125">
        <v>0.0</v>
      </c>
      <c r="G250" s="125">
        <v>0.0</v>
      </c>
      <c r="H250" s="125">
        <v>0.0</v>
      </c>
      <c r="I250" s="125">
        <v>0.0</v>
      </c>
      <c r="J250" s="125">
        <v>0.0</v>
      </c>
      <c r="K250" s="125">
        <v>0.0</v>
      </c>
      <c r="L250" s="125">
        <v>0.0</v>
      </c>
      <c r="M250" s="125">
        <v>0.0</v>
      </c>
      <c r="N250" s="125">
        <v>0.0</v>
      </c>
      <c r="O250" s="125"/>
      <c r="P250" s="125"/>
      <c r="Q250" s="125"/>
      <c r="R250" s="125"/>
      <c r="S250" s="125"/>
      <c r="T250" s="125"/>
      <c r="U250" s="125"/>
      <c r="V250" s="125"/>
    </row>
    <row r="251">
      <c r="A251" s="122" t="s">
        <v>1032</v>
      </c>
      <c r="B251" s="122" t="s">
        <v>1929</v>
      </c>
      <c r="C251" s="125">
        <v>6171147.0</v>
      </c>
      <c r="D251" s="125">
        <v>6171147.0</v>
      </c>
      <c r="E251" s="125">
        <v>81.0</v>
      </c>
      <c r="F251" s="125">
        <v>0.0</v>
      </c>
      <c r="G251" s="125">
        <v>4654754.0</v>
      </c>
      <c r="H251" s="125">
        <v>1516393.0</v>
      </c>
      <c r="I251" s="125" t="s">
        <v>2782</v>
      </c>
      <c r="J251" s="125">
        <v>2846259.0</v>
      </c>
      <c r="K251" s="125">
        <v>208257.0</v>
      </c>
      <c r="L251" s="125">
        <v>10500.0</v>
      </c>
      <c r="M251" s="125">
        <v>932767.0</v>
      </c>
      <c r="N251" s="125">
        <v>-656971.0</v>
      </c>
      <c r="O251" s="125"/>
      <c r="P251" s="125"/>
      <c r="Q251" s="125"/>
      <c r="R251" s="125"/>
      <c r="S251" s="125"/>
      <c r="T251" s="125"/>
      <c r="U251" s="125"/>
      <c r="V251" s="125"/>
    </row>
    <row r="252">
      <c r="A252" s="122" t="s">
        <v>1029</v>
      </c>
      <c r="B252" s="122" t="s">
        <v>1930</v>
      </c>
      <c r="C252" s="125">
        <v>1.590314E7</v>
      </c>
      <c r="D252" s="125">
        <v>1.588814E7</v>
      </c>
      <c r="E252" s="125">
        <v>217.0</v>
      </c>
      <c r="F252" s="125">
        <v>15000.0</v>
      </c>
      <c r="G252" s="125">
        <v>1.2406355E7</v>
      </c>
      <c r="H252" s="125">
        <v>3496785.0</v>
      </c>
      <c r="I252" s="125" t="s">
        <v>2783</v>
      </c>
      <c r="J252" s="125">
        <v>6743025.0</v>
      </c>
      <c r="K252" s="125">
        <v>1366810.0</v>
      </c>
      <c r="L252" s="125">
        <v>90520.0</v>
      </c>
      <c r="M252" s="125">
        <v>2327614.0</v>
      </c>
      <c r="N252" s="125">
        <v>-1878386.0</v>
      </c>
      <c r="O252" s="125"/>
      <c r="P252" s="125"/>
      <c r="Q252" s="125"/>
      <c r="R252" s="125"/>
      <c r="S252" s="125"/>
      <c r="T252" s="125"/>
      <c r="U252" s="125"/>
      <c r="V252" s="125"/>
    </row>
    <row r="253">
      <c r="A253" s="122" t="s">
        <v>1014</v>
      </c>
      <c r="B253" s="122" t="s">
        <v>1861</v>
      </c>
      <c r="C253" s="125">
        <v>2762175.0</v>
      </c>
      <c r="D253" s="125">
        <v>2632175.0</v>
      </c>
      <c r="E253" s="125">
        <v>133.0</v>
      </c>
      <c r="F253" s="125">
        <v>130000.0</v>
      </c>
      <c r="G253" s="125">
        <v>2054932.0</v>
      </c>
      <c r="H253" s="125">
        <v>707243.0</v>
      </c>
      <c r="I253" s="125" t="s">
        <v>2784</v>
      </c>
      <c r="J253" s="125">
        <v>963669.0</v>
      </c>
      <c r="K253" s="125">
        <v>259177.0</v>
      </c>
      <c r="L253" s="125">
        <v>0.0</v>
      </c>
      <c r="M253" s="125">
        <v>555100.0</v>
      </c>
      <c r="N253" s="125">
        <v>-276986.0</v>
      </c>
      <c r="O253" s="125"/>
      <c r="P253" s="125"/>
      <c r="Q253" s="125"/>
      <c r="R253" s="125"/>
      <c r="S253" s="125"/>
      <c r="T253" s="125"/>
      <c r="U253" s="125"/>
      <c r="V253" s="125"/>
    </row>
    <row r="254">
      <c r="A254" s="122" t="s">
        <v>1548</v>
      </c>
      <c r="B254" s="122" t="s">
        <v>2785</v>
      </c>
      <c r="C254" s="125">
        <v>2249866.0</v>
      </c>
      <c r="D254" s="125">
        <v>2249866.0</v>
      </c>
      <c r="E254" s="125">
        <v>244.0</v>
      </c>
      <c r="F254" s="125">
        <v>0.0</v>
      </c>
      <c r="G254" s="125">
        <v>1567390.0</v>
      </c>
      <c r="H254" s="125">
        <v>682476.0</v>
      </c>
      <c r="I254" s="125" t="s">
        <v>2786</v>
      </c>
      <c r="J254" s="125">
        <v>885720.0</v>
      </c>
      <c r="K254" s="125">
        <v>132229.0</v>
      </c>
      <c r="L254" s="125">
        <v>3482.0</v>
      </c>
      <c r="M254" s="125">
        <v>525314.0</v>
      </c>
      <c r="N254" s="125">
        <v>-20645.0</v>
      </c>
      <c r="O254" s="125"/>
      <c r="P254" s="125"/>
      <c r="Q254" s="125"/>
      <c r="R254" s="125"/>
      <c r="S254" s="125"/>
      <c r="T254" s="125"/>
      <c r="U254" s="125"/>
      <c r="V254" s="125"/>
    </row>
    <row r="255">
      <c r="A255" s="122" t="s">
        <v>2160</v>
      </c>
      <c r="B255" s="122" t="s">
        <v>2154</v>
      </c>
      <c r="C255" s="125">
        <v>0.0</v>
      </c>
      <c r="D255" s="125">
        <v>0.0</v>
      </c>
      <c r="E255" s="125">
        <v>0.0</v>
      </c>
      <c r="F255" s="125">
        <v>0.0</v>
      </c>
      <c r="G255" s="125">
        <v>0.0</v>
      </c>
      <c r="H255" s="125">
        <v>0.0</v>
      </c>
      <c r="I255" s="125">
        <v>0.0</v>
      </c>
      <c r="J255" s="125">
        <v>0.0</v>
      </c>
      <c r="K255" s="125">
        <v>0.0</v>
      </c>
      <c r="L255" s="125">
        <v>0.0</v>
      </c>
      <c r="M255" s="125">
        <v>0.0</v>
      </c>
      <c r="N255" s="125">
        <v>0.0</v>
      </c>
      <c r="O255" s="125"/>
      <c r="P255" s="125"/>
      <c r="Q255" s="125"/>
      <c r="R255" s="125"/>
      <c r="S255" s="125"/>
      <c r="T255" s="125"/>
      <c r="U255" s="125"/>
      <c r="V255" s="125"/>
    </row>
    <row r="256">
      <c r="A256" s="122" t="s">
        <v>2161</v>
      </c>
      <c r="B256" s="122" t="s">
        <v>2154</v>
      </c>
      <c r="C256" s="125">
        <v>0.0</v>
      </c>
      <c r="D256" s="125">
        <v>0.0</v>
      </c>
      <c r="E256" s="125">
        <v>0.0</v>
      </c>
      <c r="F256" s="125">
        <v>0.0</v>
      </c>
      <c r="G256" s="125">
        <v>0.0</v>
      </c>
      <c r="H256" s="125">
        <v>0.0</v>
      </c>
      <c r="I256" s="125">
        <v>0.0</v>
      </c>
      <c r="J256" s="125">
        <v>0.0</v>
      </c>
      <c r="K256" s="125">
        <v>0.0</v>
      </c>
      <c r="L256" s="125">
        <v>0.0</v>
      </c>
      <c r="M256" s="125">
        <v>0.0</v>
      </c>
      <c r="N256" s="125">
        <v>0.0</v>
      </c>
      <c r="O256" s="125"/>
      <c r="P256" s="125"/>
      <c r="Q256" s="125"/>
      <c r="R256" s="125"/>
      <c r="S256" s="125"/>
      <c r="T256" s="125"/>
      <c r="U256" s="125"/>
      <c r="V256" s="125"/>
    </row>
    <row r="257">
      <c r="A257" s="122" t="s">
        <v>2162</v>
      </c>
      <c r="B257" s="122" t="s">
        <v>2159</v>
      </c>
      <c r="C257" s="125">
        <v>0.0</v>
      </c>
      <c r="D257" s="125">
        <v>0.0</v>
      </c>
      <c r="E257" s="125">
        <v>0.0</v>
      </c>
      <c r="F257" s="125">
        <v>0.0</v>
      </c>
      <c r="G257" s="125">
        <v>0.0</v>
      </c>
      <c r="H257" s="125">
        <v>0.0</v>
      </c>
      <c r="I257" s="125">
        <v>0.0</v>
      </c>
      <c r="J257" s="125">
        <v>0.0</v>
      </c>
      <c r="K257" s="125">
        <v>0.0</v>
      </c>
      <c r="L257" s="125">
        <v>0.0</v>
      </c>
      <c r="M257" s="125">
        <v>0.0</v>
      </c>
      <c r="N257" s="125">
        <v>0.0</v>
      </c>
      <c r="O257" s="125"/>
      <c r="P257" s="125"/>
      <c r="Q257" s="125"/>
      <c r="R257" s="125"/>
      <c r="S257" s="125"/>
      <c r="T257" s="125"/>
      <c r="U257" s="125"/>
      <c r="V257" s="125"/>
    </row>
    <row r="258">
      <c r="A258" s="122" t="s">
        <v>2163</v>
      </c>
      <c r="B258" s="122" t="s">
        <v>2154</v>
      </c>
      <c r="C258" s="125">
        <v>0.0</v>
      </c>
      <c r="D258" s="125">
        <v>0.0</v>
      </c>
      <c r="E258" s="125">
        <v>0.0</v>
      </c>
      <c r="F258" s="125">
        <v>0.0</v>
      </c>
      <c r="G258" s="125">
        <v>0.0</v>
      </c>
      <c r="H258" s="125">
        <v>0.0</v>
      </c>
      <c r="I258" s="125">
        <v>0.0</v>
      </c>
      <c r="J258" s="125">
        <v>0.0</v>
      </c>
      <c r="K258" s="125">
        <v>0.0</v>
      </c>
      <c r="L258" s="125">
        <v>0.0</v>
      </c>
      <c r="M258" s="125">
        <v>0.0</v>
      </c>
      <c r="N258" s="125">
        <v>0.0</v>
      </c>
      <c r="O258" s="125"/>
      <c r="P258" s="125"/>
      <c r="Q258" s="125"/>
      <c r="R258" s="125"/>
      <c r="S258" s="125"/>
      <c r="T258" s="125"/>
      <c r="U258" s="125"/>
      <c r="V258" s="125"/>
    </row>
    <row r="259">
      <c r="A259" s="122" t="s">
        <v>979</v>
      </c>
      <c r="B259" s="122" t="s">
        <v>1855</v>
      </c>
      <c r="C259" s="125">
        <v>1.0843125E7</v>
      </c>
      <c r="D259" s="125">
        <v>1.0649125E7</v>
      </c>
      <c r="E259" s="125">
        <v>377.0</v>
      </c>
      <c r="F259" s="125">
        <v>194000.0</v>
      </c>
      <c r="G259" s="125">
        <v>6900966.0</v>
      </c>
      <c r="H259" s="125">
        <v>3942159.0</v>
      </c>
      <c r="I259" s="125" t="s">
        <v>2737</v>
      </c>
      <c r="J259" s="125">
        <v>3049466.0</v>
      </c>
      <c r="K259" s="125">
        <v>347841.0</v>
      </c>
      <c r="L259" s="125">
        <v>25340.0</v>
      </c>
      <c r="M259" s="125">
        <v>1736624.0</v>
      </c>
      <c r="N259" s="125">
        <v>-1741695.0</v>
      </c>
      <c r="O259" s="125"/>
      <c r="P259" s="125"/>
      <c r="Q259" s="125"/>
      <c r="R259" s="125"/>
      <c r="S259" s="125"/>
      <c r="T259" s="125"/>
      <c r="U259" s="125"/>
      <c r="V259" s="125"/>
    </row>
    <row r="260">
      <c r="A260" s="122" t="s">
        <v>970</v>
      </c>
      <c r="B260" s="122" t="s">
        <v>1928</v>
      </c>
      <c r="C260" s="125">
        <v>3040058.0</v>
      </c>
      <c r="D260" s="125">
        <v>3001058.0</v>
      </c>
      <c r="E260" s="125">
        <v>94.0</v>
      </c>
      <c r="F260" s="125">
        <v>39000.0</v>
      </c>
      <c r="G260" s="125">
        <v>2075545.0</v>
      </c>
      <c r="H260" s="125">
        <v>964513.0</v>
      </c>
      <c r="I260" s="125" t="s">
        <v>2787</v>
      </c>
      <c r="J260" s="125">
        <v>1064679.0</v>
      </c>
      <c r="K260" s="125">
        <v>141244.0</v>
      </c>
      <c r="L260" s="125">
        <v>4885.0</v>
      </c>
      <c r="M260" s="125">
        <v>458689.0</v>
      </c>
      <c r="N260" s="125">
        <v>-406048.0</v>
      </c>
      <c r="O260" s="125"/>
      <c r="P260" s="125"/>
      <c r="Q260" s="125"/>
      <c r="R260" s="125"/>
      <c r="S260" s="125"/>
      <c r="T260" s="125"/>
      <c r="U260" s="125"/>
      <c r="V260" s="125"/>
    </row>
    <row r="261">
      <c r="A261" s="122" t="s">
        <v>2164</v>
      </c>
      <c r="B261" s="122" t="s">
        <v>2165</v>
      </c>
      <c r="C261" s="125">
        <v>0.0</v>
      </c>
      <c r="D261" s="125">
        <v>0.0</v>
      </c>
      <c r="E261" s="125">
        <v>0.0</v>
      </c>
      <c r="F261" s="125">
        <v>0.0</v>
      </c>
      <c r="G261" s="125">
        <v>0.0</v>
      </c>
      <c r="H261" s="125">
        <v>0.0</v>
      </c>
      <c r="I261" s="125">
        <v>0.0</v>
      </c>
      <c r="J261" s="125">
        <v>0.0</v>
      </c>
      <c r="K261" s="125">
        <v>0.0</v>
      </c>
      <c r="L261" s="125">
        <v>0.0</v>
      </c>
      <c r="M261" s="125">
        <v>0.0</v>
      </c>
      <c r="N261" s="125">
        <v>0.0</v>
      </c>
      <c r="O261" s="125"/>
      <c r="P261" s="125"/>
      <c r="Q261" s="125"/>
      <c r="R261" s="125"/>
      <c r="S261" s="125"/>
      <c r="T261" s="125"/>
      <c r="U261" s="125"/>
      <c r="V261" s="125"/>
    </row>
    <row r="262">
      <c r="A262" s="122" t="s">
        <v>2148</v>
      </c>
      <c r="B262" s="122" t="s">
        <v>2149</v>
      </c>
      <c r="C262" s="125">
        <v>4027355.0</v>
      </c>
      <c r="D262" s="125">
        <v>4027355.0</v>
      </c>
      <c r="E262" s="125">
        <v>225.0</v>
      </c>
      <c r="F262" s="125">
        <v>0.0</v>
      </c>
      <c r="G262" s="125">
        <v>2606847.0</v>
      </c>
      <c r="H262" s="125">
        <v>1420508.0</v>
      </c>
      <c r="I262" s="125" t="s">
        <v>2788</v>
      </c>
      <c r="J262" s="125">
        <v>1564436.0</v>
      </c>
      <c r="K262" s="125">
        <v>187537.0</v>
      </c>
      <c r="L262" s="125">
        <v>3022.0</v>
      </c>
      <c r="M262" s="125">
        <v>822066.0</v>
      </c>
      <c r="N262" s="125">
        <v>-29786.0</v>
      </c>
      <c r="O262" s="125"/>
      <c r="P262" s="125"/>
      <c r="Q262" s="125"/>
      <c r="R262" s="125"/>
      <c r="S262" s="125"/>
      <c r="T262" s="125"/>
      <c r="U262" s="125"/>
      <c r="V262" s="125"/>
    </row>
    <row r="263">
      <c r="A263" s="122" t="s">
        <v>2150</v>
      </c>
      <c r="B263" s="122" t="s">
        <v>2151</v>
      </c>
      <c r="C263" s="125">
        <v>221186.0</v>
      </c>
      <c r="D263" s="125">
        <v>221186.0</v>
      </c>
      <c r="E263" s="125">
        <v>5.0</v>
      </c>
      <c r="F263" s="125">
        <v>0.0</v>
      </c>
      <c r="G263" s="125">
        <v>181931.0</v>
      </c>
      <c r="H263" s="125">
        <v>39255.0</v>
      </c>
      <c r="I263" s="125" t="s">
        <v>2789</v>
      </c>
      <c r="J263" s="125">
        <v>65980.0</v>
      </c>
      <c r="K263" s="125">
        <v>60637.0</v>
      </c>
      <c r="L263" s="125">
        <v>1703.0</v>
      </c>
      <c r="M263" s="125">
        <v>35388.0</v>
      </c>
      <c r="N263" s="125">
        <v>-18223.0</v>
      </c>
      <c r="O263" s="125"/>
      <c r="P263" s="125"/>
      <c r="Q263" s="125"/>
      <c r="R263" s="125"/>
      <c r="S263" s="125"/>
      <c r="T263" s="125"/>
      <c r="U263" s="125"/>
      <c r="V263" s="125"/>
    </row>
    <row r="264">
      <c r="A264" s="122" t="s">
        <v>2166</v>
      </c>
      <c r="B264" s="122" t="s">
        <v>2154</v>
      </c>
      <c r="C264" s="125">
        <v>0.0</v>
      </c>
      <c r="D264" s="125">
        <v>0.0</v>
      </c>
      <c r="E264" s="125">
        <v>0.0</v>
      </c>
      <c r="F264" s="125">
        <v>0.0</v>
      </c>
      <c r="G264" s="125">
        <v>0.0</v>
      </c>
      <c r="H264" s="125">
        <v>0.0</v>
      </c>
      <c r="I264" s="125">
        <v>0.0</v>
      </c>
      <c r="J264" s="125">
        <v>0.0</v>
      </c>
      <c r="K264" s="125">
        <v>0.0</v>
      </c>
      <c r="L264" s="125">
        <v>0.0</v>
      </c>
      <c r="M264" s="125">
        <v>0.0</v>
      </c>
      <c r="N264" s="125">
        <v>0.0</v>
      </c>
      <c r="O264" s="125"/>
      <c r="P264" s="125"/>
      <c r="Q264" s="125"/>
      <c r="R264" s="125"/>
      <c r="S264" s="125"/>
      <c r="T264" s="125"/>
      <c r="U264" s="125"/>
      <c r="V264" s="125"/>
    </row>
    <row r="265">
      <c r="A265" s="122" t="s">
        <v>2167</v>
      </c>
      <c r="B265" s="122" t="s">
        <v>2168</v>
      </c>
      <c r="C265" s="125">
        <v>0.0</v>
      </c>
      <c r="D265" s="125">
        <v>0.0</v>
      </c>
      <c r="E265" s="125">
        <v>0.0</v>
      </c>
      <c r="F265" s="125">
        <v>0.0</v>
      </c>
      <c r="G265" s="125">
        <v>0.0</v>
      </c>
      <c r="H265" s="125">
        <v>0.0</v>
      </c>
      <c r="I265" s="125">
        <v>0.0</v>
      </c>
      <c r="J265" s="125">
        <v>0.0</v>
      </c>
      <c r="K265" s="125">
        <v>0.0</v>
      </c>
      <c r="L265" s="125">
        <v>0.0</v>
      </c>
      <c r="M265" s="125">
        <v>0.0</v>
      </c>
      <c r="N265" s="125">
        <v>0.0</v>
      </c>
      <c r="O265" s="125"/>
      <c r="P265" s="125"/>
      <c r="Q265" s="125"/>
      <c r="R265" s="125"/>
      <c r="S265" s="125"/>
      <c r="T265" s="125"/>
      <c r="U265" s="125"/>
      <c r="V265" s="125"/>
    </row>
    <row r="266">
      <c r="A266" s="122" t="s">
        <v>2169</v>
      </c>
      <c r="B266" s="122" t="s">
        <v>2170</v>
      </c>
      <c r="C266" s="125">
        <v>449910.0</v>
      </c>
      <c r="D266" s="125">
        <v>449910.0</v>
      </c>
      <c r="E266" s="125">
        <v>9.0</v>
      </c>
      <c r="F266" s="125">
        <v>0.0</v>
      </c>
      <c r="G266" s="125">
        <v>350476.0</v>
      </c>
      <c r="H266" s="125">
        <v>99434.0</v>
      </c>
      <c r="I266" s="125" t="s">
        <v>2790</v>
      </c>
      <c r="J266" s="125">
        <v>160196.0</v>
      </c>
      <c r="K266" s="125">
        <v>50889.0</v>
      </c>
      <c r="L266" s="125">
        <v>3700.0</v>
      </c>
      <c r="M266" s="125">
        <v>85982.0</v>
      </c>
      <c r="N266" s="125">
        <v>-49709.0</v>
      </c>
      <c r="O266" s="125"/>
      <c r="P266" s="125"/>
      <c r="Q266" s="125"/>
      <c r="R266" s="125"/>
      <c r="S266" s="125"/>
      <c r="T266" s="125"/>
      <c r="U266" s="125"/>
      <c r="V266" s="125"/>
    </row>
    <row r="267">
      <c r="A267" s="122" t="s">
        <v>2171</v>
      </c>
      <c r="B267" s="122" t="s">
        <v>2154</v>
      </c>
      <c r="C267" s="125">
        <v>0.0</v>
      </c>
      <c r="D267" s="125">
        <v>0.0</v>
      </c>
      <c r="E267" s="125">
        <v>0.0</v>
      </c>
      <c r="F267" s="125">
        <v>0.0</v>
      </c>
      <c r="G267" s="125">
        <v>0.0</v>
      </c>
      <c r="H267" s="125">
        <v>0.0</v>
      </c>
      <c r="I267" s="125">
        <v>0.0</v>
      </c>
      <c r="J267" s="125">
        <v>0.0</v>
      </c>
      <c r="K267" s="125">
        <v>0.0</v>
      </c>
      <c r="L267" s="125">
        <v>0.0</v>
      </c>
      <c r="M267" s="125">
        <v>0.0</v>
      </c>
      <c r="N267" s="125">
        <v>0.0</v>
      </c>
      <c r="O267" s="125"/>
      <c r="P267" s="125"/>
      <c r="Q267" s="125"/>
      <c r="R267" s="125"/>
      <c r="S267" s="125"/>
      <c r="T267" s="125"/>
      <c r="U267" s="125"/>
      <c r="V267" s="125"/>
    </row>
    <row r="268">
      <c r="A268" s="122" t="s">
        <v>991</v>
      </c>
      <c r="B268" s="122" t="s">
        <v>1912</v>
      </c>
      <c r="C268" s="125">
        <v>0.0</v>
      </c>
      <c r="D268" s="125">
        <v>0.0</v>
      </c>
      <c r="E268" s="125">
        <v>0.0</v>
      </c>
      <c r="F268" s="125">
        <v>0.0</v>
      </c>
      <c r="G268" s="125">
        <v>0.0</v>
      </c>
      <c r="H268" s="125">
        <v>0.0</v>
      </c>
      <c r="I268" s="125">
        <v>0.0</v>
      </c>
      <c r="J268" s="125">
        <v>0.0</v>
      </c>
      <c r="K268" s="125">
        <v>0.0</v>
      </c>
      <c r="L268" s="125">
        <v>0.0</v>
      </c>
      <c r="M268" s="125">
        <v>0.0</v>
      </c>
      <c r="N268" s="125">
        <v>0.0</v>
      </c>
      <c r="O268" s="125"/>
      <c r="P268" s="125"/>
      <c r="Q268" s="125"/>
      <c r="R268" s="125"/>
      <c r="S268" s="125"/>
      <c r="T268" s="125"/>
      <c r="U268" s="125"/>
      <c r="V268" s="125"/>
    </row>
    <row r="269">
      <c r="A269" s="122" t="s">
        <v>937</v>
      </c>
      <c r="B269" s="122" t="s">
        <v>939</v>
      </c>
      <c r="C269" s="125">
        <v>6158993.0</v>
      </c>
      <c r="D269" s="125">
        <v>6048993.0</v>
      </c>
      <c r="E269" s="125">
        <v>34.0</v>
      </c>
      <c r="F269" s="125">
        <v>110000.0</v>
      </c>
      <c r="G269" s="125">
        <v>3401117.0</v>
      </c>
      <c r="H269" s="125">
        <v>2757876.0</v>
      </c>
      <c r="I269" s="125" t="s">
        <v>2791</v>
      </c>
      <c r="J269" s="125">
        <v>1923681.0</v>
      </c>
      <c r="K269" s="125">
        <v>280767.0</v>
      </c>
      <c r="L269" s="125">
        <v>20280.0</v>
      </c>
      <c r="M269" s="125">
        <v>963785.0</v>
      </c>
      <c r="N269" s="125">
        <v>-212604.0</v>
      </c>
      <c r="O269" s="125"/>
      <c r="P269" s="125"/>
      <c r="Q269" s="125"/>
      <c r="R269" s="125"/>
      <c r="S269" s="125"/>
      <c r="T269" s="125"/>
      <c r="U269" s="125"/>
      <c r="V269" s="125"/>
    </row>
    <row r="270">
      <c r="A270" s="122" t="s">
        <v>2172</v>
      </c>
      <c r="B270" s="122" t="s">
        <v>2159</v>
      </c>
      <c r="C270" s="125">
        <v>0.0</v>
      </c>
      <c r="D270" s="125">
        <v>0.0</v>
      </c>
      <c r="E270" s="125">
        <v>0.0</v>
      </c>
      <c r="F270" s="125">
        <v>0.0</v>
      </c>
      <c r="G270" s="125">
        <v>0.0</v>
      </c>
      <c r="H270" s="125">
        <v>0.0</v>
      </c>
      <c r="I270" s="125">
        <v>0.0</v>
      </c>
      <c r="J270" s="125">
        <v>0.0</v>
      </c>
      <c r="K270" s="125">
        <v>0.0</v>
      </c>
      <c r="L270" s="125">
        <v>0.0</v>
      </c>
      <c r="M270" s="125">
        <v>0.0</v>
      </c>
      <c r="N270" s="125">
        <v>0.0</v>
      </c>
      <c r="O270" s="125"/>
      <c r="P270" s="125"/>
      <c r="Q270" s="125"/>
      <c r="R270" s="125"/>
      <c r="S270" s="125"/>
      <c r="T270" s="125"/>
      <c r="U270" s="125"/>
      <c r="V270" s="125"/>
    </row>
    <row r="271">
      <c r="A271" s="122" t="s">
        <v>1017</v>
      </c>
      <c r="B271" s="122" t="s">
        <v>2173</v>
      </c>
      <c r="C271" s="125">
        <v>0.0</v>
      </c>
      <c r="D271" s="125">
        <v>0.0</v>
      </c>
      <c r="E271" s="125">
        <v>0.0</v>
      </c>
      <c r="F271" s="125">
        <v>0.0</v>
      </c>
      <c r="G271" s="125">
        <v>0.0</v>
      </c>
      <c r="H271" s="125">
        <v>0.0</v>
      </c>
      <c r="I271" s="125">
        <v>0.0</v>
      </c>
      <c r="J271" s="125">
        <v>0.0</v>
      </c>
      <c r="K271" s="125">
        <v>0.0</v>
      </c>
      <c r="L271" s="125">
        <v>0.0</v>
      </c>
      <c r="M271" s="125">
        <v>0.0</v>
      </c>
      <c r="N271" s="125">
        <v>0.0</v>
      </c>
      <c r="O271" s="125"/>
      <c r="P271" s="125"/>
      <c r="Q271" s="125"/>
      <c r="R271" s="125"/>
      <c r="S271" s="125"/>
      <c r="T271" s="125"/>
      <c r="U271" s="125"/>
      <c r="V271" s="125"/>
    </row>
    <row r="272">
      <c r="A272" s="122" t="s">
        <v>2174</v>
      </c>
      <c r="B272" s="122" t="s">
        <v>2175</v>
      </c>
      <c r="C272" s="125">
        <v>1.1894906E7</v>
      </c>
      <c r="D272" s="125">
        <v>1.1765906E7</v>
      </c>
      <c r="E272" s="125">
        <v>257.0</v>
      </c>
      <c r="F272" s="125">
        <v>129000.0</v>
      </c>
      <c r="G272" s="125">
        <v>7858611.0</v>
      </c>
      <c r="H272" s="125">
        <v>4036295.0</v>
      </c>
      <c r="I272" s="125" t="s">
        <v>2792</v>
      </c>
      <c r="J272" s="125">
        <v>4470377.0</v>
      </c>
      <c r="K272" s="125">
        <v>536111.0</v>
      </c>
      <c r="L272" s="125">
        <v>5119.0</v>
      </c>
      <c r="M272" s="125">
        <v>1866173.0</v>
      </c>
      <c r="N272" s="125">
        <v>-980831.0</v>
      </c>
      <c r="O272" s="125"/>
      <c r="P272" s="125"/>
      <c r="Q272" s="125"/>
      <c r="R272" s="125"/>
      <c r="S272" s="125"/>
      <c r="T272" s="125"/>
      <c r="U272" s="125"/>
      <c r="V272" s="125"/>
    </row>
    <row r="273">
      <c r="A273" s="122" t="s">
        <v>985</v>
      </c>
      <c r="B273" s="122" t="s">
        <v>1911</v>
      </c>
      <c r="C273" s="125">
        <v>5743862.0</v>
      </c>
      <c r="D273" s="125">
        <v>5695862.0</v>
      </c>
      <c r="E273" s="125">
        <v>172.0</v>
      </c>
      <c r="F273" s="125">
        <v>48000.0</v>
      </c>
      <c r="G273" s="125">
        <v>3492530.0</v>
      </c>
      <c r="H273" s="125">
        <v>2251332.0</v>
      </c>
      <c r="I273" s="125" t="s">
        <v>2793</v>
      </c>
      <c r="J273" s="125">
        <v>1682323.0</v>
      </c>
      <c r="K273" s="125">
        <v>322069.0</v>
      </c>
      <c r="L273" s="125">
        <v>3604.0</v>
      </c>
      <c r="M273" s="125">
        <v>912654.0</v>
      </c>
      <c r="N273" s="125">
        <v>-571880.0</v>
      </c>
      <c r="O273" s="125"/>
      <c r="P273" s="125"/>
      <c r="Q273" s="125"/>
      <c r="R273" s="125"/>
      <c r="S273" s="125"/>
      <c r="T273" s="125"/>
      <c r="U273" s="125"/>
      <c r="V273" s="125"/>
    </row>
    <row r="274">
      <c r="A274" s="122" t="s">
        <v>2176</v>
      </c>
      <c r="B274" s="122" t="s">
        <v>2177</v>
      </c>
      <c r="C274" s="125">
        <v>119980.0</v>
      </c>
      <c r="D274" s="125">
        <v>119980.0</v>
      </c>
      <c r="E274" s="125">
        <v>2.0</v>
      </c>
      <c r="F274" s="125">
        <v>0.0</v>
      </c>
      <c r="G274" s="125">
        <v>70912.0</v>
      </c>
      <c r="H274" s="125">
        <v>49068.0</v>
      </c>
      <c r="I274" s="125" t="s">
        <v>2794</v>
      </c>
      <c r="J274" s="125">
        <v>28000.0</v>
      </c>
      <c r="K274" s="125">
        <v>11534.0</v>
      </c>
      <c r="L274" s="125">
        <v>0.0</v>
      </c>
      <c r="M274" s="125">
        <v>17998.0</v>
      </c>
      <c r="N274" s="125">
        <v>-13380.0</v>
      </c>
      <c r="O274" s="125"/>
      <c r="P274" s="125"/>
      <c r="Q274" s="125"/>
      <c r="R274" s="125"/>
      <c r="S274" s="125"/>
      <c r="T274" s="125"/>
      <c r="U274" s="125"/>
      <c r="V274" s="125"/>
    </row>
    <row r="275">
      <c r="A275" s="122" t="s">
        <v>2178</v>
      </c>
      <c r="B275" s="122" t="s">
        <v>2179</v>
      </c>
      <c r="C275" s="125">
        <v>6098610.0</v>
      </c>
      <c r="D275" s="125">
        <v>6098610.0</v>
      </c>
      <c r="E275" s="125">
        <v>136.0</v>
      </c>
      <c r="F275" s="125">
        <v>0.0</v>
      </c>
      <c r="G275" s="125">
        <v>4369717.0</v>
      </c>
      <c r="H275" s="125">
        <v>1728893.0</v>
      </c>
      <c r="I275" s="125" t="s">
        <v>2706</v>
      </c>
      <c r="J275" s="125">
        <v>2091986.0</v>
      </c>
      <c r="K275" s="125">
        <v>250783.0</v>
      </c>
      <c r="L275" s="125">
        <v>25700.0</v>
      </c>
      <c r="M275" s="125">
        <v>974378.0</v>
      </c>
      <c r="N275" s="125">
        <v>-1026870.0</v>
      </c>
      <c r="O275" s="125"/>
      <c r="P275" s="125"/>
      <c r="Q275" s="125"/>
      <c r="R275" s="125"/>
      <c r="S275" s="125"/>
      <c r="T275" s="125"/>
      <c r="U275" s="125"/>
      <c r="V275" s="125"/>
    </row>
    <row r="276">
      <c r="A276" s="122" t="s">
        <v>2180</v>
      </c>
      <c r="B276" s="122" t="s">
        <v>2181</v>
      </c>
      <c r="C276" s="125">
        <v>1559760.0</v>
      </c>
      <c r="D276" s="125">
        <v>1524760.0</v>
      </c>
      <c r="E276" s="125">
        <v>24.0</v>
      </c>
      <c r="F276" s="125">
        <v>35000.0</v>
      </c>
      <c r="G276" s="125">
        <v>877890.0</v>
      </c>
      <c r="H276" s="125">
        <v>681870.0</v>
      </c>
      <c r="I276" s="125" t="s">
        <v>2795</v>
      </c>
      <c r="J276" s="125">
        <v>543848.0</v>
      </c>
      <c r="K276" s="125">
        <v>44939.0</v>
      </c>
      <c r="L276" s="125">
        <v>0.0</v>
      </c>
      <c r="M276" s="125">
        <v>233975.0</v>
      </c>
      <c r="N276" s="125">
        <v>-55128.0</v>
      </c>
      <c r="O276" s="125"/>
      <c r="P276" s="125"/>
      <c r="Q276" s="125"/>
      <c r="R276" s="125"/>
      <c r="S276" s="125"/>
      <c r="T276" s="125"/>
      <c r="U276" s="125"/>
      <c r="V276" s="125"/>
    </row>
    <row r="277">
      <c r="A277" s="122" t="s">
        <v>982</v>
      </c>
      <c r="B277" s="122" t="s">
        <v>1910</v>
      </c>
      <c r="C277" s="125">
        <v>2811330.0</v>
      </c>
      <c r="D277" s="125">
        <v>2811330.0</v>
      </c>
      <c r="E277" s="125">
        <v>81.0</v>
      </c>
      <c r="F277" s="125">
        <v>0.0</v>
      </c>
      <c r="G277" s="125">
        <v>1631939.0</v>
      </c>
      <c r="H277" s="125">
        <v>1179391.0</v>
      </c>
      <c r="I277" s="125" t="s">
        <v>2796</v>
      </c>
      <c r="J277" s="125">
        <v>793788.0</v>
      </c>
      <c r="K277" s="125">
        <v>115250.0</v>
      </c>
      <c r="L277" s="125">
        <v>2399.0</v>
      </c>
      <c r="M277" s="125">
        <v>448737.0</v>
      </c>
      <c r="N277" s="125">
        <v>-271765.0</v>
      </c>
      <c r="O277" s="125"/>
      <c r="P277" s="125"/>
      <c r="Q277" s="125"/>
      <c r="R277" s="125"/>
      <c r="S277" s="125"/>
      <c r="T277" s="125"/>
      <c r="U277" s="125"/>
      <c r="V277" s="125"/>
    </row>
    <row r="278">
      <c r="A278" s="122" t="s">
        <v>2182</v>
      </c>
      <c r="B278" s="122" t="s">
        <v>2183</v>
      </c>
      <c r="C278" s="125">
        <v>874860.0</v>
      </c>
      <c r="D278" s="125">
        <v>844860.0</v>
      </c>
      <c r="E278" s="125">
        <v>14.0</v>
      </c>
      <c r="F278" s="125">
        <v>30000.0</v>
      </c>
      <c r="G278" s="125">
        <v>512798.0</v>
      </c>
      <c r="H278" s="125">
        <v>362062.0</v>
      </c>
      <c r="I278" s="125" t="s">
        <v>2797</v>
      </c>
      <c r="J278" s="125">
        <v>320421.0</v>
      </c>
      <c r="K278" s="125">
        <v>14726.0</v>
      </c>
      <c r="L278" s="125">
        <v>0.0</v>
      </c>
      <c r="M278" s="125">
        <v>131235.0</v>
      </c>
      <c r="N278" s="125">
        <v>-46416.0</v>
      </c>
      <c r="O278" s="125"/>
      <c r="P278" s="125"/>
      <c r="Q278" s="125"/>
      <c r="R278" s="125"/>
      <c r="S278" s="125"/>
      <c r="T278" s="125"/>
      <c r="U278" s="125"/>
      <c r="V278" s="125"/>
    </row>
    <row r="279">
      <c r="A279" s="122" t="s">
        <v>2184</v>
      </c>
      <c r="B279" s="122" t="s">
        <v>2185</v>
      </c>
      <c r="C279" s="125">
        <v>30918.0</v>
      </c>
      <c r="D279" s="125">
        <v>30918.0</v>
      </c>
      <c r="E279" s="125">
        <v>1.0</v>
      </c>
      <c r="F279" s="125">
        <v>0.0</v>
      </c>
      <c r="G279" s="125">
        <v>29167.0</v>
      </c>
      <c r="H279" s="125">
        <v>1751.0</v>
      </c>
      <c r="I279" s="125" t="s">
        <v>2798</v>
      </c>
      <c r="J279" s="125">
        <v>12135.0</v>
      </c>
      <c r="K279" s="125">
        <v>8044.0</v>
      </c>
      <c r="L279" s="125">
        <v>564.0</v>
      </c>
      <c r="M279" s="125">
        <v>4329.0</v>
      </c>
      <c r="N279" s="125">
        <v>-4095.0</v>
      </c>
      <c r="O279" s="125"/>
      <c r="P279" s="125"/>
      <c r="Q279" s="125"/>
      <c r="R279" s="125"/>
      <c r="S279" s="125"/>
      <c r="T279" s="125"/>
      <c r="U279" s="125"/>
      <c r="V279" s="125"/>
    </row>
    <row r="280">
      <c r="A280" s="122" t="s">
        <v>2186</v>
      </c>
      <c r="B280" s="122" t="s">
        <v>2187</v>
      </c>
      <c r="C280" s="125">
        <v>0.0</v>
      </c>
      <c r="D280" s="125">
        <v>0.0</v>
      </c>
      <c r="E280" s="125">
        <v>0.0</v>
      </c>
      <c r="F280" s="125">
        <v>0.0</v>
      </c>
      <c r="G280" s="125">
        <v>0.0</v>
      </c>
      <c r="H280" s="125">
        <v>0.0</v>
      </c>
      <c r="I280" s="125">
        <v>0.0</v>
      </c>
      <c r="J280" s="125">
        <v>0.0</v>
      </c>
      <c r="K280" s="125">
        <v>0.0</v>
      </c>
      <c r="L280" s="125">
        <v>0.0</v>
      </c>
      <c r="M280" s="125">
        <v>0.0</v>
      </c>
      <c r="N280" s="125">
        <v>0.0</v>
      </c>
      <c r="O280" s="125"/>
      <c r="P280" s="125"/>
      <c r="Q280" s="125"/>
      <c r="R280" s="125"/>
      <c r="S280" s="125"/>
      <c r="T280" s="125"/>
      <c r="U280" s="125"/>
      <c r="V280" s="125"/>
    </row>
    <row r="281">
      <c r="A281" s="122" t="s">
        <v>2188</v>
      </c>
      <c r="B281" s="122" t="s">
        <v>2189</v>
      </c>
      <c r="C281" s="125">
        <v>0.0</v>
      </c>
      <c r="D281" s="125">
        <v>0.0</v>
      </c>
      <c r="E281" s="125">
        <v>0.0</v>
      </c>
      <c r="F281" s="125">
        <v>0.0</v>
      </c>
      <c r="G281" s="125">
        <v>0.0</v>
      </c>
      <c r="H281" s="125">
        <v>0.0</v>
      </c>
      <c r="I281" s="125">
        <v>0.0</v>
      </c>
      <c r="J281" s="125">
        <v>0.0</v>
      </c>
      <c r="K281" s="125">
        <v>0.0</v>
      </c>
      <c r="L281" s="125">
        <v>0.0</v>
      </c>
      <c r="M281" s="125">
        <v>0.0</v>
      </c>
      <c r="N281" s="125">
        <v>0.0</v>
      </c>
      <c r="O281" s="125"/>
      <c r="P281" s="125"/>
      <c r="Q281" s="125"/>
      <c r="R281" s="125"/>
      <c r="S281" s="125"/>
      <c r="T281" s="125"/>
      <c r="U281" s="125"/>
      <c r="V281" s="125"/>
    </row>
    <row r="282">
      <c r="A282" s="122" t="s">
        <v>2190</v>
      </c>
      <c r="B282" s="122" t="s">
        <v>2191</v>
      </c>
      <c r="C282" s="125">
        <v>0.0</v>
      </c>
      <c r="D282" s="125">
        <v>0.0</v>
      </c>
      <c r="E282" s="125">
        <v>0.0</v>
      </c>
      <c r="F282" s="125">
        <v>0.0</v>
      </c>
      <c r="G282" s="125">
        <v>0.0</v>
      </c>
      <c r="H282" s="125">
        <v>0.0</v>
      </c>
      <c r="I282" s="125">
        <v>0.0</v>
      </c>
      <c r="J282" s="125">
        <v>0.0</v>
      </c>
      <c r="K282" s="125">
        <v>0.0</v>
      </c>
      <c r="L282" s="125">
        <v>0.0</v>
      </c>
      <c r="M282" s="125">
        <v>0.0</v>
      </c>
      <c r="N282" s="125">
        <v>0.0</v>
      </c>
      <c r="O282" s="125"/>
      <c r="P282" s="125"/>
      <c r="Q282" s="125"/>
      <c r="R282" s="125"/>
      <c r="S282" s="125"/>
      <c r="T282" s="125"/>
      <c r="U282" s="125"/>
      <c r="V282" s="125"/>
    </row>
    <row r="283">
      <c r="A283" s="122" t="s">
        <v>2192</v>
      </c>
      <c r="B283" s="122" t="s">
        <v>2193</v>
      </c>
      <c r="C283" s="125">
        <v>0.0</v>
      </c>
      <c r="D283" s="125">
        <v>0.0</v>
      </c>
      <c r="E283" s="125">
        <v>0.0</v>
      </c>
      <c r="F283" s="125">
        <v>0.0</v>
      </c>
      <c r="G283" s="125">
        <v>0.0</v>
      </c>
      <c r="H283" s="125">
        <v>0.0</v>
      </c>
      <c r="I283" s="125">
        <v>0.0</v>
      </c>
      <c r="J283" s="125">
        <v>0.0</v>
      </c>
      <c r="K283" s="125">
        <v>0.0</v>
      </c>
      <c r="L283" s="125">
        <v>0.0</v>
      </c>
      <c r="M283" s="125">
        <v>0.0</v>
      </c>
      <c r="N283" s="125">
        <v>0.0</v>
      </c>
      <c r="O283" s="125"/>
      <c r="P283" s="125"/>
      <c r="Q283" s="125"/>
      <c r="R283" s="125"/>
      <c r="S283" s="125"/>
      <c r="T283" s="125"/>
      <c r="U283" s="125"/>
      <c r="V283" s="125"/>
    </row>
    <row r="284">
      <c r="A284" s="122" t="s">
        <v>2194</v>
      </c>
      <c r="B284" s="122" t="s">
        <v>2195</v>
      </c>
      <c r="C284" s="125">
        <v>109980.0</v>
      </c>
      <c r="D284" s="125">
        <v>109980.0</v>
      </c>
      <c r="E284" s="125">
        <v>2.0</v>
      </c>
      <c r="F284" s="125">
        <v>0.0</v>
      </c>
      <c r="G284" s="125">
        <v>67074.0</v>
      </c>
      <c r="H284" s="125">
        <v>42906.0</v>
      </c>
      <c r="I284" s="125" t="s">
        <v>2799</v>
      </c>
      <c r="J284" s="125">
        <v>31186.0</v>
      </c>
      <c r="K284" s="125">
        <v>5623.0</v>
      </c>
      <c r="L284" s="125">
        <v>419.0</v>
      </c>
      <c r="M284" s="125">
        <v>17596.0</v>
      </c>
      <c r="N284" s="125">
        <v>-12250.0</v>
      </c>
      <c r="O284" s="125"/>
      <c r="P284" s="125"/>
      <c r="Q284" s="125"/>
      <c r="R284" s="125"/>
      <c r="S284" s="125"/>
      <c r="T284" s="125"/>
      <c r="U284" s="125"/>
      <c r="V284" s="125"/>
    </row>
    <row r="285">
      <c r="A285" s="122" t="s">
        <v>2196</v>
      </c>
      <c r="B285" s="122" t="s">
        <v>2197</v>
      </c>
      <c r="C285" s="125">
        <v>0.0</v>
      </c>
      <c r="D285" s="125">
        <v>0.0</v>
      </c>
      <c r="E285" s="125">
        <v>0.0</v>
      </c>
      <c r="F285" s="125">
        <v>0.0</v>
      </c>
      <c r="G285" s="125">
        <v>0.0</v>
      </c>
      <c r="H285" s="125">
        <v>0.0</v>
      </c>
      <c r="I285" s="125">
        <v>0.0</v>
      </c>
      <c r="J285" s="125">
        <v>0.0</v>
      </c>
      <c r="K285" s="125">
        <v>0.0</v>
      </c>
      <c r="L285" s="125">
        <v>0.0</v>
      </c>
      <c r="M285" s="125">
        <v>0.0</v>
      </c>
      <c r="N285" s="125">
        <v>0.0</v>
      </c>
      <c r="O285" s="125"/>
      <c r="P285" s="125"/>
      <c r="Q285" s="125"/>
      <c r="R285" s="125"/>
      <c r="S285" s="125"/>
      <c r="T285" s="125"/>
      <c r="U285" s="125"/>
      <c r="V285" s="125"/>
    </row>
    <row r="286">
      <c r="A286" s="122" t="s">
        <v>2198</v>
      </c>
      <c r="B286" s="122" t="s">
        <v>2199</v>
      </c>
      <c r="C286" s="125">
        <v>0.0</v>
      </c>
      <c r="D286" s="125">
        <v>0.0</v>
      </c>
      <c r="E286" s="125">
        <v>0.0</v>
      </c>
      <c r="F286" s="125">
        <v>0.0</v>
      </c>
      <c r="G286" s="125">
        <v>0.0</v>
      </c>
      <c r="H286" s="125">
        <v>0.0</v>
      </c>
      <c r="I286" s="125">
        <v>0.0</v>
      </c>
      <c r="J286" s="125">
        <v>0.0</v>
      </c>
      <c r="K286" s="125">
        <v>0.0</v>
      </c>
      <c r="L286" s="125">
        <v>0.0</v>
      </c>
      <c r="M286" s="125">
        <v>0.0</v>
      </c>
      <c r="N286" s="125">
        <v>0.0</v>
      </c>
      <c r="O286" s="125"/>
      <c r="P286" s="125"/>
      <c r="Q286" s="125"/>
      <c r="R286" s="125"/>
      <c r="S286" s="125"/>
      <c r="T286" s="125"/>
      <c r="U286" s="125"/>
      <c r="V286" s="125"/>
    </row>
    <row r="287">
      <c r="A287" s="122" t="s">
        <v>2200</v>
      </c>
      <c r="B287" s="122" t="s">
        <v>2201</v>
      </c>
      <c r="C287" s="125">
        <v>102990.0</v>
      </c>
      <c r="D287" s="125">
        <v>102990.0</v>
      </c>
      <c r="E287" s="125">
        <v>6.0</v>
      </c>
      <c r="F287" s="125">
        <v>0.0</v>
      </c>
      <c r="G287" s="125">
        <v>119792.0</v>
      </c>
      <c r="H287" s="125">
        <v>-16802.0</v>
      </c>
      <c r="I287" s="125" t="s">
        <v>2800</v>
      </c>
      <c r="J287" s="125">
        <v>48540.0</v>
      </c>
      <c r="K287" s="125">
        <v>50484.0</v>
      </c>
      <c r="L287" s="125">
        <v>236.0</v>
      </c>
      <c r="M287" s="125">
        <v>20290.0</v>
      </c>
      <c r="N287" s="125">
        <v>-242.0</v>
      </c>
      <c r="O287" s="125"/>
      <c r="P287" s="125"/>
      <c r="Q287" s="125"/>
      <c r="R287" s="125"/>
      <c r="S287" s="125"/>
      <c r="T287" s="125"/>
      <c r="U287" s="125"/>
      <c r="V287" s="125"/>
    </row>
    <row r="288">
      <c r="A288" s="122" t="s">
        <v>973</v>
      </c>
      <c r="B288" s="122" t="s">
        <v>1927</v>
      </c>
      <c r="C288" s="125">
        <v>770770.0</v>
      </c>
      <c r="D288" s="125">
        <v>767770.0</v>
      </c>
      <c r="E288" s="125">
        <v>23.0</v>
      </c>
      <c r="F288" s="125">
        <v>3000.0</v>
      </c>
      <c r="G288" s="125">
        <v>700346.0</v>
      </c>
      <c r="H288" s="125">
        <v>70424.0</v>
      </c>
      <c r="I288" s="125" t="s">
        <v>2801</v>
      </c>
      <c r="J288" s="125">
        <v>292445.0</v>
      </c>
      <c r="K288" s="125">
        <v>178967.0</v>
      </c>
      <c r="L288" s="125">
        <v>675.0</v>
      </c>
      <c r="M288" s="125">
        <v>116307.0</v>
      </c>
      <c r="N288" s="125">
        <v>-111952.0</v>
      </c>
      <c r="O288" s="125"/>
      <c r="P288" s="125"/>
      <c r="Q288" s="125"/>
      <c r="R288" s="125"/>
      <c r="S288" s="125"/>
      <c r="T288" s="125"/>
      <c r="U288" s="125"/>
      <c r="V288" s="125"/>
    </row>
    <row r="289">
      <c r="A289" s="122" t="s">
        <v>2202</v>
      </c>
      <c r="B289" s="122" t="s">
        <v>2203</v>
      </c>
      <c r="C289" s="125">
        <v>0.0</v>
      </c>
      <c r="D289" s="125">
        <v>0.0</v>
      </c>
      <c r="E289" s="125">
        <v>0.0</v>
      </c>
      <c r="F289" s="125">
        <v>0.0</v>
      </c>
      <c r="G289" s="125">
        <v>0.0</v>
      </c>
      <c r="H289" s="125">
        <v>0.0</v>
      </c>
      <c r="I289" s="125">
        <v>0.0</v>
      </c>
      <c r="J289" s="125">
        <v>0.0</v>
      </c>
      <c r="K289" s="125">
        <v>0.0</v>
      </c>
      <c r="L289" s="125">
        <v>0.0</v>
      </c>
      <c r="M289" s="125">
        <v>0.0</v>
      </c>
      <c r="N289" s="125">
        <v>0.0</v>
      </c>
      <c r="O289" s="125"/>
      <c r="P289" s="125"/>
      <c r="Q289" s="125"/>
      <c r="R289" s="125"/>
      <c r="S289" s="125"/>
      <c r="T289" s="125"/>
      <c r="U289" s="125"/>
      <c r="V289" s="125"/>
    </row>
    <row r="290">
      <c r="A290" s="122" t="s">
        <v>2204</v>
      </c>
      <c r="B290" s="122" t="s">
        <v>2205</v>
      </c>
      <c r="C290" s="125">
        <v>0.0</v>
      </c>
      <c r="D290" s="125">
        <v>0.0</v>
      </c>
      <c r="E290" s="125">
        <v>0.0</v>
      </c>
      <c r="F290" s="125">
        <v>0.0</v>
      </c>
      <c r="G290" s="125">
        <v>0.0</v>
      </c>
      <c r="H290" s="125">
        <v>0.0</v>
      </c>
      <c r="I290" s="125">
        <v>0.0</v>
      </c>
      <c r="J290" s="125">
        <v>0.0</v>
      </c>
      <c r="K290" s="125">
        <v>0.0</v>
      </c>
      <c r="L290" s="125">
        <v>0.0</v>
      </c>
      <c r="M290" s="125">
        <v>0.0</v>
      </c>
      <c r="N290" s="125">
        <v>0.0</v>
      </c>
      <c r="O290" s="125"/>
      <c r="P290" s="125"/>
      <c r="Q290" s="125"/>
      <c r="R290" s="125"/>
      <c r="S290" s="125"/>
      <c r="T290" s="125"/>
      <c r="U290" s="125"/>
      <c r="V290" s="125"/>
    </row>
    <row r="291">
      <c r="A291" s="122" t="s">
        <v>2206</v>
      </c>
      <c r="B291" s="122" t="s">
        <v>2207</v>
      </c>
      <c r="C291" s="125">
        <v>0.0</v>
      </c>
      <c r="D291" s="125">
        <v>0.0</v>
      </c>
      <c r="E291" s="125">
        <v>0.0</v>
      </c>
      <c r="F291" s="125">
        <v>0.0</v>
      </c>
      <c r="G291" s="125">
        <v>0.0</v>
      </c>
      <c r="H291" s="125">
        <v>0.0</v>
      </c>
      <c r="I291" s="125">
        <v>0.0</v>
      </c>
      <c r="J291" s="125">
        <v>0.0</v>
      </c>
      <c r="K291" s="125">
        <v>0.0</v>
      </c>
      <c r="L291" s="125">
        <v>0.0</v>
      </c>
      <c r="M291" s="125">
        <v>0.0</v>
      </c>
      <c r="N291" s="125">
        <v>0.0</v>
      </c>
      <c r="O291" s="125"/>
      <c r="P291" s="125"/>
      <c r="Q291" s="125"/>
      <c r="R291" s="125"/>
      <c r="S291" s="125"/>
      <c r="T291" s="125"/>
      <c r="U291" s="125"/>
      <c r="V291" s="125"/>
    </row>
    <row r="292">
      <c r="A292" s="122" t="s">
        <v>2208</v>
      </c>
      <c r="B292" s="122" t="s">
        <v>2209</v>
      </c>
      <c r="C292" s="125">
        <v>0.0</v>
      </c>
      <c r="D292" s="125">
        <v>0.0</v>
      </c>
      <c r="E292" s="125">
        <v>0.0</v>
      </c>
      <c r="F292" s="125">
        <v>0.0</v>
      </c>
      <c r="G292" s="125">
        <v>0.0</v>
      </c>
      <c r="H292" s="125">
        <v>0.0</v>
      </c>
      <c r="I292" s="125">
        <v>0.0</v>
      </c>
      <c r="J292" s="125">
        <v>0.0</v>
      </c>
      <c r="K292" s="125">
        <v>0.0</v>
      </c>
      <c r="L292" s="125">
        <v>0.0</v>
      </c>
      <c r="M292" s="125">
        <v>0.0</v>
      </c>
      <c r="N292" s="125">
        <v>0.0</v>
      </c>
      <c r="O292" s="125"/>
      <c r="P292" s="125"/>
      <c r="Q292" s="125"/>
      <c r="R292" s="125"/>
      <c r="S292" s="125"/>
      <c r="T292" s="125"/>
      <c r="U292" s="125"/>
      <c r="V292" s="125"/>
    </row>
    <row r="293">
      <c r="A293" s="122" t="s">
        <v>2210</v>
      </c>
      <c r="B293" s="122" t="s">
        <v>2211</v>
      </c>
      <c r="C293" s="125">
        <v>0.0</v>
      </c>
      <c r="D293" s="125">
        <v>0.0</v>
      </c>
      <c r="E293" s="125">
        <v>0.0</v>
      </c>
      <c r="F293" s="125">
        <v>0.0</v>
      </c>
      <c r="G293" s="125">
        <v>0.0</v>
      </c>
      <c r="H293" s="125">
        <v>0.0</v>
      </c>
      <c r="I293" s="125">
        <v>0.0</v>
      </c>
      <c r="J293" s="125">
        <v>0.0</v>
      </c>
      <c r="K293" s="125">
        <v>0.0</v>
      </c>
      <c r="L293" s="125">
        <v>0.0</v>
      </c>
      <c r="M293" s="125">
        <v>0.0</v>
      </c>
      <c r="N293" s="125">
        <v>0.0</v>
      </c>
      <c r="O293" s="125"/>
      <c r="P293" s="125"/>
      <c r="Q293" s="125"/>
      <c r="R293" s="125"/>
      <c r="S293" s="125"/>
      <c r="T293" s="125"/>
      <c r="U293" s="125"/>
      <c r="V293" s="125"/>
    </row>
    <row r="294">
      <c r="A294" s="122" t="s">
        <v>2212</v>
      </c>
      <c r="B294" s="122" t="s">
        <v>2213</v>
      </c>
      <c r="C294" s="125">
        <v>0.0</v>
      </c>
      <c r="D294" s="125">
        <v>0.0</v>
      </c>
      <c r="E294" s="125">
        <v>0.0</v>
      </c>
      <c r="F294" s="125">
        <v>0.0</v>
      </c>
      <c r="G294" s="125">
        <v>0.0</v>
      </c>
      <c r="H294" s="125">
        <v>0.0</v>
      </c>
      <c r="I294" s="125">
        <v>0.0</v>
      </c>
      <c r="J294" s="125">
        <v>0.0</v>
      </c>
      <c r="K294" s="125">
        <v>0.0</v>
      </c>
      <c r="L294" s="125">
        <v>0.0</v>
      </c>
      <c r="M294" s="125">
        <v>0.0</v>
      </c>
      <c r="N294" s="125">
        <v>0.0</v>
      </c>
      <c r="O294" s="125"/>
      <c r="P294" s="125"/>
      <c r="Q294" s="125"/>
      <c r="R294" s="125"/>
      <c r="S294" s="125"/>
      <c r="T294" s="125"/>
      <c r="U294" s="125"/>
      <c r="V294" s="125"/>
    </row>
    <row r="295">
      <c r="A295" s="122" t="s">
        <v>1006</v>
      </c>
      <c r="B295" s="122" t="s">
        <v>2802</v>
      </c>
      <c r="C295" s="125">
        <v>3981552.0</v>
      </c>
      <c r="D295" s="125">
        <v>3981552.0</v>
      </c>
      <c r="E295" s="125">
        <v>20.0</v>
      </c>
      <c r="F295" s="125">
        <v>0.0</v>
      </c>
      <c r="G295" s="125">
        <v>3284562.0</v>
      </c>
      <c r="H295" s="125">
        <v>696990.0</v>
      </c>
      <c r="I295" s="125" t="s">
        <v>2803</v>
      </c>
      <c r="J295" s="125">
        <v>2174080.0</v>
      </c>
      <c r="K295" s="125">
        <v>399224.0</v>
      </c>
      <c r="L295" s="125">
        <v>0.0</v>
      </c>
      <c r="M295" s="125">
        <v>455970.0</v>
      </c>
      <c r="N295" s="125">
        <v>-255288.0</v>
      </c>
      <c r="O295" s="125"/>
      <c r="P295" s="125"/>
      <c r="Q295" s="125"/>
      <c r="R295" s="125"/>
      <c r="S295" s="125"/>
      <c r="T295" s="125"/>
      <c r="U295" s="125"/>
      <c r="V295" s="125"/>
    </row>
    <row r="296">
      <c r="A296" s="122" t="s">
        <v>997</v>
      </c>
      <c r="B296" s="122" t="s">
        <v>999</v>
      </c>
      <c r="C296" s="125">
        <v>1844792.0</v>
      </c>
      <c r="D296" s="125">
        <v>1844792.0</v>
      </c>
      <c r="E296" s="125">
        <v>235.0</v>
      </c>
      <c r="F296" s="125">
        <v>0.0</v>
      </c>
      <c r="G296" s="125">
        <v>1165262.0</v>
      </c>
      <c r="H296" s="125">
        <v>679530.0</v>
      </c>
      <c r="I296" s="125" t="s">
        <v>2804</v>
      </c>
      <c r="J296" s="125">
        <v>583790.0</v>
      </c>
      <c r="K296" s="125">
        <v>117747.0</v>
      </c>
      <c r="L296" s="125">
        <v>20181.0</v>
      </c>
      <c r="M296" s="125">
        <v>440463.0</v>
      </c>
      <c r="N296" s="125">
        <v>-3081.0</v>
      </c>
      <c r="O296" s="125"/>
      <c r="P296" s="125"/>
      <c r="Q296" s="125"/>
      <c r="R296" s="125"/>
      <c r="S296" s="125"/>
      <c r="T296" s="125"/>
      <c r="U296" s="125"/>
      <c r="V296" s="125"/>
    </row>
    <row r="297">
      <c r="A297" s="122" t="s">
        <v>1026</v>
      </c>
      <c r="B297" s="122" t="s">
        <v>1883</v>
      </c>
      <c r="C297" s="125">
        <v>9429425.0</v>
      </c>
      <c r="D297" s="125">
        <v>9429425.0</v>
      </c>
      <c r="E297" s="125">
        <v>500.0</v>
      </c>
      <c r="F297" s="125">
        <v>0.0</v>
      </c>
      <c r="G297" s="125">
        <v>5617115.0</v>
      </c>
      <c r="H297" s="125">
        <v>3812310.0</v>
      </c>
      <c r="I297" s="125" t="s">
        <v>2805</v>
      </c>
      <c r="J297" s="125">
        <v>3166972.0</v>
      </c>
      <c r="K297" s="125">
        <v>505306.0</v>
      </c>
      <c r="L297" s="125">
        <v>11765.0</v>
      </c>
      <c r="M297" s="125">
        <v>1819702.0</v>
      </c>
      <c r="N297" s="125">
        <v>-113370.0</v>
      </c>
      <c r="O297" s="125"/>
      <c r="P297" s="125"/>
      <c r="Q297" s="125"/>
      <c r="R297" s="125"/>
      <c r="S297" s="125"/>
      <c r="T297" s="125"/>
      <c r="U297" s="125"/>
      <c r="V297" s="125"/>
    </row>
    <row r="298">
      <c r="A298" s="122" t="s">
        <v>993</v>
      </c>
      <c r="B298" s="122" t="s">
        <v>995</v>
      </c>
      <c r="C298" s="125">
        <v>1158635.0</v>
      </c>
      <c r="D298" s="125">
        <v>1158635.0</v>
      </c>
      <c r="E298" s="125">
        <v>252.0</v>
      </c>
      <c r="F298" s="125">
        <v>0.0</v>
      </c>
      <c r="G298" s="125">
        <v>797073.0</v>
      </c>
      <c r="H298" s="125">
        <v>361562.0</v>
      </c>
      <c r="I298" s="125" t="s">
        <v>2806</v>
      </c>
      <c r="J298" s="125">
        <v>351180.0</v>
      </c>
      <c r="K298" s="125">
        <v>72302.0</v>
      </c>
      <c r="L298" s="125">
        <v>10986.0</v>
      </c>
      <c r="M298" s="125">
        <v>331382.0</v>
      </c>
      <c r="N298" s="125">
        <v>-31223.0</v>
      </c>
      <c r="O298" s="125"/>
      <c r="P298" s="125"/>
      <c r="Q298" s="125"/>
      <c r="R298" s="125"/>
      <c r="S298" s="125"/>
      <c r="T298" s="125"/>
      <c r="U298" s="125"/>
      <c r="V298" s="125"/>
    </row>
    <row r="299">
      <c r="A299" s="122" t="s">
        <v>1023</v>
      </c>
      <c r="B299" s="122" t="s">
        <v>1850</v>
      </c>
      <c r="C299" s="125">
        <v>5960812.0</v>
      </c>
      <c r="D299" s="125">
        <v>5935812.0</v>
      </c>
      <c r="E299" s="125">
        <v>94.0</v>
      </c>
      <c r="F299" s="125">
        <v>25000.0</v>
      </c>
      <c r="G299" s="125">
        <v>4444076.0</v>
      </c>
      <c r="H299" s="125">
        <v>1516736.0</v>
      </c>
      <c r="I299" s="125" t="s">
        <v>2807</v>
      </c>
      <c r="J299" s="125">
        <v>3058760.0</v>
      </c>
      <c r="K299" s="125">
        <v>224473.0</v>
      </c>
      <c r="L299" s="125">
        <v>4625.0</v>
      </c>
      <c r="M299" s="125">
        <v>838320.0</v>
      </c>
      <c r="N299" s="125">
        <v>-317898.0</v>
      </c>
      <c r="O299" s="125"/>
      <c r="P299" s="125"/>
      <c r="Q299" s="125"/>
      <c r="R299" s="125"/>
      <c r="S299" s="125"/>
      <c r="T299" s="125"/>
      <c r="U299" s="125"/>
      <c r="V299" s="125"/>
    </row>
    <row r="300">
      <c r="A300" s="122" t="s">
        <v>1003</v>
      </c>
      <c r="B300" s="122" t="s">
        <v>2808</v>
      </c>
      <c r="C300" s="125">
        <v>139990.0</v>
      </c>
      <c r="D300" s="125">
        <v>139990.0</v>
      </c>
      <c r="E300" s="125">
        <v>1.0</v>
      </c>
      <c r="F300" s="125">
        <v>0.0</v>
      </c>
      <c r="G300" s="125">
        <v>98983.0</v>
      </c>
      <c r="H300" s="125">
        <v>41007.0</v>
      </c>
      <c r="I300" s="125" t="s">
        <v>2809</v>
      </c>
      <c r="J300" s="125">
        <v>69824.0</v>
      </c>
      <c r="K300" s="125">
        <v>710.0</v>
      </c>
      <c r="L300" s="125">
        <v>0.0</v>
      </c>
      <c r="M300" s="125">
        <v>15399.0</v>
      </c>
      <c r="N300" s="125">
        <v>-13050.0</v>
      </c>
      <c r="O300" s="125"/>
      <c r="P300" s="125"/>
      <c r="Q300" s="125"/>
      <c r="R300" s="125"/>
      <c r="S300" s="125"/>
      <c r="T300" s="125"/>
      <c r="U300" s="125"/>
      <c r="V300" s="125"/>
    </row>
    <row r="301">
      <c r="A301" s="122" t="s">
        <v>1053</v>
      </c>
      <c r="B301" s="122" t="s">
        <v>1915</v>
      </c>
      <c r="C301" s="125">
        <v>560610.0</v>
      </c>
      <c r="D301" s="125">
        <v>560610.0</v>
      </c>
      <c r="E301" s="125">
        <v>39.0</v>
      </c>
      <c r="F301" s="125">
        <v>0.0</v>
      </c>
      <c r="G301" s="125">
        <v>407404.0</v>
      </c>
      <c r="H301" s="125">
        <v>153206.0</v>
      </c>
      <c r="I301" s="125" t="s">
        <v>2810</v>
      </c>
      <c r="J301" s="125">
        <v>213954.0</v>
      </c>
      <c r="K301" s="125">
        <v>64510.0</v>
      </c>
      <c r="L301" s="125">
        <v>1543.0</v>
      </c>
      <c r="M301" s="125">
        <v>112501.0</v>
      </c>
      <c r="N301" s="125">
        <v>-14896.0</v>
      </c>
      <c r="O301" s="125"/>
      <c r="P301" s="125"/>
      <c r="Q301" s="125"/>
      <c r="R301" s="125"/>
      <c r="S301" s="125"/>
      <c r="T301" s="125"/>
      <c r="U301" s="125"/>
      <c r="V301" s="125"/>
    </row>
    <row r="302">
      <c r="A302" s="122" t="s">
        <v>1056</v>
      </c>
      <c r="B302" s="122" t="s">
        <v>1916</v>
      </c>
      <c r="C302" s="125">
        <v>3388535.0</v>
      </c>
      <c r="D302" s="125">
        <v>3388535.0</v>
      </c>
      <c r="E302" s="125">
        <v>234.0</v>
      </c>
      <c r="F302" s="125">
        <v>0.0</v>
      </c>
      <c r="G302" s="125">
        <v>2458027.0</v>
      </c>
      <c r="H302" s="125">
        <v>930508.0</v>
      </c>
      <c r="I302" s="125" t="s">
        <v>2811</v>
      </c>
      <c r="J302" s="125">
        <v>1262430.0</v>
      </c>
      <c r="K302" s="125">
        <v>433878.0</v>
      </c>
      <c r="L302" s="125">
        <v>5884.0</v>
      </c>
      <c r="M302" s="125">
        <v>664090.0</v>
      </c>
      <c r="N302" s="125">
        <v>-91745.0</v>
      </c>
      <c r="O302" s="125"/>
      <c r="P302" s="125"/>
      <c r="Q302" s="125"/>
      <c r="R302" s="125"/>
      <c r="S302" s="125"/>
      <c r="T302" s="125"/>
      <c r="U302" s="125"/>
      <c r="V302" s="125"/>
    </row>
    <row r="303">
      <c r="A303" s="122" t="s">
        <v>2214</v>
      </c>
      <c r="B303" s="122" t="s">
        <v>2215</v>
      </c>
      <c r="C303" s="125">
        <v>1184940.0</v>
      </c>
      <c r="D303" s="125">
        <v>1184940.0</v>
      </c>
      <c r="E303" s="125">
        <v>6.0</v>
      </c>
      <c r="F303" s="125">
        <v>0.0</v>
      </c>
      <c r="G303" s="125">
        <v>820547.0</v>
      </c>
      <c r="H303" s="125">
        <v>364393.0</v>
      </c>
      <c r="I303" s="125" t="s">
        <v>2812</v>
      </c>
      <c r="J303" s="125">
        <v>585720.0</v>
      </c>
      <c r="K303" s="125">
        <v>53839.0</v>
      </c>
      <c r="L303" s="125">
        <v>2384.0</v>
      </c>
      <c r="M303" s="125">
        <v>156894.0</v>
      </c>
      <c r="N303" s="125">
        <v>-21710.0</v>
      </c>
      <c r="O303" s="125"/>
      <c r="P303" s="125"/>
      <c r="Q303" s="125"/>
      <c r="R303" s="125"/>
      <c r="S303" s="125"/>
      <c r="T303" s="125"/>
      <c r="U303" s="125"/>
      <c r="V303" s="125"/>
    </row>
    <row r="304">
      <c r="A304" s="122" t="s">
        <v>1044</v>
      </c>
      <c r="B304" s="122" t="s">
        <v>1936</v>
      </c>
      <c r="C304" s="125">
        <v>5424725.0</v>
      </c>
      <c r="D304" s="125">
        <v>5404725.0</v>
      </c>
      <c r="E304" s="125">
        <v>84.0</v>
      </c>
      <c r="F304" s="125">
        <v>20000.0</v>
      </c>
      <c r="G304" s="125">
        <v>3498374.0</v>
      </c>
      <c r="H304" s="125">
        <v>1926351.0</v>
      </c>
      <c r="I304" s="125" t="s">
        <v>2813</v>
      </c>
      <c r="J304" s="125">
        <v>1984364.0</v>
      </c>
      <c r="K304" s="125">
        <v>190417.0</v>
      </c>
      <c r="L304" s="125">
        <v>32880.0</v>
      </c>
      <c r="M304" s="125">
        <v>855838.0</v>
      </c>
      <c r="N304" s="125">
        <v>-434875.0</v>
      </c>
      <c r="O304" s="125"/>
      <c r="P304" s="125"/>
      <c r="Q304" s="125"/>
      <c r="R304" s="125"/>
      <c r="S304" s="125"/>
      <c r="T304" s="125"/>
      <c r="U304" s="125"/>
      <c r="V304" s="125"/>
    </row>
    <row r="305">
      <c r="A305" s="122" t="s">
        <v>2216</v>
      </c>
      <c r="B305" s="122" t="s">
        <v>2217</v>
      </c>
      <c r="C305" s="125">
        <v>3623194.0</v>
      </c>
      <c r="D305" s="125">
        <v>3491194.0</v>
      </c>
      <c r="E305" s="125">
        <v>27.0</v>
      </c>
      <c r="F305" s="125">
        <v>132000.0</v>
      </c>
      <c r="G305" s="125">
        <v>2447815.0</v>
      </c>
      <c r="H305" s="125">
        <v>1175379.0</v>
      </c>
      <c r="I305" s="125" t="s">
        <v>2814</v>
      </c>
      <c r="J305" s="125">
        <v>1757133.0</v>
      </c>
      <c r="K305" s="125">
        <v>68855.0</v>
      </c>
      <c r="L305" s="125">
        <v>1815.0</v>
      </c>
      <c r="M305" s="125">
        <v>522855.0</v>
      </c>
      <c r="N305" s="125">
        <v>-97157.0</v>
      </c>
      <c r="O305" s="125"/>
      <c r="P305" s="125"/>
      <c r="Q305" s="125"/>
      <c r="R305" s="125"/>
      <c r="S305" s="125"/>
      <c r="T305" s="125"/>
      <c r="U305" s="125"/>
      <c r="V305" s="125"/>
    </row>
    <row r="306">
      <c r="A306" s="122" t="s">
        <v>1062</v>
      </c>
      <c r="B306" s="122" t="s">
        <v>1922</v>
      </c>
      <c r="C306" s="125">
        <v>844146.0</v>
      </c>
      <c r="D306" s="125">
        <v>843146.0</v>
      </c>
      <c r="E306" s="125">
        <v>49.0</v>
      </c>
      <c r="F306" s="125">
        <v>1000.0</v>
      </c>
      <c r="G306" s="125">
        <v>582737.0</v>
      </c>
      <c r="H306" s="125">
        <v>261409.0</v>
      </c>
      <c r="I306" s="125" t="s">
        <v>2815</v>
      </c>
      <c r="J306" s="125">
        <v>365099.0</v>
      </c>
      <c r="K306" s="125">
        <v>43125.0</v>
      </c>
      <c r="L306" s="125">
        <v>2366.0</v>
      </c>
      <c r="M306" s="125">
        <v>165471.0</v>
      </c>
      <c r="N306" s="125">
        <v>-6676.0</v>
      </c>
      <c r="O306" s="125"/>
      <c r="P306" s="125"/>
      <c r="Q306" s="125"/>
      <c r="R306" s="125"/>
      <c r="S306" s="125"/>
      <c r="T306" s="125"/>
      <c r="U306" s="125"/>
      <c r="V306" s="125"/>
    </row>
    <row r="307">
      <c r="A307" s="122" t="s">
        <v>1068</v>
      </c>
      <c r="B307" s="122" t="s">
        <v>1900</v>
      </c>
      <c r="C307" s="125">
        <v>1109860.0</v>
      </c>
      <c r="D307" s="125">
        <v>1101860.0</v>
      </c>
      <c r="E307" s="125">
        <v>78.0</v>
      </c>
      <c r="F307" s="125">
        <v>8000.0</v>
      </c>
      <c r="G307" s="125">
        <v>856197.0</v>
      </c>
      <c r="H307" s="125">
        <v>253663.0</v>
      </c>
      <c r="I307" s="125" t="s">
        <v>2816</v>
      </c>
      <c r="J307" s="125">
        <v>347490.0</v>
      </c>
      <c r="K307" s="125">
        <v>252014.0</v>
      </c>
      <c r="L307" s="125">
        <v>395.0</v>
      </c>
      <c r="M307" s="125">
        <v>213866.0</v>
      </c>
      <c r="N307" s="125">
        <v>-42432.0</v>
      </c>
      <c r="O307" s="125"/>
      <c r="P307" s="125"/>
      <c r="Q307" s="125"/>
      <c r="R307" s="125"/>
      <c r="S307" s="125"/>
      <c r="T307" s="125"/>
      <c r="U307" s="125"/>
      <c r="V307" s="125"/>
    </row>
    <row r="308">
      <c r="A308" s="122" t="s">
        <v>1059</v>
      </c>
      <c r="B308" s="122" t="s">
        <v>1920</v>
      </c>
      <c r="C308" s="125">
        <v>634724.0</v>
      </c>
      <c r="D308" s="125">
        <v>634724.0</v>
      </c>
      <c r="E308" s="125">
        <v>38.0</v>
      </c>
      <c r="F308" s="125">
        <v>0.0</v>
      </c>
      <c r="G308" s="125">
        <v>394932.0</v>
      </c>
      <c r="H308" s="125">
        <v>239792.0</v>
      </c>
      <c r="I308" s="125" t="s">
        <v>2817</v>
      </c>
      <c r="J308" s="125">
        <v>255892.0</v>
      </c>
      <c r="K308" s="125">
        <v>9398.0</v>
      </c>
      <c r="L308" s="125">
        <v>245.0</v>
      </c>
      <c r="M308" s="125">
        <v>126877.0</v>
      </c>
      <c r="N308" s="125">
        <v>-2520.0</v>
      </c>
      <c r="O308" s="125"/>
      <c r="P308" s="125"/>
      <c r="Q308" s="125"/>
      <c r="R308" s="125"/>
      <c r="S308" s="125"/>
      <c r="T308" s="125"/>
      <c r="U308" s="125"/>
      <c r="V308" s="125"/>
    </row>
    <row r="309">
      <c r="A309" s="122" t="s">
        <v>1065</v>
      </c>
      <c r="B309" s="122" t="s">
        <v>1921</v>
      </c>
      <c r="C309" s="125">
        <v>907610.0</v>
      </c>
      <c r="D309" s="125">
        <v>907610.0</v>
      </c>
      <c r="E309" s="125">
        <v>49.0</v>
      </c>
      <c r="F309" s="125">
        <v>0.0</v>
      </c>
      <c r="G309" s="125">
        <v>636091.0</v>
      </c>
      <c r="H309" s="125">
        <v>271519.0</v>
      </c>
      <c r="I309" s="125" t="s">
        <v>2818</v>
      </c>
      <c r="J309" s="125">
        <v>382445.0</v>
      </c>
      <c r="K309" s="125">
        <v>62512.0</v>
      </c>
      <c r="L309" s="125">
        <v>2618.0</v>
      </c>
      <c r="M309" s="125">
        <v>175802.0</v>
      </c>
      <c r="N309" s="125">
        <v>-12714.0</v>
      </c>
      <c r="O309" s="125"/>
      <c r="P309" s="125"/>
      <c r="Q309" s="125"/>
      <c r="R309" s="125"/>
      <c r="S309" s="125"/>
      <c r="T309" s="125"/>
      <c r="U309" s="125"/>
      <c r="V309" s="125"/>
    </row>
    <row r="310">
      <c r="A310" s="122" t="s">
        <v>1077</v>
      </c>
      <c r="B310" s="122" t="s">
        <v>1838</v>
      </c>
      <c r="C310" s="125">
        <v>4710552.0</v>
      </c>
      <c r="D310" s="125">
        <v>4710552.0</v>
      </c>
      <c r="E310" s="125">
        <v>53.0</v>
      </c>
      <c r="F310" s="125">
        <v>0.0</v>
      </c>
      <c r="G310" s="125">
        <v>2459742.0</v>
      </c>
      <c r="H310" s="125">
        <v>2250810.0</v>
      </c>
      <c r="I310" s="125" t="s">
        <v>2819</v>
      </c>
      <c r="J310" s="125">
        <v>1457235.0</v>
      </c>
      <c r="K310" s="125">
        <v>228355.0</v>
      </c>
      <c r="L310" s="125">
        <v>0.0</v>
      </c>
      <c r="M310" s="125">
        <v>704772.0</v>
      </c>
      <c r="N310" s="125">
        <v>-69380.0</v>
      </c>
      <c r="O310" s="125"/>
      <c r="P310" s="125"/>
      <c r="Q310" s="125"/>
      <c r="R310" s="125"/>
      <c r="S310" s="125"/>
      <c r="T310" s="125"/>
      <c r="U310" s="125"/>
      <c r="V310" s="125"/>
    </row>
    <row r="311">
      <c r="A311" s="122" t="s">
        <v>1071</v>
      </c>
      <c r="B311" s="122" t="s">
        <v>2820</v>
      </c>
      <c r="C311" s="125">
        <v>7749854.0</v>
      </c>
      <c r="D311" s="125">
        <v>7749854.0</v>
      </c>
      <c r="E311" s="125">
        <v>434.0</v>
      </c>
      <c r="F311" s="125">
        <v>0.0</v>
      </c>
      <c r="G311" s="125">
        <v>4555667.0</v>
      </c>
      <c r="H311" s="125">
        <v>3194187.0</v>
      </c>
      <c r="I311" s="125" t="s">
        <v>2821</v>
      </c>
      <c r="J311" s="125">
        <v>2715779.0</v>
      </c>
      <c r="K311" s="125">
        <v>204975.0</v>
      </c>
      <c r="L311" s="125">
        <v>1788.0</v>
      </c>
      <c r="M311" s="125">
        <v>1588217.0</v>
      </c>
      <c r="N311" s="125">
        <v>-44908.0</v>
      </c>
      <c r="O311" s="125"/>
      <c r="P311" s="125"/>
      <c r="Q311" s="125"/>
      <c r="R311" s="125"/>
      <c r="S311" s="125"/>
      <c r="T311" s="125"/>
      <c r="U311" s="125"/>
      <c r="V311" s="125"/>
    </row>
    <row r="312">
      <c r="A312" s="122" t="s">
        <v>1115</v>
      </c>
      <c r="B312" s="122" t="s">
        <v>1879</v>
      </c>
      <c r="C312" s="125">
        <v>0.0</v>
      </c>
      <c r="D312" s="125">
        <v>0.0</v>
      </c>
      <c r="E312" s="125">
        <v>0.0</v>
      </c>
      <c r="F312" s="125">
        <v>0.0</v>
      </c>
      <c r="G312" s="125">
        <v>0.0</v>
      </c>
      <c r="H312" s="125">
        <v>0.0</v>
      </c>
      <c r="I312" s="125">
        <v>0.0</v>
      </c>
      <c r="J312" s="125">
        <v>0.0</v>
      </c>
      <c r="K312" s="125">
        <v>0.0</v>
      </c>
      <c r="L312" s="125">
        <v>0.0</v>
      </c>
      <c r="M312" s="125">
        <v>0.0</v>
      </c>
      <c r="N312" s="125">
        <v>0.0</v>
      </c>
      <c r="O312" s="125"/>
      <c r="P312" s="125"/>
      <c r="Q312" s="125"/>
      <c r="R312" s="125"/>
      <c r="S312" s="125"/>
      <c r="T312" s="125"/>
      <c r="U312" s="125"/>
      <c r="V312" s="125"/>
    </row>
    <row r="313">
      <c r="A313" s="122" t="s">
        <v>1124</v>
      </c>
      <c r="B313" s="122" t="s">
        <v>1901</v>
      </c>
      <c r="C313" s="125">
        <v>5357946.0</v>
      </c>
      <c r="D313" s="125">
        <v>5357946.0</v>
      </c>
      <c r="E313" s="125">
        <v>151.0</v>
      </c>
      <c r="F313" s="125">
        <v>0.0</v>
      </c>
      <c r="G313" s="125">
        <v>3543291.0</v>
      </c>
      <c r="H313" s="125">
        <v>1814655.0</v>
      </c>
      <c r="I313" s="125" t="s">
        <v>2822</v>
      </c>
      <c r="J313" s="125">
        <v>1772884.0</v>
      </c>
      <c r="K313" s="125">
        <v>493849.0</v>
      </c>
      <c r="L313" s="125">
        <v>7032.0</v>
      </c>
      <c r="M313" s="125">
        <v>708551.0</v>
      </c>
      <c r="N313" s="125">
        <v>-560975.0</v>
      </c>
      <c r="O313" s="125"/>
      <c r="P313" s="125"/>
      <c r="Q313" s="125"/>
      <c r="R313" s="125"/>
      <c r="S313" s="125"/>
      <c r="T313" s="125"/>
      <c r="U313" s="125"/>
      <c r="V313" s="125"/>
    </row>
    <row r="314">
      <c r="A314" s="122" t="s">
        <v>1118</v>
      </c>
      <c r="B314" s="122" t="s">
        <v>1877</v>
      </c>
      <c r="C314" s="125">
        <v>0.0</v>
      </c>
      <c r="D314" s="125">
        <v>0.0</v>
      </c>
      <c r="E314" s="125">
        <v>0.0</v>
      </c>
      <c r="F314" s="125">
        <v>0.0</v>
      </c>
      <c r="G314" s="125">
        <v>0.0</v>
      </c>
      <c r="H314" s="125">
        <v>0.0</v>
      </c>
      <c r="I314" s="125">
        <v>0.0</v>
      </c>
      <c r="J314" s="125">
        <v>0.0</v>
      </c>
      <c r="K314" s="125">
        <v>0.0</v>
      </c>
      <c r="L314" s="125">
        <v>0.0</v>
      </c>
      <c r="M314" s="125">
        <v>0.0</v>
      </c>
      <c r="N314" s="125">
        <v>0.0</v>
      </c>
      <c r="O314" s="125"/>
      <c r="P314" s="125"/>
      <c r="Q314" s="125"/>
      <c r="R314" s="125"/>
      <c r="S314" s="125"/>
      <c r="T314" s="125"/>
      <c r="U314" s="125"/>
      <c r="V314" s="125"/>
    </row>
    <row r="315">
      <c r="A315" s="122" t="s">
        <v>1092</v>
      </c>
      <c r="B315" s="122" t="s">
        <v>1842</v>
      </c>
      <c r="C315" s="125">
        <v>1.1160052E7</v>
      </c>
      <c r="D315" s="125">
        <v>1.1160052E7</v>
      </c>
      <c r="E315" s="125">
        <v>160.0</v>
      </c>
      <c r="F315" s="125">
        <v>0.0</v>
      </c>
      <c r="G315" s="125">
        <v>7018826.0</v>
      </c>
      <c r="H315" s="125">
        <v>4141226.0</v>
      </c>
      <c r="I315" s="125" t="s">
        <v>2823</v>
      </c>
      <c r="J315" s="125">
        <v>4341450.0</v>
      </c>
      <c r="K315" s="125">
        <v>363031.0</v>
      </c>
      <c r="L315" s="125">
        <v>3567.0</v>
      </c>
      <c r="M315" s="125">
        <v>1561069.0</v>
      </c>
      <c r="N315" s="125">
        <v>-749709.0</v>
      </c>
      <c r="O315" s="125"/>
      <c r="P315" s="125"/>
      <c r="Q315" s="125"/>
      <c r="R315" s="125"/>
      <c r="S315" s="125"/>
      <c r="T315" s="125"/>
      <c r="U315" s="125"/>
      <c r="V315" s="125"/>
    </row>
    <row r="316">
      <c r="A316" s="122" t="s">
        <v>1121</v>
      </c>
      <c r="B316" s="122" t="s">
        <v>1878</v>
      </c>
      <c r="C316" s="125">
        <v>0.0</v>
      </c>
      <c r="D316" s="125">
        <v>0.0</v>
      </c>
      <c r="E316" s="125">
        <v>0.0</v>
      </c>
      <c r="F316" s="125">
        <v>0.0</v>
      </c>
      <c r="G316" s="125">
        <v>0.0</v>
      </c>
      <c r="H316" s="125">
        <v>0.0</v>
      </c>
      <c r="I316" s="125">
        <v>0.0</v>
      </c>
      <c r="J316" s="125">
        <v>0.0</v>
      </c>
      <c r="K316" s="125">
        <v>0.0</v>
      </c>
      <c r="L316" s="125">
        <v>0.0</v>
      </c>
      <c r="M316" s="125">
        <v>0.0</v>
      </c>
      <c r="N316" s="125">
        <v>0.0</v>
      </c>
      <c r="O316" s="125"/>
      <c r="P316" s="125"/>
      <c r="Q316" s="125"/>
      <c r="R316" s="125"/>
      <c r="S316" s="125"/>
      <c r="T316" s="125"/>
      <c r="U316" s="125"/>
      <c r="V316" s="125"/>
    </row>
    <row r="317">
      <c r="A317" s="122" t="s">
        <v>1089</v>
      </c>
      <c r="B317" s="122" t="s">
        <v>1896</v>
      </c>
      <c r="C317" s="125">
        <v>4095179.0</v>
      </c>
      <c r="D317" s="125">
        <v>4090179.0</v>
      </c>
      <c r="E317" s="125">
        <v>262.0</v>
      </c>
      <c r="F317" s="125">
        <v>5000.0</v>
      </c>
      <c r="G317" s="125">
        <v>2724526.0</v>
      </c>
      <c r="H317" s="125">
        <v>1370653.0</v>
      </c>
      <c r="I317" s="125" t="s">
        <v>2824</v>
      </c>
      <c r="J317" s="125">
        <v>1733949.0</v>
      </c>
      <c r="K317" s="125">
        <v>64567.0</v>
      </c>
      <c r="L317" s="125">
        <v>11617.0</v>
      </c>
      <c r="M317" s="125">
        <v>831284.0</v>
      </c>
      <c r="N317" s="125">
        <v>-83109.0</v>
      </c>
      <c r="O317" s="125"/>
      <c r="P317" s="125"/>
      <c r="Q317" s="125"/>
      <c r="R317" s="125"/>
      <c r="S317" s="125"/>
      <c r="T317" s="125"/>
      <c r="U317" s="125"/>
      <c r="V317" s="125"/>
    </row>
    <row r="318">
      <c r="A318" s="122" t="s">
        <v>1086</v>
      </c>
      <c r="B318" s="122" t="s">
        <v>1895</v>
      </c>
      <c r="C318" s="125">
        <v>3907019.0</v>
      </c>
      <c r="D318" s="125">
        <v>3892019.0</v>
      </c>
      <c r="E318" s="125">
        <v>249.0</v>
      </c>
      <c r="F318" s="125">
        <v>15000.0</v>
      </c>
      <c r="G318" s="125">
        <v>2476291.0</v>
      </c>
      <c r="H318" s="125">
        <v>1430728.0</v>
      </c>
      <c r="I318" s="125" t="s">
        <v>2825</v>
      </c>
      <c r="J318" s="125">
        <v>1390914.0</v>
      </c>
      <c r="K318" s="125">
        <v>201711.0</v>
      </c>
      <c r="L318" s="125">
        <v>9583.0</v>
      </c>
      <c r="M318" s="125">
        <v>766833.0</v>
      </c>
      <c r="N318" s="125">
        <v>-107250.0</v>
      </c>
      <c r="O318" s="125"/>
      <c r="P318" s="125"/>
      <c r="Q318" s="125"/>
      <c r="R318" s="125"/>
      <c r="S318" s="125"/>
      <c r="T318" s="125"/>
      <c r="U318" s="125"/>
      <c r="V318" s="125"/>
    </row>
    <row r="319">
      <c r="A319" s="122" t="s">
        <v>1106</v>
      </c>
      <c r="B319" s="122" t="s">
        <v>1876</v>
      </c>
      <c r="C319" s="125">
        <v>0.0</v>
      </c>
      <c r="D319" s="125">
        <v>0.0</v>
      </c>
      <c r="E319" s="125">
        <v>0.0</v>
      </c>
      <c r="F319" s="125">
        <v>0.0</v>
      </c>
      <c r="G319" s="125">
        <v>0.0</v>
      </c>
      <c r="H319" s="125">
        <v>0.0</v>
      </c>
      <c r="I319" s="125">
        <v>0.0</v>
      </c>
      <c r="J319" s="125">
        <v>0.0</v>
      </c>
      <c r="K319" s="125">
        <v>0.0</v>
      </c>
      <c r="L319" s="125">
        <v>0.0</v>
      </c>
      <c r="M319" s="125">
        <v>0.0</v>
      </c>
      <c r="N319" s="125">
        <v>0.0</v>
      </c>
      <c r="O319" s="125"/>
      <c r="P319" s="125"/>
      <c r="Q319" s="125"/>
      <c r="R319" s="125"/>
      <c r="S319" s="125"/>
      <c r="T319" s="125"/>
      <c r="U319" s="125"/>
      <c r="V319" s="125"/>
    </row>
    <row r="320">
      <c r="A320" s="122" t="s">
        <v>1109</v>
      </c>
      <c r="B320" s="122" t="s">
        <v>1874</v>
      </c>
      <c r="C320" s="125">
        <v>0.0</v>
      </c>
      <c r="D320" s="125">
        <v>0.0</v>
      </c>
      <c r="E320" s="125">
        <v>0.0</v>
      </c>
      <c r="F320" s="125">
        <v>0.0</v>
      </c>
      <c r="G320" s="125">
        <v>0.0</v>
      </c>
      <c r="H320" s="125">
        <v>0.0</v>
      </c>
      <c r="I320" s="125">
        <v>0.0</v>
      </c>
      <c r="J320" s="125">
        <v>0.0</v>
      </c>
      <c r="K320" s="125">
        <v>0.0</v>
      </c>
      <c r="L320" s="125">
        <v>0.0</v>
      </c>
      <c r="M320" s="125">
        <v>0.0</v>
      </c>
      <c r="N320" s="125">
        <v>0.0</v>
      </c>
      <c r="O320" s="125"/>
      <c r="P320" s="125"/>
      <c r="Q320" s="125"/>
      <c r="R320" s="125"/>
      <c r="S320" s="125"/>
      <c r="T320" s="125"/>
      <c r="U320" s="125"/>
      <c r="V320" s="125"/>
    </row>
    <row r="321">
      <c r="A321" s="122" t="s">
        <v>1112</v>
      </c>
      <c r="B321" s="122" t="s">
        <v>1875</v>
      </c>
      <c r="C321" s="125">
        <v>0.0</v>
      </c>
      <c r="D321" s="125">
        <v>0.0</v>
      </c>
      <c r="E321" s="125">
        <v>0.0</v>
      </c>
      <c r="F321" s="125">
        <v>0.0</v>
      </c>
      <c r="G321" s="125">
        <v>0.0</v>
      </c>
      <c r="H321" s="125">
        <v>0.0</v>
      </c>
      <c r="I321" s="125">
        <v>0.0</v>
      </c>
      <c r="J321" s="125">
        <v>0.0</v>
      </c>
      <c r="K321" s="125">
        <v>0.0</v>
      </c>
      <c r="L321" s="125">
        <v>0.0</v>
      </c>
      <c r="M321" s="125">
        <v>0.0</v>
      </c>
      <c r="N321" s="125">
        <v>0.0</v>
      </c>
      <c r="O321" s="125"/>
      <c r="P321" s="125"/>
      <c r="Q321" s="125"/>
      <c r="R321" s="125"/>
      <c r="S321" s="125"/>
      <c r="T321" s="125"/>
      <c r="U321" s="125"/>
      <c r="V321" s="125"/>
    </row>
    <row r="322">
      <c r="A322" s="122" t="s">
        <v>1047</v>
      </c>
      <c r="B322" s="122" t="s">
        <v>1908</v>
      </c>
      <c r="C322" s="125">
        <v>2.5447728E7</v>
      </c>
      <c r="D322" s="125">
        <v>2.4150728E7</v>
      </c>
      <c r="E322" s="125">
        <v>155.0</v>
      </c>
      <c r="F322" s="125">
        <v>1297000.0</v>
      </c>
      <c r="G322" s="125">
        <v>1.7372924E7</v>
      </c>
      <c r="H322" s="125">
        <v>8074804.0</v>
      </c>
      <c r="I322" s="125" t="s">
        <v>2787</v>
      </c>
      <c r="J322" s="125">
        <v>1.2357235E7</v>
      </c>
      <c r="K322" s="125">
        <v>912223.0</v>
      </c>
      <c r="L322" s="125">
        <v>2544.0</v>
      </c>
      <c r="M322" s="125">
        <v>3518583.0</v>
      </c>
      <c r="N322" s="125">
        <v>-582339.0</v>
      </c>
      <c r="O322" s="125"/>
      <c r="P322" s="125"/>
      <c r="Q322" s="125"/>
      <c r="R322" s="125"/>
      <c r="S322" s="125"/>
      <c r="T322" s="125"/>
      <c r="U322" s="125"/>
      <c r="V322" s="125"/>
    </row>
    <row r="323">
      <c r="A323" s="122" t="s">
        <v>1080</v>
      </c>
      <c r="B323" s="122" t="s">
        <v>1918</v>
      </c>
      <c r="C323" s="125">
        <v>642022.0</v>
      </c>
      <c r="D323" s="125">
        <v>642022.0</v>
      </c>
      <c r="E323" s="125">
        <v>38.0</v>
      </c>
      <c r="F323" s="125">
        <v>0.0</v>
      </c>
      <c r="G323" s="125">
        <v>419402.0</v>
      </c>
      <c r="H323" s="125">
        <v>222620.0</v>
      </c>
      <c r="I323" s="125" t="s">
        <v>2826</v>
      </c>
      <c r="J323" s="125">
        <v>222528.0</v>
      </c>
      <c r="K323" s="125">
        <v>48343.0</v>
      </c>
      <c r="L323" s="125">
        <v>0.0</v>
      </c>
      <c r="M323" s="125">
        <v>123829.0</v>
      </c>
      <c r="N323" s="125">
        <v>-24702.0</v>
      </c>
      <c r="O323" s="125"/>
      <c r="P323" s="125"/>
      <c r="Q323" s="125"/>
      <c r="R323" s="125"/>
      <c r="S323" s="125"/>
      <c r="T323" s="125"/>
      <c r="U323" s="125"/>
      <c r="V323" s="125"/>
    </row>
    <row r="324">
      <c r="A324" s="122" t="s">
        <v>1083</v>
      </c>
      <c r="B324" s="122" t="s">
        <v>1918</v>
      </c>
      <c r="C324" s="125">
        <v>1199200.0</v>
      </c>
      <c r="D324" s="125">
        <v>1199200.0</v>
      </c>
      <c r="E324" s="125">
        <v>75.0</v>
      </c>
      <c r="F324" s="125">
        <v>0.0</v>
      </c>
      <c r="G324" s="125">
        <v>735995.0</v>
      </c>
      <c r="H324" s="125">
        <v>463205.0</v>
      </c>
      <c r="I324" s="125" t="s">
        <v>2827</v>
      </c>
      <c r="J324" s="125">
        <v>391926.0</v>
      </c>
      <c r="K324" s="125">
        <v>67617.0</v>
      </c>
      <c r="L324" s="125">
        <v>3170.0</v>
      </c>
      <c r="M324" s="125">
        <v>248752.0</v>
      </c>
      <c r="N324" s="125">
        <v>-24530.0</v>
      </c>
      <c r="O324" s="125"/>
      <c r="P324" s="125"/>
      <c r="Q324" s="125"/>
      <c r="R324" s="125"/>
      <c r="S324" s="125"/>
      <c r="T324" s="125"/>
      <c r="U324" s="125"/>
      <c r="V324" s="125"/>
    </row>
    <row r="325">
      <c r="A325" s="122" t="s">
        <v>1050</v>
      </c>
      <c r="B325" s="122" t="s">
        <v>1919</v>
      </c>
      <c r="C325" s="125">
        <v>5276270.0</v>
      </c>
      <c r="D325" s="125">
        <v>5276270.0</v>
      </c>
      <c r="E325" s="125">
        <v>278.0</v>
      </c>
      <c r="F325" s="125">
        <v>0.0</v>
      </c>
      <c r="G325" s="125">
        <v>4573676.0</v>
      </c>
      <c r="H325" s="125">
        <v>702594.0</v>
      </c>
      <c r="I325" s="125" t="s">
        <v>2828</v>
      </c>
      <c r="J325" s="125">
        <v>2862990.0</v>
      </c>
      <c r="K325" s="125">
        <v>628008.0</v>
      </c>
      <c r="L325" s="125">
        <v>5043.0</v>
      </c>
      <c r="M325" s="125">
        <v>1010351.0</v>
      </c>
      <c r="N325" s="125">
        <v>-67284.0</v>
      </c>
      <c r="O325" s="125"/>
      <c r="P325" s="125"/>
      <c r="Q325" s="125"/>
      <c r="R325" s="125"/>
      <c r="S325" s="125"/>
      <c r="T325" s="125"/>
      <c r="U325" s="125"/>
      <c r="V325" s="125"/>
    </row>
    <row r="326">
      <c r="A326" s="122" t="s">
        <v>1095</v>
      </c>
      <c r="B326" s="122" t="s">
        <v>1834</v>
      </c>
      <c r="C326" s="125">
        <v>563432.0</v>
      </c>
      <c r="D326" s="125">
        <v>563432.0</v>
      </c>
      <c r="E326" s="125">
        <v>38.0</v>
      </c>
      <c r="F326" s="125">
        <v>0.0</v>
      </c>
      <c r="G326" s="125">
        <v>343481.0</v>
      </c>
      <c r="H326" s="125">
        <v>219951.0</v>
      </c>
      <c r="I326" s="125" t="s">
        <v>2829</v>
      </c>
      <c r="J326" s="125">
        <v>207928.0</v>
      </c>
      <c r="K326" s="125">
        <v>18407.0</v>
      </c>
      <c r="L326" s="125">
        <v>1393.0</v>
      </c>
      <c r="M326" s="125">
        <v>108246.0</v>
      </c>
      <c r="N326" s="125">
        <v>-7507.0</v>
      </c>
      <c r="O326" s="125"/>
      <c r="P326" s="125"/>
      <c r="Q326" s="125"/>
      <c r="R326" s="125"/>
      <c r="S326" s="125"/>
      <c r="T326" s="125"/>
      <c r="U326" s="125"/>
      <c r="V326" s="125"/>
    </row>
    <row r="327">
      <c r="A327" s="122" t="s">
        <v>1101</v>
      </c>
      <c r="B327" s="122" t="s">
        <v>1935</v>
      </c>
      <c r="C327" s="125">
        <v>2.5390938E7</v>
      </c>
      <c r="D327" s="125">
        <v>2.5183938E7</v>
      </c>
      <c r="E327" s="125">
        <v>703.0</v>
      </c>
      <c r="F327" s="125">
        <v>207000.0</v>
      </c>
      <c r="G327" s="125">
        <v>1.7303349E7</v>
      </c>
      <c r="H327" s="125">
        <v>8087589.0</v>
      </c>
      <c r="I327" s="125" t="s">
        <v>2830</v>
      </c>
      <c r="J327" s="125">
        <v>9873287.0</v>
      </c>
      <c r="K327" s="125">
        <v>1621639.0</v>
      </c>
      <c r="L327" s="125">
        <v>20538.0</v>
      </c>
      <c r="M327" s="125">
        <v>3663958.0</v>
      </c>
      <c r="N327" s="125">
        <v>-2123927.0</v>
      </c>
      <c r="O327" s="125"/>
      <c r="P327" s="125"/>
      <c r="Q327" s="125"/>
      <c r="R327" s="125"/>
      <c r="S327" s="125"/>
      <c r="T327" s="125"/>
      <c r="U327" s="125"/>
      <c r="V327" s="125"/>
    </row>
    <row r="328">
      <c r="A328" s="122" t="s">
        <v>1098</v>
      </c>
      <c r="B328" s="122" t="s">
        <v>1841</v>
      </c>
      <c r="C328" s="125">
        <v>3714805.0</v>
      </c>
      <c r="D328" s="125">
        <v>3714805.0</v>
      </c>
      <c r="E328" s="125">
        <v>197.0</v>
      </c>
      <c r="F328" s="125">
        <v>0.0</v>
      </c>
      <c r="G328" s="125">
        <v>3192007.0</v>
      </c>
      <c r="H328" s="125">
        <v>522798.0</v>
      </c>
      <c r="I328" s="125" t="s">
        <v>2831</v>
      </c>
      <c r="J328" s="125">
        <v>1866742.0</v>
      </c>
      <c r="K328" s="125">
        <v>532994.0</v>
      </c>
      <c r="L328" s="125">
        <v>1486.0</v>
      </c>
      <c r="M328" s="125">
        <v>735872.0</v>
      </c>
      <c r="N328" s="125">
        <v>-54913.0</v>
      </c>
      <c r="O328" s="125"/>
      <c r="P328" s="125"/>
      <c r="Q328" s="125"/>
      <c r="R328" s="125"/>
      <c r="S328" s="125"/>
      <c r="T328" s="125"/>
      <c r="U328" s="125"/>
      <c r="V328" s="125"/>
    </row>
    <row r="329">
      <c r="A329" s="122" t="s">
        <v>1148</v>
      </c>
      <c r="B329" s="122" t="s">
        <v>1832</v>
      </c>
      <c r="C329" s="125">
        <v>4.1104824E7</v>
      </c>
      <c r="D329" s="125">
        <v>4.1104824E7</v>
      </c>
      <c r="E329" s="125">
        <v>2919.0</v>
      </c>
      <c r="F329" s="125">
        <v>0.0</v>
      </c>
      <c r="G329" s="125">
        <v>2.5714043E7</v>
      </c>
      <c r="H329" s="125">
        <v>1.5390781E7</v>
      </c>
      <c r="I329" s="125" t="s">
        <v>2832</v>
      </c>
      <c r="J329" s="125">
        <v>1.428419E7</v>
      </c>
      <c r="K329" s="125">
        <v>1027904.0</v>
      </c>
      <c r="L329" s="125">
        <v>621180.0</v>
      </c>
      <c r="M329" s="125">
        <v>8885892.0</v>
      </c>
      <c r="N329" s="125">
        <v>-894877.0</v>
      </c>
      <c r="O329" s="125"/>
      <c r="P329" s="125"/>
      <c r="Q329" s="125"/>
      <c r="R329" s="125"/>
      <c r="S329" s="125"/>
      <c r="T329" s="125"/>
      <c r="U329" s="125"/>
      <c r="V329" s="125"/>
    </row>
    <row r="330">
      <c r="A330" s="122" t="s">
        <v>1142</v>
      </c>
      <c r="B330" s="122" t="s">
        <v>1923</v>
      </c>
      <c r="C330" s="125">
        <v>0.0</v>
      </c>
      <c r="D330" s="125">
        <v>0.0</v>
      </c>
      <c r="E330" s="125">
        <v>0.0</v>
      </c>
      <c r="F330" s="125">
        <v>0.0</v>
      </c>
      <c r="G330" s="125">
        <v>0.0</v>
      </c>
      <c r="H330" s="125">
        <v>0.0</v>
      </c>
      <c r="I330" s="125">
        <v>0.0</v>
      </c>
      <c r="J330" s="125">
        <v>0.0</v>
      </c>
      <c r="K330" s="125">
        <v>0.0</v>
      </c>
      <c r="L330" s="125">
        <v>0.0</v>
      </c>
      <c r="M330" s="125">
        <v>0.0</v>
      </c>
      <c r="N330" s="125">
        <v>0.0</v>
      </c>
      <c r="O330" s="125"/>
      <c r="P330" s="125"/>
      <c r="Q330" s="125"/>
      <c r="R330" s="125"/>
      <c r="S330" s="125"/>
      <c r="T330" s="125"/>
      <c r="U330" s="125"/>
      <c r="V330" s="125"/>
    </row>
    <row r="331">
      <c r="A331" s="122" t="s">
        <v>1139</v>
      </c>
      <c r="B331" s="122" t="s">
        <v>1924</v>
      </c>
      <c r="C331" s="125">
        <v>0.0</v>
      </c>
      <c r="D331" s="125">
        <v>0.0</v>
      </c>
      <c r="E331" s="125">
        <v>0.0</v>
      </c>
      <c r="F331" s="125">
        <v>0.0</v>
      </c>
      <c r="G331" s="125">
        <v>0.0</v>
      </c>
      <c r="H331" s="125">
        <v>0.0</v>
      </c>
      <c r="I331" s="125">
        <v>0.0</v>
      </c>
      <c r="J331" s="125">
        <v>0.0</v>
      </c>
      <c r="K331" s="125">
        <v>0.0</v>
      </c>
      <c r="L331" s="125">
        <v>0.0</v>
      </c>
      <c r="M331" s="125">
        <v>0.0</v>
      </c>
      <c r="N331" s="125">
        <v>0.0</v>
      </c>
      <c r="O331" s="125"/>
      <c r="P331" s="125"/>
      <c r="Q331" s="125"/>
      <c r="R331" s="125"/>
      <c r="S331" s="125"/>
      <c r="T331" s="125"/>
      <c r="U331" s="125"/>
      <c r="V331" s="125"/>
    </row>
    <row r="332">
      <c r="A332" s="122" t="s">
        <v>2218</v>
      </c>
      <c r="B332" s="122" t="s">
        <v>2219</v>
      </c>
      <c r="C332" s="125">
        <v>0.0</v>
      </c>
      <c r="D332" s="125">
        <v>0.0</v>
      </c>
      <c r="E332" s="125">
        <v>0.0</v>
      </c>
      <c r="F332" s="125">
        <v>0.0</v>
      </c>
      <c r="G332" s="125">
        <v>0.0</v>
      </c>
      <c r="H332" s="125">
        <v>0.0</v>
      </c>
      <c r="I332" s="125">
        <v>0.0</v>
      </c>
      <c r="J332" s="125">
        <v>0.0</v>
      </c>
      <c r="K332" s="125">
        <v>0.0</v>
      </c>
      <c r="L332" s="125">
        <v>0.0</v>
      </c>
      <c r="M332" s="125">
        <v>0.0</v>
      </c>
      <c r="N332" s="125">
        <v>0.0</v>
      </c>
      <c r="O332" s="125"/>
      <c r="P332" s="125"/>
      <c r="Q332" s="125"/>
      <c r="R332" s="125"/>
      <c r="S332" s="125"/>
      <c r="T332" s="125"/>
      <c r="U332" s="125"/>
      <c r="V332" s="125"/>
    </row>
    <row r="333">
      <c r="A333" s="122" t="s">
        <v>2220</v>
      </c>
      <c r="B333" s="122" t="s">
        <v>2221</v>
      </c>
      <c r="C333" s="125">
        <v>19990.0</v>
      </c>
      <c r="D333" s="125">
        <v>19990.0</v>
      </c>
      <c r="E333" s="125">
        <v>1.0</v>
      </c>
      <c r="F333" s="125">
        <v>0.0</v>
      </c>
      <c r="G333" s="125">
        <v>15250.0</v>
      </c>
      <c r="H333" s="125">
        <v>4740.0</v>
      </c>
      <c r="I333" s="125" t="s">
        <v>2833</v>
      </c>
      <c r="J333" s="125">
        <v>4476.0</v>
      </c>
      <c r="K333" s="125">
        <v>3886.0</v>
      </c>
      <c r="L333" s="125">
        <v>0.0</v>
      </c>
      <c r="M333" s="125">
        <v>3998.0</v>
      </c>
      <c r="N333" s="125">
        <v>-2890.0</v>
      </c>
      <c r="O333" s="125"/>
      <c r="P333" s="125"/>
      <c r="Q333" s="125"/>
      <c r="R333" s="125"/>
      <c r="S333" s="125"/>
      <c r="T333" s="125"/>
      <c r="U333" s="125"/>
      <c r="V333" s="125"/>
    </row>
    <row r="334">
      <c r="A334" s="122" t="s">
        <v>2222</v>
      </c>
      <c r="B334" s="122" t="s">
        <v>2223</v>
      </c>
      <c r="C334" s="125">
        <v>0.0</v>
      </c>
      <c r="D334" s="125">
        <v>0.0</v>
      </c>
      <c r="E334" s="125">
        <v>0.0</v>
      </c>
      <c r="F334" s="125">
        <v>0.0</v>
      </c>
      <c r="G334" s="125">
        <v>0.0</v>
      </c>
      <c r="H334" s="125">
        <v>0.0</v>
      </c>
      <c r="I334" s="125">
        <v>0.0</v>
      </c>
      <c r="J334" s="125">
        <v>0.0</v>
      </c>
      <c r="K334" s="125">
        <v>0.0</v>
      </c>
      <c r="L334" s="125">
        <v>0.0</v>
      </c>
      <c r="M334" s="125">
        <v>0.0</v>
      </c>
      <c r="N334" s="125">
        <v>0.0</v>
      </c>
      <c r="O334" s="125"/>
      <c r="P334" s="125"/>
      <c r="Q334" s="125"/>
      <c r="R334" s="125"/>
      <c r="S334" s="125"/>
      <c r="T334" s="125"/>
      <c r="U334" s="125"/>
      <c r="V334" s="125"/>
    </row>
    <row r="335">
      <c r="A335" s="122" t="s">
        <v>2224</v>
      </c>
      <c r="B335" s="122" t="s">
        <v>2224</v>
      </c>
      <c r="C335" s="125">
        <v>59970.0</v>
      </c>
      <c r="D335" s="125">
        <v>59970.0</v>
      </c>
      <c r="E335" s="125">
        <v>3.0</v>
      </c>
      <c r="F335" s="125">
        <v>0.0</v>
      </c>
      <c r="G335" s="125">
        <v>34967.0</v>
      </c>
      <c r="H335" s="125">
        <v>25003.0</v>
      </c>
      <c r="I335" s="125" t="s">
        <v>2834</v>
      </c>
      <c r="J335" s="125">
        <v>0.0</v>
      </c>
      <c r="K335" s="125">
        <v>13103.0</v>
      </c>
      <c r="L335" s="125">
        <v>0.0</v>
      </c>
      <c r="M335" s="125">
        <v>11994.0</v>
      </c>
      <c r="N335" s="125">
        <v>-9870.0</v>
      </c>
      <c r="O335" s="125"/>
      <c r="P335" s="125"/>
      <c r="Q335" s="125"/>
      <c r="R335" s="125"/>
      <c r="S335" s="125"/>
      <c r="T335" s="125"/>
      <c r="U335" s="125"/>
      <c r="V335" s="125"/>
    </row>
    <row r="336">
      <c r="A336" s="122" t="s">
        <v>2227</v>
      </c>
      <c r="B336" s="122" t="s">
        <v>2228</v>
      </c>
      <c r="C336" s="125">
        <v>0.0</v>
      </c>
      <c r="D336" s="125">
        <v>0.0</v>
      </c>
      <c r="E336" s="125">
        <v>0.0</v>
      </c>
      <c r="F336" s="125">
        <v>0.0</v>
      </c>
      <c r="G336" s="125">
        <v>0.0</v>
      </c>
      <c r="H336" s="125">
        <v>0.0</v>
      </c>
      <c r="I336" s="125">
        <v>0.0</v>
      </c>
      <c r="J336" s="125">
        <v>0.0</v>
      </c>
      <c r="K336" s="125">
        <v>0.0</v>
      </c>
      <c r="L336" s="125">
        <v>0.0</v>
      </c>
      <c r="M336" s="125">
        <v>0.0</v>
      </c>
      <c r="N336" s="125">
        <v>0.0</v>
      </c>
      <c r="O336" s="125"/>
      <c r="P336" s="125"/>
      <c r="Q336" s="125"/>
      <c r="R336" s="125"/>
      <c r="S336" s="125"/>
      <c r="T336" s="125"/>
      <c r="U336" s="125"/>
      <c r="V336" s="125"/>
    </row>
    <row r="337">
      <c r="A337" s="122" t="s">
        <v>2229</v>
      </c>
      <c r="B337" s="122" t="s">
        <v>2230</v>
      </c>
      <c r="C337" s="125">
        <v>0.0</v>
      </c>
      <c r="D337" s="125">
        <v>0.0</v>
      </c>
      <c r="E337" s="125">
        <v>0.0</v>
      </c>
      <c r="F337" s="125">
        <v>0.0</v>
      </c>
      <c r="G337" s="125">
        <v>0.0</v>
      </c>
      <c r="H337" s="125">
        <v>0.0</v>
      </c>
      <c r="I337" s="125">
        <v>0.0</v>
      </c>
      <c r="J337" s="125">
        <v>0.0</v>
      </c>
      <c r="K337" s="125">
        <v>0.0</v>
      </c>
      <c r="L337" s="125">
        <v>0.0</v>
      </c>
      <c r="M337" s="125">
        <v>0.0</v>
      </c>
      <c r="N337" s="125">
        <v>0.0</v>
      </c>
      <c r="O337" s="125"/>
      <c r="P337" s="125"/>
      <c r="Q337" s="125"/>
      <c r="R337" s="125"/>
      <c r="S337" s="125"/>
      <c r="T337" s="125"/>
      <c r="U337" s="125"/>
      <c r="V337" s="125"/>
    </row>
    <row r="338">
      <c r="A338" s="122" t="s">
        <v>2231</v>
      </c>
      <c r="B338" s="122" t="s">
        <v>2232</v>
      </c>
      <c r="C338" s="125">
        <v>0.0</v>
      </c>
      <c r="D338" s="125">
        <v>0.0</v>
      </c>
      <c r="E338" s="125">
        <v>0.0</v>
      </c>
      <c r="F338" s="125">
        <v>0.0</v>
      </c>
      <c r="G338" s="125">
        <v>0.0</v>
      </c>
      <c r="H338" s="125">
        <v>0.0</v>
      </c>
      <c r="I338" s="125">
        <v>0.0</v>
      </c>
      <c r="J338" s="125">
        <v>0.0</v>
      </c>
      <c r="K338" s="125">
        <v>0.0</v>
      </c>
      <c r="L338" s="125">
        <v>0.0</v>
      </c>
      <c r="M338" s="125">
        <v>0.0</v>
      </c>
      <c r="N338" s="125">
        <v>0.0</v>
      </c>
      <c r="O338" s="125"/>
      <c r="P338" s="125"/>
      <c r="Q338" s="125"/>
      <c r="R338" s="125"/>
      <c r="S338" s="125"/>
      <c r="T338" s="125"/>
      <c r="U338" s="125"/>
      <c r="V338" s="125"/>
    </row>
    <row r="339">
      <c r="A339" s="122" t="s">
        <v>2233</v>
      </c>
      <c r="B339" s="122" t="s">
        <v>2234</v>
      </c>
      <c r="C339" s="125">
        <v>0.0</v>
      </c>
      <c r="D339" s="125">
        <v>0.0</v>
      </c>
      <c r="E339" s="125">
        <v>0.0</v>
      </c>
      <c r="F339" s="125">
        <v>0.0</v>
      </c>
      <c r="G339" s="125">
        <v>0.0</v>
      </c>
      <c r="H339" s="125">
        <v>0.0</v>
      </c>
      <c r="I339" s="125">
        <v>0.0</v>
      </c>
      <c r="J339" s="125">
        <v>0.0</v>
      </c>
      <c r="K339" s="125">
        <v>0.0</v>
      </c>
      <c r="L339" s="125">
        <v>0.0</v>
      </c>
      <c r="M339" s="125">
        <v>0.0</v>
      </c>
      <c r="N339" s="125">
        <v>0.0</v>
      </c>
      <c r="O339" s="125"/>
      <c r="P339" s="125"/>
      <c r="Q339" s="125"/>
      <c r="R339" s="125"/>
      <c r="S339" s="125"/>
      <c r="T339" s="125"/>
      <c r="U339" s="125"/>
      <c r="V339" s="125"/>
    </row>
    <row r="340">
      <c r="A340" s="122" t="s">
        <v>2235</v>
      </c>
      <c r="B340" s="122" t="s">
        <v>2236</v>
      </c>
      <c r="C340" s="125">
        <v>49990.0</v>
      </c>
      <c r="D340" s="125">
        <v>49990.0</v>
      </c>
      <c r="E340" s="125">
        <v>1.0</v>
      </c>
      <c r="F340" s="125">
        <v>0.0</v>
      </c>
      <c r="G340" s="125">
        <v>19099.0</v>
      </c>
      <c r="H340" s="125">
        <v>30891.0</v>
      </c>
      <c r="I340" s="125" t="s">
        <v>2835</v>
      </c>
      <c r="J340" s="125">
        <v>0.0</v>
      </c>
      <c r="K340" s="125">
        <v>14258.0</v>
      </c>
      <c r="L340" s="125">
        <v>0.0</v>
      </c>
      <c r="M340" s="125">
        <v>7499.0</v>
      </c>
      <c r="N340" s="125">
        <v>2658.0</v>
      </c>
      <c r="O340" s="125"/>
      <c r="P340" s="125"/>
      <c r="Q340" s="125"/>
      <c r="R340" s="125"/>
      <c r="S340" s="125"/>
      <c r="T340" s="125"/>
      <c r="U340" s="125"/>
      <c r="V340" s="125"/>
    </row>
    <row r="341">
      <c r="A341" s="122" t="s">
        <v>1127</v>
      </c>
      <c r="B341" s="122" t="s">
        <v>1934</v>
      </c>
      <c r="C341" s="125">
        <v>1223580.0</v>
      </c>
      <c r="D341" s="125">
        <v>1223580.0</v>
      </c>
      <c r="E341" s="125">
        <v>42.0</v>
      </c>
      <c r="F341" s="125">
        <v>0.0</v>
      </c>
      <c r="G341" s="125">
        <v>1049205.0</v>
      </c>
      <c r="H341" s="125">
        <v>174375.0</v>
      </c>
      <c r="I341" s="125" t="s">
        <v>2836</v>
      </c>
      <c r="J341" s="125">
        <v>597114.0</v>
      </c>
      <c r="K341" s="125">
        <v>148581.0</v>
      </c>
      <c r="L341" s="125">
        <v>1972.0</v>
      </c>
      <c r="M341" s="125">
        <v>188937.0</v>
      </c>
      <c r="N341" s="125">
        <v>-112601.0</v>
      </c>
      <c r="O341" s="125"/>
      <c r="P341" s="125"/>
      <c r="Q341" s="125"/>
      <c r="R341" s="125"/>
      <c r="S341" s="125"/>
      <c r="T341" s="125"/>
      <c r="U341" s="125"/>
      <c r="V341" s="125"/>
    </row>
    <row r="342">
      <c r="A342" s="122" t="s">
        <v>2237</v>
      </c>
      <c r="B342" s="122" t="s">
        <v>1848</v>
      </c>
      <c r="C342" s="125">
        <v>0.0</v>
      </c>
      <c r="D342" s="125">
        <v>0.0</v>
      </c>
      <c r="E342" s="125">
        <v>0.0</v>
      </c>
      <c r="F342" s="125">
        <v>0.0</v>
      </c>
      <c r="G342" s="125">
        <v>0.0</v>
      </c>
      <c r="H342" s="125">
        <v>0.0</v>
      </c>
      <c r="I342" s="125">
        <v>0.0</v>
      </c>
      <c r="J342" s="125">
        <v>0.0</v>
      </c>
      <c r="K342" s="125">
        <v>0.0</v>
      </c>
      <c r="L342" s="125">
        <v>0.0</v>
      </c>
      <c r="M342" s="125">
        <v>0.0</v>
      </c>
      <c r="N342" s="125">
        <v>0.0</v>
      </c>
      <c r="O342" s="125"/>
      <c r="P342" s="125"/>
      <c r="Q342" s="125"/>
      <c r="R342" s="125"/>
      <c r="S342" s="125"/>
      <c r="T342" s="125"/>
      <c r="U342" s="125"/>
      <c r="V342" s="125"/>
    </row>
    <row r="343">
      <c r="A343" s="122" t="s">
        <v>1133</v>
      </c>
      <c r="B343" s="122" t="s">
        <v>1847</v>
      </c>
      <c r="C343" s="125">
        <v>0.0</v>
      </c>
      <c r="D343" s="125">
        <v>0.0</v>
      </c>
      <c r="E343" s="125">
        <v>0.0</v>
      </c>
      <c r="F343" s="125">
        <v>0.0</v>
      </c>
      <c r="G343" s="125">
        <v>0.0</v>
      </c>
      <c r="H343" s="125">
        <v>0.0</v>
      </c>
      <c r="I343" s="125">
        <v>0.0</v>
      </c>
      <c r="J343" s="125">
        <v>0.0</v>
      </c>
      <c r="K343" s="125">
        <v>0.0</v>
      </c>
      <c r="L343" s="125">
        <v>0.0</v>
      </c>
      <c r="M343" s="125">
        <v>0.0</v>
      </c>
      <c r="N343" s="125">
        <v>0.0</v>
      </c>
      <c r="O343" s="125"/>
      <c r="P343" s="125"/>
      <c r="Q343" s="125"/>
      <c r="R343" s="125"/>
      <c r="S343" s="125"/>
      <c r="T343" s="125"/>
      <c r="U343" s="125"/>
      <c r="V343" s="125"/>
    </row>
    <row r="344">
      <c r="A344" s="122" t="s">
        <v>1130</v>
      </c>
      <c r="B344" s="122" t="s">
        <v>1846</v>
      </c>
      <c r="C344" s="125">
        <v>515238.0</v>
      </c>
      <c r="D344" s="125">
        <v>513238.0</v>
      </c>
      <c r="E344" s="125">
        <v>25.0</v>
      </c>
      <c r="F344" s="125">
        <v>2000.0</v>
      </c>
      <c r="G344" s="125">
        <v>450939.0</v>
      </c>
      <c r="H344" s="125">
        <v>64299.0</v>
      </c>
      <c r="I344" s="125" t="s">
        <v>2837</v>
      </c>
      <c r="J344" s="125">
        <v>202475.0</v>
      </c>
      <c r="K344" s="125">
        <v>116944.0</v>
      </c>
      <c r="L344" s="125">
        <v>7340.0</v>
      </c>
      <c r="M344" s="125">
        <v>98534.0</v>
      </c>
      <c r="N344" s="125">
        <v>-25646.0</v>
      </c>
      <c r="O344" s="125"/>
      <c r="P344" s="125"/>
      <c r="Q344" s="125"/>
      <c r="R344" s="125"/>
      <c r="S344" s="125"/>
      <c r="T344" s="125"/>
      <c r="U344" s="125"/>
      <c r="V344" s="125"/>
    </row>
    <row r="345">
      <c r="A345" s="122" t="s">
        <v>1145</v>
      </c>
      <c r="B345" s="122" t="s">
        <v>1889</v>
      </c>
      <c r="C345" s="125">
        <v>1.8612722E7</v>
      </c>
      <c r="D345" s="125">
        <v>1.8612722E7</v>
      </c>
      <c r="E345" s="125">
        <v>379.0</v>
      </c>
      <c r="F345" s="125">
        <v>0.0</v>
      </c>
      <c r="G345" s="125">
        <v>1.2674414E7</v>
      </c>
      <c r="H345" s="125">
        <v>5938308.0</v>
      </c>
      <c r="I345" s="125" t="s">
        <v>2838</v>
      </c>
      <c r="J345" s="125">
        <v>4886402.0</v>
      </c>
      <c r="K345" s="125">
        <v>979792.0</v>
      </c>
      <c r="L345" s="125">
        <v>0.0</v>
      </c>
      <c r="M345" s="125">
        <v>2789960.0</v>
      </c>
      <c r="N345" s="125">
        <v>-4018260.0</v>
      </c>
      <c r="O345" s="125"/>
      <c r="P345" s="125"/>
      <c r="Q345" s="125"/>
      <c r="R345" s="125"/>
      <c r="S345" s="125"/>
      <c r="T345" s="125"/>
      <c r="U345" s="125"/>
      <c r="V345" s="125"/>
    </row>
    <row r="346">
      <c r="A346" s="122" t="s">
        <v>1154</v>
      </c>
      <c r="B346" s="122" t="s">
        <v>1840</v>
      </c>
      <c r="C346" s="125">
        <v>8837356.0</v>
      </c>
      <c r="D346" s="125">
        <v>8805356.0</v>
      </c>
      <c r="E346" s="125">
        <v>60.0</v>
      </c>
      <c r="F346" s="125">
        <v>32000.0</v>
      </c>
      <c r="G346" s="125">
        <v>7391036.0</v>
      </c>
      <c r="H346" s="125">
        <v>1446320.0</v>
      </c>
      <c r="I346" s="125" t="s">
        <v>2839</v>
      </c>
      <c r="J346" s="125">
        <v>3747952.0</v>
      </c>
      <c r="K346" s="125">
        <v>1448449.0</v>
      </c>
      <c r="L346" s="125">
        <v>0.0</v>
      </c>
      <c r="M346" s="125">
        <v>1319782.0</v>
      </c>
      <c r="N346" s="125">
        <v>-874853.0</v>
      </c>
      <c r="O346" s="125"/>
      <c r="P346" s="125"/>
      <c r="Q346" s="125"/>
      <c r="R346" s="125"/>
      <c r="S346" s="125"/>
      <c r="T346" s="125"/>
      <c r="U346" s="125"/>
      <c r="V346" s="125"/>
    </row>
    <row r="347">
      <c r="A347" s="122" t="s">
        <v>2238</v>
      </c>
      <c r="B347" s="122" t="s">
        <v>2239</v>
      </c>
      <c r="C347" s="125">
        <v>0.0</v>
      </c>
      <c r="D347" s="125">
        <v>0.0</v>
      </c>
      <c r="E347" s="125">
        <v>0.0</v>
      </c>
      <c r="F347" s="125">
        <v>0.0</v>
      </c>
      <c r="G347" s="125">
        <v>0.0</v>
      </c>
      <c r="H347" s="125">
        <v>0.0</v>
      </c>
      <c r="I347" s="125">
        <v>0.0</v>
      </c>
      <c r="J347" s="125">
        <v>0.0</v>
      </c>
      <c r="K347" s="125">
        <v>0.0</v>
      </c>
      <c r="L347" s="125">
        <v>0.0</v>
      </c>
      <c r="M347" s="125">
        <v>0.0</v>
      </c>
      <c r="N347" s="125">
        <v>0.0</v>
      </c>
      <c r="O347" s="125"/>
      <c r="P347" s="125"/>
      <c r="Q347" s="125"/>
      <c r="R347" s="125"/>
      <c r="S347" s="125"/>
      <c r="T347" s="125"/>
      <c r="U347" s="125"/>
      <c r="V347" s="125"/>
    </row>
    <row r="348">
      <c r="A348" s="122" t="s">
        <v>2240</v>
      </c>
      <c r="B348" s="122" t="s">
        <v>2241</v>
      </c>
      <c r="C348" s="125">
        <v>0.0</v>
      </c>
      <c r="D348" s="125">
        <v>0.0</v>
      </c>
      <c r="E348" s="125">
        <v>0.0</v>
      </c>
      <c r="F348" s="125">
        <v>0.0</v>
      </c>
      <c r="G348" s="125">
        <v>0.0</v>
      </c>
      <c r="H348" s="125">
        <v>0.0</v>
      </c>
      <c r="I348" s="125">
        <v>0.0</v>
      </c>
      <c r="J348" s="125">
        <v>0.0</v>
      </c>
      <c r="K348" s="125">
        <v>0.0</v>
      </c>
      <c r="L348" s="125">
        <v>0.0</v>
      </c>
      <c r="M348" s="125">
        <v>0.0</v>
      </c>
      <c r="N348" s="125">
        <v>0.0</v>
      </c>
      <c r="O348" s="125"/>
      <c r="P348" s="125"/>
      <c r="Q348" s="125"/>
      <c r="R348" s="125"/>
      <c r="S348" s="125"/>
      <c r="T348" s="125"/>
      <c r="U348" s="125"/>
      <c r="V348" s="125"/>
    </row>
    <row r="349">
      <c r="A349" s="122" t="s">
        <v>528</v>
      </c>
      <c r="B349" s="122" t="s">
        <v>527</v>
      </c>
      <c r="C349" s="125">
        <v>0.0</v>
      </c>
      <c r="D349" s="125">
        <v>0.0</v>
      </c>
      <c r="E349" s="125">
        <v>0.0</v>
      </c>
      <c r="F349" s="125">
        <v>0.0</v>
      </c>
      <c r="G349" s="125">
        <v>0.0</v>
      </c>
      <c r="H349" s="125">
        <v>0.0</v>
      </c>
      <c r="I349" s="125">
        <v>0.0</v>
      </c>
      <c r="J349" s="125">
        <v>0.0</v>
      </c>
      <c r="K349" s="125">
        <v>0.0</v>
      </c>
      <c r="L349" s="125">
        <v>0.0</v>
      </c>
      <c r="M349" s="125">
        <v>0.0</v>
      </c>
      <c r="N349" s="125">
        <v>0.0</v>
      </c>
      <c r="O349" s="125"/>
      <c r="P349" s="125"/>
      <c r="Q349" s="125"/>
      <c r="R349" s="125"/>
      <c r="S349" s="125"/>
      <c r="T349" s="125"/>
      <c r="U349" s="125"/>
      <c r="V349" s="125"/>
    </row>
    <row r="350">
      <c r="A350" s="122" t="s">
        <v>557</v>
      </c>
      <c r="B350" s="122" t="s">
        <v>1849</v>
      </c>
      <c r="C350" s="125">
        <v>0.0</v>
      </c>
      <c r="D350" s="125">
        <v>0.0</v>
      </c>
      <c r="E350" s="125">
        <v>0.0</v>
      </c>
      <c r="F350" s="125">
        <v>0.0</v>
      </c>
      <c r="G350" s="125">
        <v>0.0</v>
      </c>
      <c r="H350" s="125">
        <v>0.0</v>
      </c>
      <c r="I350" s="125">
        <v>0.0</v>
      </c>
      <c r="J350" s="125">
        <v>0.0</v>
      </c>
      <c r="K350" s="125">
        <v>0.0</v>
      </c>
      <c r="L350" s="125">
        <v>0.0</v>
      </c>
      <c r="M350" s="125">
        <v>0.0</v>
      </c>
      <c r="N350" s="125">
        <v>0.0</v>
      </c>
      <c r="O350" s="125"/>
      <c r="P350" s="125"/>
      <c r="Q350" s="125"/>
      <c r="R350" s="125"/>
      <c r="S350" s="125"/>
      <c r="T350" s="125"/>
      <c r="U350" s="125"/>
      <c r="V350" s="125"/>
    </row>
    <row r="351">
      <c r="A351" s="122" t="s">
        <v>859</v>
      </c>
      <c r="B351" s="122" t="s">
        <v>858</v>
      </c>
      <c r="C351" s="125">
        <v>0.0</v>
      </c>
      <c r="D351" s="125">
        <v>0.0</v>
      </c>
      <c r="E351" s="125">
        <v>0.0</v>
      </c>
      <c r="F351" s="125">
        <v>0.0</v>
      </c>
      <c r="G351" s="125">
        <v>0.0</v>
      </c>
      <c r="H351" s="125">
        <v>0.0</v>
      </c>
      <c r="I351" s="125">
        <v>0.0</v>
      </c>
      <c r="J351" s="125">
        <v>0.0</v>
      </c>
      <c r="K351" s="125">
        <v>0.0</v>
      </c>
      <c r="L351" s="125">
        <v>0.0</v>
      </c>
      <c r="M351" s="125">
        <v>0.0</v>
      </c>
      <c r="N351" s="125">
        <v>0.0</v>
      </c>
      <c r="O351" s="125"/>
      <c r="P351" s="125"/>
      <c r="Q351" s="125"/>
      <c r="R351" s="125"/>
      <c r="S351" s="125"/>
      <c r="T351" s="125"/>
      <c r="U351" s="125"/>
      <c r="V351" s="125"/>
    </row>
    <row r="352">
      <c r="A352" s="122" t="s">
        <v>2242</v>
      </c>
      <c r="B352" s="122" t="s">
        <v>2080</v>
      </c>
      <c r="C352" s="125">
        <v>0.0</v>
      </c>
      <c r="D352" s="125">
        <v>0.0</v>
      </c>
      <c r="E352" s="125">
        <v>0.0</v>
      </c>
      <c r="F352" s="125">
        <v>0.0</v>
      </c>
      <c r="G352" s="125">
        <v>0.0</v>
      </c>
      <c r="H352" s="125">
        <v>0.0</v>
      </c>
      <c r="I352" s="125">
        <v>0.0</v>
      </c>
      <c r="J352" s="125">
        <v>0.0</v>
      </c>
      <c r="K352" s="125">
        <v>0.0</v>
      </c>
      <c r="L352" s="125">
        <v>0.0</v>
      </c>
      <c r="M352" s="125">
        <v>0.0</v>
      </c>
      <c r="N352" s="125">
        <v>0.0</v>
      </c>
      <c r="O352" s="125"/>
      <c r="P352" s="125"/>
      <c r="Q352" s="125"/>
      <c r="R352" s="125"/>
      <c r="S352" s="125"/>
      <c r="T352" s="125"/>
      <c r="U352" s="125"/>
      <c r="V352" s="125"/>
    </row>
    <row r="353">
      <c r="A353" s="122" t="s">
        <v>1104</v>
      </c>
      <c r="B353" s="122" t="s">
        <v>1935</v>
      </c>
      <c r="C353" s="125">
        <v>0.0</v>
      </c>
      <c r="D353" s="125">
        <v>0.0</v>
      </c>
      <c r="E353" s="125">
        <v>0.0</v>
      </c>
      <c r="F353" s="125">
        <v>0.0</v>
      </c>
      <c r="G353" s="125">
        <v>0.0</v>
      </c>
      <c r="H353" s="125">
        <v>0.0</v>
      </c>
      <c r="I353" s="125">
        <v>0.0</v>
      </c>
      <c r="J353" s="125">
        <v>0.0</v>
      </c>
      <c r="K353" s="125">
        <v>0.0</v>
      </c>
      <c r="L353" s="125">
        <v>0.0</v>
      </c>
      <c r="M353" s="125">
        <v>0.0</v>
      </c>
      <c r="N353" s="125">
        <v>0.0</v>
      </c>
      <c r="O353" s="125"/>
      <c r="P353" s="125"/>
      <c r="Q353" s="125"/>
      <c r="R353" s="125"/>
      <c r="S353" s="125"/>
      <c r="T353" s="125"/>
      <c r="U353" s="125"/>
      <c r="V353" s="125"/>
    </row>
    <row r="354">
      <c r="A354" s="122" t="s">
        <v>2243</v>
      </c>
      <c r="B354" s="122" t="s">
        <v>2244</v>
      </c>
      <c r="C354" s="125">
        <v>0.0</v>
      </c>
      <c r="D354" s="125">
        <v>0.0</v>
      </c>
      <c r="E354" s="125">
        <v>0.0</v>
      </c>
      <c r="F354" s="125">
        <v>0.0</v>
      </c>
      <c r="G354" s="125">
        <v>0.0</v>
      </c>
      <c r="H354" s="125">
        <v>0.0</v>
      </c>
      <c r="I354" s="125">
        <v>0.0</v>
      </c>
      <c r="J354" s="125">
        <v>0.0</v>
      </c>
      <c r="K354" s="125">
        <v>0.0</v>
      </c>
      <c r="L354" s="125">
        <v>0.0</v>
      </c>
      <c r="M354" s="125">
        <v>0.0</v>
      </c>
      <c r="N354" s="125">
        <v>0.0</v>
      </c>
      <c r="O354" s="125"/>
      <c r="P354" s="125"/>
      <c r="Q354" s="125"/>
      <c r="R354" s="125"/>
      <c r="S354" s="125"/>
      <c r="T354" s="125"/>
      <c r="U354" s="125"/>
      <c r="V354" s="125"/>
    </row>
    <row r="355">
      <c r="A355" s="122" t="s">
        <v>2245</v>
      </c>
      <c r="B355" s="122" t="s">
        <v>2025</v>
      </c>
      <c r="C355" s="125">
        <v>0.0</v>
      </c>
      <c r="D355" s="125">
        <v>0.0</v>
      </c>
      <c r="E355" s="125">
        <v>0.0</v>
      </c>
      <c r="F355" s="125">
        <v>0.0</v>
      </c>
      <c r="G355" s="125">
        <v>0.0</v>
      </c>
      <c r="H355" s="125">
        <v>0.0</v>
      </c>
      <c r="I355" s="125">
        <v>0.0</v>
      </c>
      <c r="J355" s="125">
        <v>0.0</v>
      </c>
      <c r="K355" s="125">
        <v>0.0</v>
      </c>
      <c r="L355" s="125">
        <v>0.0</v>
      </c>
      <c r="M355" s="125">
        <v>0.0</v>
      </c>
      <c r="N355" s="125">
        <v>0.0</v>
      </c>
      <c r="O355" s="125"/>
      <c r="P355" s="125"/>
      <c r="Q355" s="125"/>
      <c r="R355" s="125"/>
      <c r="S355" s="125"/>
      <c r="T355" s="125"/>
      <c r="U355" s="125"/>
      <c r="V355" s="125"/>
    </row>
    <row r="356">
      <c r="A356" s="122" t="s">
        <v>595</v>
      </c>
      <c r="B356" s="122" t="s">
        <v>2246</v>
      </c>
      <c r="C356" s="125">
        <v>0.0</v>
      </c>
      <c r="D356" s="125">
        <v>0.0</v>
      </c>
      <c r="E356" s="125">
        <v>0.0</v>
      </c>
      <c r="F356" s="125">
        <v>0.0</v>
      </c>
      <c r="G356" s="125">
        <v>0.0</v>
      </c>
      <c r="H356" s="125">
        <v>0.0</v>
      </c>
      <c r="I356" s="125">
        <v>0.0</v>
      </c>
      <c r="J356" s="125">
        <v>0.0</v>
      </c>
      <c r="K356" s="125">
        <v>0.0</v>
      </c>
      <c r="L356" s="125">
        <v>0.0</v>
      </c>
      <c r="M356" s="125">
        <v>0.0</v>
      </c>
      <c r="N356" s="125">
        <v>0.0</v>
      </c>
      <c r="O356" s="125"/>
      <c r="P356" s="125"/>
      <c r="Q356" s="125"/>
      <c r="R356" s="125"/>
      <c r="S356" s="125"/>
      <c r="T356" s="125"/>
      <c r="U356" s="125"/>
      <c r="V356" s="125"/>
    </row>
    <row r="357">
      <c r="A357" s="122" t="s">
        <v>707</v>
      </c>
      <c r="B357" s="122" t="s">
        <v>706</v>
      </c>
      <c r="C357" s="125">
        <v>0.0</v>
      </c>
      <c r="D357" s="125">
        <v>0.0</v>
      </c>
      <c r="E357" s="125">
        <v>0.0</v>
      </c>
      <c r="F357" s="125">
        <v>0.0</v>
      </c>
      <c r="G357" s="125">
        <v>0.0</v>
      </c>
      <c r="H357" s="125">
        <v>0.0</v>
      </c>
      <c r="I357" s="125">
        <v>0.0</v>
      </c>
      <c r="J357" s="125">
        <v>0.0</v>
      </c>
      <c r="K357" s="125">
        <v>0.0</v>
      </c>
      <c r="L357" s="125">
        <v>0.0</v>
      </c>
      <c r="M357" s="125">
        <v>0.0</v>
      </c>
      <c r="N357" s="125">
        <v>0.0</v>
      </c>
      <c r="O357" s="125"/>
      <c r="P357" s="125"/>
      <c r="Q357" s="125"/>
      <c r="R357" s="125"/>
      <c r="S357" s="125"/>
      <c r="T357" s="125"/>
      <c r="U357" s="125"/>
      <c r="V357" s="125"/>
    </row>
    <row r="358">
      <c r="A358" s="122" t="s">
        <v>854</v>
      </c>
      <c r="B358" s="122" t="s">
        <v>853</v>
      </c>
      <c r="C358" s="125">
        <v>0.0</v>
      </c>
      <c r="D358" s="125">
        <v>0.0</v>
      </c>
      <c r="E358" s="125">
        <v>0.0</v>
      </c>
      <c r="F358" s="125">
        <v>0.0</v>
      </c>
      <c r="G358" s="125">
        <v>0.0</v>
      </c>
      <c r="H358" s="125">
        <v>0.0</v>
      </c>
      <c r="I358" s="125">
        <v>0.0</v>
      </c>
      <c r="J358" s="125">
        <v>0.0</v>
      </c>
      <c r="K358" s="125">
        <v>0.0</v>
      </c>
      <c r="L358" s="125">
        <v>0.0</v>
      </c>
      <c r="M358" s="125">
        <v>0.0</v>
      </c>
      <c r="N358" s="125">
        <v>0.0</v>
      </c>
      <c r="O358" s="125"/>
      <c r="P358" s="125"/>
      <c r="Q358" s="125"/>
      <c r="R358" s="125"/>
      <c r="S358" s="125"/>
      <c r="T358" s="125"/>
      <c r="U358" s="125"/>
      <c r="V358" s="125"/>
    </row>
    <row r="359">
      <c r="A359" s="122" t="s">
        <v>662</v>
      </c>
      <c r="B359" s="122" t="s">
        <v>1881</v>
      </c>
      <c r="C359" s="125">
        <v>0.0</v>
      </c>
      <c r="D359" s="125">
        <v>0.0</v>
      </c>
      <c r="E359" s="125">
        <v>0.0</v>
      </c>
      <c r="F359" s="125">
        <v>0.0</v>
      </c>
      <c r="G359" s="125">
        <v>0.0</v>
      </c>
      <c r="H359" s="125">
        <v>0.0</v>
      </c>
      <c r="I359" s="125">
        <v>0.0</v>
      </c>
      <c r="J359" s="125">
        <v>0.0</v>
      </c>
      <c r="K359" s="125">
        <v>0.0</v>
      </c>
      <c r="L359" s="125">
        <v>0.0</v>
      </c>
      <c r="M359" s="125">
        <v>0.0</v>
      </c>
      <c r="N359" s="125">
        <v>0.0</v>
      </c>
      <c r="O359" s="125"/>
      <c r="P359" s="125"/>
      <c r="Q359" s="125"/>
      <c r="R359" s="125"/>
      <c r="S359" s="125"/>
      <c r="T359" s="125"/>
      <c r="U359" s="125"/>
      <c r="V359" s="125"/>
    </row>
    <row r="360">
      <c r="A360" s="122" t="s">
        <v>609</v>
      </c>
      <c r="B360" s="122" t="s">
        <v>608</v>
      </c>
      <c r="C360" s="125">
        <v>0.0</v>
      </c>
      <c r="D360" s="125">
        <v>0.0</v>
      </c>
      <c r="E360" s="125">
        <v>0.0</v>
      </c>
      <c r="F360" s="125">
        <v>0.0</v>
      </c>
      <c r="G360" s="125">
        <v>0.0</v>
      </c>
      <c r="H360" s="125">
        <v>0.0</v>
      </c>
      <c r="I360" s="125">
        <v>0.0</v>
      </c>
      <c r="J360" s="125">
        <v>0.0</v>
      </c>
      <c r="K360" s="125">
        <v>0.0</v>
      </c>
      <c r="L360" s="125">
        <v>0.0</v>
      </c>
      <c r="M360" s="125">
        <v>0.0</v>
      </c>
      <c r="N360" s="125">
        <v>0.0</v>
      </c>
      <c r="O360" s="125"/>
      <c r="P360" s="125"/>
      <c r="Q360" s="125"/>
      <c r="R360" s="125"/>
      <c r="S360" s="125"/>
      <c r="T360" s="125"/>
      <c r="U360" s="125"/>
      <c r="V360" s="125"/>
    </row>
    <row r="361">
      <c r="A361" s="122" t="s">
        <v>2247</v>
      </c>
      <c r="B361" s="122" t="s">
        <v>2093</v>
      </c>
      <c r="C361" s="125">
        <v>0.0</v>
      </c>
      <c r="D361" s="125">
        <v>0.0</v>
      </c>
      <c r="E361" s="125">
        <v>0.0</v>
      </c>
      <c r="F361" s="125">
        <v>0.0</v>
      </c>
      <c r="G361" s="125">
        <v>0.0</v>
      </c>
      <c r="H361" s="125">
        <v>0.0</v>
      </c>
      <c r="I361" s="125">
        <v>0.0</v>
      </c>
      <c r="J361" s="125">
        <v>0.0</v>
      </c>
      <c r="K361" s="125">
        <v>0.0</v>
      </c>
      <c r="L361" s="125">
        <v>0.0</v>
      </c>
      <c r="M361" s="125">
        <v>0.0</v>
      </c>
      <c r="N361" s="125">
        <v>0.0</v>
      </c>
      <c r="O361" s="125"/>
      <c r="P361" s="125"/>
      <c r="Q361" s="125"/>
      <c r="R361" s="125"/>
      <c r="S361" s="125"/>
      <c r="T361" s="125"/>
      <c r="U361" s="125"/>
      <c r="V361" s="125"/>
    </row>
    <row r="362">
      <c r="A362" s="122" t="s">
        <v>2248</v>
      </c>
      <c r="B362" s="122" t="s">
        <v>858</v>
      </c>
      <c r="C362" s="125">
        <v>0.0</v>
      </c>
      <c r="D362" s="125">
        <v>0.0</v>
      </c>
      <c r="E362" s="125">
        <v>0.0</v>
      </c>
      <c r="F362" s="125">
        <v>0.0</v>
      </c>
      <c r="G362" s="125">
        <v>0.0</v>
      </c>
      <c r="H362" s="125">
        <v>0.0</v>
      </c>
      <c r="I362" s="125">
        <v>0.0</v>
      </c>
      <c r="J362" s="125">
        <v>0.0</v>
      </c>
      <c r="K362" s="125">
        <v>0.0</v>
      </c>
      <c r="L362" s="125">
        <v>0.0</v>
      </c>
      <c r="M362" s="125">
        <v>0.0</v>
      </c>
      <c r="N362" s="125">
        <v>0.0</v>
      </c>
      <c r="O362" s="125"/>
      <c r="P362" s="125"/>
      <c r="Q362" s="125"/>
      <c r="R362" s="125"/>
      <c r="S362" s="125"/>
      <c r="T362" s="125"/>
      <c r="U362" s="125"/>
      <c r="V362" s="125"/>
    </row>
    <row r="363">
      <c r="A363" s="122" t="s">
        <v>666</v>
      </c>
      <c r="B363" s="122" t="s">
        <v>665</v>
      </c>
      <c r="C363" s="125">
        <v>0.0</v>
      </c>
      <c r="D363" s="125">
        <v>0.0</v>
      </c>
      <c r="E363" s="125">
        <v>0.0</v>
      </c>
      <c r="F363" s="125">
        <v>0.0</v>
      </c>
      <c r="G363" s="125">
        <v>0.0</v>
      </c>
      <c r="H363" s="125">
        <v>0.0</v>
      </c>
      <c r="I363" s="125">
        <v>0.0</v>
      </c>
      <c r="J363" s="125">
        <v>0.0</v>
      </c>
      <c r="K363" s="125">
        <v>0.0</v>
      </c>
      <c r="L363" s="125">
        <v>0.0</v>
      </c>
      <c r="M363" s="125">
        <v>0.0</v>
      </c>
      <c r="N363" s="125">
        <v>0.0</v>
      </c>
      <c r="O363" s="125"/>
      <c r="P363" s="125"/>
      <c r="Q363" s="125"/>
      <c r="R363" s="125"/>
      <c r="S363" s="125"/>
      <c r="T363" s="125"/>
      <c r="U363" s="125"/>
      <c r="V363" s="125"/>
    </row>
    <row r="364">
      <c r="A364" s="122" t="s">
        <v>1136</v>
      </c>
      <c r="B364" s="122" t="s">
        <v>2840</v>
      </c>
      <c r="C364" s="125">
        <v>1833020.0</v>
      </c>
      <c r="D364" s="125">
        <v>1833020.0</v>
      </c>
      <c r="E364" s="125">
        <v>63.0</v>
      </c>
      <c r="F364" s="125">
        <v>0.0</v>
      </c>
      <c r="G364" s="125">
        <v>1533162.0</v>
      </c>
      <c r="H364" s="125">
        <v>299858.0</v>
      </c>
      <c r="I364" s="125" t="s">
        <v>2841</v>
      </c>
      <c r="J364" s="125">
        <v>774963.0</v>
      </c>
      <c r="K364" s="125">
        <v>200274.0</v>
      </c>
      <c r="L364" s="125">
        <v>3005.0</v>
      </c>
      <c r="M364" s="125">
        <v>285255.0</v>
      </c>
      <c r="N364" s="125">
        <v>-269665.0</v>
      </c>
      <c r="O364" s="125"/>
      <c r="P364" s="125"/>
      <c r="Q364" s="125"/>
      <c r="R364" s="125"/>
      <c r="S364" s="125"/>
      <c r="T364" s="125"/>
      <c r="U364" s="125"/>
      <c r="V364" s="125"/>
    </row>
    <row r="365">
      <c r="A365" s="122" t="s">
        <v>1151</v>
      </c>
      <c r="B365" s="122" t="s">
        <v>1926</v>
      </c>
      <c r="C365" s="125">
        <v>2057538.0</v>
      </c>
      <c r="D365" s="125">
        <v>2057538.0</v>
      </c>
      <c r="E365" s="125">
        <v>137.0</v>
      </c>
      <c r="F365" s="125">
        <v>0.0</v>
      </c>
      <c r="G365" s="125">
        <v>1316242.0</v>
      </c>
      <c r="H365" s="125">
        <v>741296.0</v>
      </c>
      <c r="I365" s="125" t="s">
        <v>2842</v>
      </c>
      <c r="J365" s="125">
        <v>818581.0</v>
      </c>
      <c r="K365" s="125">
        <v>25062.0</v>
      </c>
      <c r="L365" s="125">
        <v>6681.0</v>
      </c>
      <c r="M365" s="125">
        <v>429850.0</v>
      </c>
      <c r="N365" s="125">
        <v>-36068.0</v>
      </c>
      <c r="O365" s="125"/>
      <c r="P365" s="125"/>
      <c r="Q365" s="125"/>
      <c r="R365" s="125"/>
      <c r="S365" s="125"/>
      <c r="T365" s="125"/>
      <c r="U365" s="125"/>
      <c r="V365" s="125"/>
    </row>
    <row r="366">
      <c r="A366" s="122" t="s">
        <v>2249</v>
      </c>
      <c r="B366" s="122" t="s">
        <v>2250</v>
      </c>
      <c r="C366" s="125">
        <v>641865.0</v>
      </c>
      <c r="D366" s="125">
        <v>641865.0</v>
      </c>
      <c r="E366" s="125">
        <v>6.0</v>
      </c>
      <c r="F366" s="125">
        <v>0.0</v>
      </c>
      <c r="G366" s="125">
        <v>412376.0</v>
      </c>
      <c r="H366" s="125">
        <v>229489.0</v>
      </c>
      <c r="I366" s="125" t="s">
        <v>2843</v>
      </c>
      <c r="J366" s="125">
        <v>284370.0</v>
      </c>
      <c r="K366" s="125">
        <v>10585.0</v>
      </c>
      <c r="L366" s="125">
        <v>261.0</v>
      </c>
      <c r="M366" s="125">
        <v>89860.0</v>
      </c>
      <c r="N366" s="125">
        <v>-27300.0</v>
      </c>
      <c r="O366" s="125"/>
      <c r="P366" s="125"/>
      <c r="Q366" s="125"/>
      <c r="R366" s="125"/>
      <c r="S366" s="125"/>
      <c r="T366" s="125"/>
      <c r="U366" s="125"/>
      <c r="V366" s="125"/>
    </row>
    <row r="367">
      <c r="A367" s="122" t="s">
        <v>1228</v>
      </c>
      <c r="B367" s="122" t="s">
        <v>1961</v>
      </c>
      <c r="C367" s="125">
        <v>3610612.0</v>
      </c>
      <c r="D367" s="125">
        <v>3610612.0</v>
      </c>
      <c r="E367" s="125">
        <v>67.0</v>
      </c>
      <c r="F367" s="125">
        <v>0.0</v>
      </c>
      <c r="G367" s="125">
        <v>2427843.0</v>
      </c>
      <c r="H367" s="125">
        <v>1182769.0</v>
      </c>
      <c r="I367" s="125" t="s">
        <v>2844</v>
      </c>
      <c r="J367" s="125">
        <v>1304183.0</v>
      </c>
      <c r="K367" s="125">
        <v>133000.0</v>
      </c>
      <c r="L367" s="125">
        <v>841.0</v>
      </c>
      <c r="M367" s="125">
        <v>540662.0</v>
      </c>
      <c r="N367" s="125">
        <v>-449157.0</v>
      </c>
      <c r="O367" s="125"/>
      <c r="P367" s="125"/>
      <c r="Q367" s="125"/>
      <c r="R367" s="125"/>
      <c r="S367" s="125"/>
      <c r="T367" s="125"/>
      <c r="U367" s="125"/>
      <c r="V367" s="125"/>
    </row>
    <row r="368">
      <c r="A368" s="122" t="s">
        <v>1207</v>
      </c>
      <c r="B368" s="122" t="s">
        <v>1954</v>
      </c>
      <c r="C368" s="125">
        <v>1271265.0</v>
      </c>
      <c r="D368" s="125">
        <v>1271265.0</v>
      </c>
      <c r="E368" s="125">
        <v>91.0</v>
      </c>
      <c r="F368" s="125">
        <v>0.0</v>
      </c>
      <c r="G368" s="125">
        <v>623193.0</v>
      </c>
      <c r="H368" s="125">
        <v>648072.0</v>
      </c>
      <c r="I368" s="125" t="s">
        <v>2845</v>
      </c>
      <c r="J368" s="125">
        <v>298889.0</v>
      </c>
      <c r="K368" s="125">
        <v>41059.0</v>
      </c>
      <c r="L368" s="125">
        <v>1527.0</v>
      </c>
      <c r="M368" s="125">
        <v>252009.0</v>
      </c>
      <c r="N368" s="125">
        <v>-29709.0</v>
      </c>
      <c r="O368" s="125"/>
      <c r="P368" s="125"/>
      <c r="Q368" s="125"/>
      <c r="R368" s="125"/>
      <c r="S368" s="125"/>
      <c r="T368" s="125"/>
      <c r="U368" s="125"/>
      <c r="V368" s="125"/>
    </row>
    <row r="369">
      <c r="A369" s="122" t="s">
        <v>1219</v>
      </c>
      <c r="B369" s="122" t="s">
        <v>1958</v>
      </c>
      <c r="C369" s="125">
        <v>6212763.0</v>
      </c>
      <c r="D369" s="125">
        <v>6173763.0</v>
      </c>
      <c r="E369" s="125">
        <v>211.0</v>
      </c>
      <c r="F369" s="125">
        <v>39000.0</v>
      </c>
      <c r="G369" s="125">
        <v>4317743.0</v>
      </c>
      <c r="H369" s="125">
        <v>1895020.0</v>
      </c>
      <c r="I369" s="125" t="s">
        <v>2696</v>
      </c>
      <c r="J369" s="125">
        <v>2107202.0</v>
      </c>
      <c r="K369" s="125">
        <v>275317.0</v>
      </c>
      <c r="L369" s="125">
        <v>6332.0</v>
      </c>
      <c r="M369" s="125">
        <v>930592.0</v>
      </c>
      <c r="N369" s="125">
        <v>-998300.0</v>
      </c>
      <c r="O369" s="125"/>
      <c r="P369" s="125"/>
      <c r="Q369" s="125"/>
      <c r="R369" s="125"/>
      <c r="S369" s="125"/>
      <c r="T369" s="125"/>
      <c r="U369" s="125"/>
      <c r="V369" s="125"/>
    </row>
    <row r="370">
      <c r="A370" s="122" t="s">
        <v>2251</v>
      </c>
      <c r="B370" s="122" t="s">
        <v>2252</v>
      </c>
      <c r="C370" s="125">
        <v>967045.0</v>
      </c>
      <c r="D370" s="125">
        <v>947045.0</v>
      </c>
      <c r="E370" s="125">
        <v>12.0</v>
      </c>
      <c r="F370" s="125">
        <v>20000.0</v>
      </c>
      <c r="G370" s="125">
        <v>535346.0</v>
      </c>
      <c r="H370" s="125">
        <v>431699.0</v>
      </c>
      <c r="I370" s="125" t="s">
        <v>2846</v>
      </c>
      <c r="J370" s="125">
        <v>355908.0</v>
      </c>
      <c r="K370" s="125">
        <v>8911.0</v>
      </c>
      <c r="L370" s="125">
        <v>686.0</v>
      </c>
      <c r="M370" s="125">
        <v>132191.0</v>
      </c>
      <c r="N370" s="125">
        <v>-37650.0</v>
      </c>
      <c r="O370" s="125"/>
      <c r="P370" s="125"/>
      <c r="Q370" s="125"/>
      <c r="R370" s="125"/>
      <c r="S370" s="125"/>
      <c r="T370" s="125"/>
      <c r="U370" s="125"/>
      <c r="V370" s="125"/>
    </row>
    <row r="371">
      <c r="A371" s="122" t="s">
        <v>2253</v>
      </c>
      <c r="B371" s="122" t="s">
        <v>2847</v>
      </c>
      <c r="C371" s="125">
        <v>706963.0</v>
      </c>
      <c r="D371" s="125">
        <v>706963.0</v>
      </c>
      <c r="E371" s="125">
        <v>14.0</v>
      </c>
      <c r="F371" s="125">
        <v>0.0</v>
      </c>
      <c r="G371" s="125">
        <v>480007.0</v>
      </c>
      <c r="H371" s="125">
        <v>226956.0</v>
      </c>
      <c r="I371" s="125" t="s">
        <v>2848</v>
      </c>
      <c r="J371" s="125">
        <v>327525.0</v>
      </c>
      <c r="K371" s="125">
        <v>12265.0</v>
      </c>
      <c r="L371" s="125">
        <v>1927.0</v>
      </c>
      <c r="M371" s="125">
        <v>98980.0</v>
      </c>
      <c r="N371" s="125">
        <v>-39310.0</v>
      </c>
      <c r="O371" s="125"/>
      <c r="P371" s="125"/>
      <c r="Q371" s="125"/>
      <c r="R371" s="125"/>
      <c r="S371" s="125"/>
      <c r="T371" s="125"/>
      <c r="U371" s="125"/>
      <c r="V371" s="125"/>
    </row>
    <row r="372">
      <c r="A372" s="122" t="s">
        <v>1198</v>
      </c>
      <c r="B372" s="122" t="s">
        <v>1951</v>
      </c>
      <c r="C372" s="125">
        <v>0.0</v>
      </c>
      <c r="D372" s="125">
        <v>0.0</v>
      </c>
      <c r="E372" s="125">
        <v>0.0</v>
      </c>
      <c r="F372" s="125">
        <v>0.0</v>
      </c>
      <c r="G372" s="125">
        <v>0.0</v>
      </c>
      <c r="H372" s="125">
        <v>0.0</v>
      </c>
      <c r="I372" s="125">
        <v>0.0</v>
      </c>
      <c r="J372" s="125">
        <v>0.0</v>
      </c>
      <c r="K372" s="125">
        <v>0.0</v>
      </c>
      <c r="L372" s="125">
        <v>0.0</v>
      </c>
      <c r="M372" s="125">
        <v>0.0</v>
      </c>
      <c r="N372" s="125">
        <v>0.0</v>
      </c>
      <c r="O372" s="125"/>
      <c r="P372" s="125"/>
      <c r="Q372" s="125"/>
      <c r="R372" s="125"/>
      <c r="S372" s="125"/>
      <c r="T372" s="125"/>
      <c r="U372" s="125"/>
      <c r="V372" s="125"/>
    </row>
    <row r="373">
      <c r="A373" s="122" t="s">
        <v>1204</v>
      </c>
      <c r="B373" s="122" t="s">
        <v>1953</v>
      </c>
      <c r="C373" s="125">
        <v>1441840.0</v>
      </c>
      <c r="D373" s="125">
        <v>1441840.0</v>
      </c>
      <c r="E373" s="125">
        <v>121.0</v>
      </c>
      <c r="F373" s="125">
        <v>0.0</v>
      </c>
      <c r="G373" s="125">
        <v>658393.0</v>
      </c>
      <c r="H373" s="125">
        <v>783447.0</v>
      </c>
      <c r="I373" s="125" t="s">
        <v>2849</v>
      </c>
      <c r="J373" s="125">
        <v>289069.0</v>
      </c>
      <c r="K373" s="125">
        <v>27608.0</v>
      </c>
      <c r="L373" s="125">
        <v>1583.0</v>
      </c>
      <c r="M373" s="125">
        <v>282268.0</v>
      </c>
      <c r="N373" s="125">
        <v>-57865.0</v>
      </c>
      <c r="O373" s="125"/>
      <c r="P373" s="125"/>
      <c r="Q373" s="125"/>
      <c r="R373" s="125"/>
      <c r="S373" s="125"/>
      <c r="T373" s="125"/>
      <c r="U373" s="125"/>
      <c r="V373" s="125"/>
    </row>
    <row r="374">
      <c r="A374" s="122" t="s">
        <v>1222</v>
      </c>
      <c r="B374" s="122" t="s">
        <v>1959</v>
      </c>
      <c r="C374" s="125">
        <v>4449320.0</v>
      </c>
      <c r="D374" s="125">
        <v>4449320.0</v>
      </c>
      <c r="E374" s="125">
        <v>128.0</v>
      </c>
      <c r="F374" s="125">
        <v>0.0</v>
      </c>
      <c r="G374" s="125">
        <v>3248155.0</v>
      </c>
      <c r="H374" s="125">
        <v>1201165.0</v>
      </c>
      <c r="I374" s="125">
        <v>27.0</v>
      </c>
      <c r="J374" s="125">
        <v>1547648.0</v>
      </c>
      <c r="K374" s="125">
        <v>328554.0</v>
      </c>
      <c r="L374" s="125">
        <v>3575.0</v>
      </c>
      <c r="M374" s="125">
        <v>665548.0</v>
      </c>
      <c r="N374" s="125">
        <v>-702830.0</v>
      </c>
      <c r="O374" s="125"/>
      <c r="P374" s="125"/>
      <c r="Q374" s="125"/>
      <c r="R374" s="125"/>
      <c r="S374" s="125"/>
      <c r="T374" s="125"/>
      <c r="U374" s="125"/>
      <c r="V374" s="125"/>
    </row>
    <row r="375">
      <c r="A375" s="122" t="s">
        <v>2255</v>
      </c>
      <c r="B375" s="122" t="s">
        <v>2256</v>
      </c>
      <c r="C375" s="125">
        <v>343187.0</v>
      </c>
      <c r="D375" s="125">
        <v>338187.0</v>
      </c>
      <c r="E375" s="125">
        <v>6.0</v>
      </c>
      <c r="F375" s="125">
        <v>5000.0</v>
      </c>
      <c r="G375" s="125">
        <v>194524.0</v>
      </c>
      <c r="H375" s="125">
        <v>148663.0</v>
      </c>
      <c r="I375" s="125" t="s">
        <v>2850</v>
      </c>
      <c r="J375" s="125">
        <v>118638.0</v>
      </c>
      <c r="K375" s="125">
        <v>7554.0</v>
      </c>
      <c r="L375" s="125">
        <v>1609.0</v>
      </c>
      <c r="M375" s="125">
        <v>48048.0</v>
      </c>
      <c r="N375" s="125">
        <v>-18675.0</v>
      </c>
      <c r="O375" s="125"/>
      <c r="P375" s="125"/>
      <c r="Q375" s="125"/>
      <c r="R375" s="125"/>
      <c r="S375" s="125"/>
      <c r="T375" s="125"/>
      <c r="U375" s="125"/>
      <c r="V375" s="125"/>
    </row>
    <row r="376">
      <c r="A376" s="122" t="s">
        <v>1201</v>
      </c>
      <c r="B376" s="122" t="s">
        <v>1952</v>
      </c>
      <c r="C376" s="125">
        <v>1766682.0</v>
      </c>
      <c r="D376" s="125">
        <v>1752682.0</v>
      </c>
      <c r="E376" s="125">
        <v>72.0</v>
      </c>
      <c r="F376" s="125">
        <v>14000.0</v>
      </c>
      <c r="G376" s="125">
        <v>1193120.0</v>
      </c>
      <c r="H376" s="125">
        <v>573562.0</v>
      </c>
      <c r="I376" s="125" t="s">
        <v>2851</v>
      </c>
      <c r="J376" s="125">
        <v>711792.0</v>
      </c>
      <c r="K376" s="125">
        <v>93693.0</v>
      </c>
      <c r="L376" s="125">
        <v>689.0</v>
      </c>
      <c r="M376" s="125">
        <v>276014.0</v>
      </c>
      <c r="N376" s="125">
        <v>-110932.0</v>
      </c>
      <c r="O376" s="125"/>
      <c r="P376" s="125"/>
      <c r="Q376" s="125"/>
      <c r="R376" s="125"/>
      <c r="S376" s="125"/>
      <c r="T376" s="125"/>
      <c r="U376" s="125"/>
      <c r="V376" s="125"/>
    </row>
    <row r="377">
      <c r="A377" s="122" t="s">
        <v>1225</v>
      </c>
      <c r="B377" s="122" t="s">
        <v>1960</v>
      </c>
      <c r="C377" s="125">
        <v>3789288.0</v>
      </c>
      <c r="D377" s="125">
        <v>3789288.0</v>
      </c>
      <c r="E377" s="125">
        <v>89.0</v>
      </c>
      <c r="F377" s="125">
        <v>0.0</v>
      </c>
      <c r="G377" s="125">
        <v>2468577.0</v>
      </c>
      <c r="H377" s="125">
        <v>1320711.0</v>
      </c>
      <c r="I377" s="125" t="s">
        <v>2852</v>
      </c>
      <c r="J377" s="125">
        <v>1268606.0</v>
      </c>
      <c r="K377" s="125">
        <v>234229.0</v>
      </c>
      <c r="L377" s="125">
        <v>1018.0</v>
      </c>
      <c r="M377" s="125">
        <v>566297.0</v>
      </c>
      <c r="N377" s="125">
        <v>-398427.0</v>
      </c>
      <c r="O377" s="125"/>
      <c r="P377" s="125"/>
      <c r="Q377" s="125"/>
      <c r="R377" s="125"/>
      <c r="S377" s="125"/>
      <c r="T377" s="125"/>
      <c r="U377" s="125"/>
      <c r="V377" s="125"/>
    </row>
    <row r="378">
      <c r="A378" s="122" t="s">
        <v>2257</v>
      </c>
      <c r="B378" s="122" t="s">
        <v>2853</v>
      </c>
      <c r="C378" s="125">
        <v>989890.0</v>
      </c>
      <c r="D378" s="125">
        <v>989890.0</v>
      </c>
      <c r="E378" s="125">
        <v>11.0</v>
      </c>
      <c r="F378" s="125">
        <v>0.0</v>
      </c>
      <c r="G378" s="125">
        <v>560291.0</v>
      </c>
      <c r="H378" s="125">
        <v>429599.0</v>
      </c>
      <c r="I378" s="125" t="s">
        <v>2854</v>
      </c>
      <c r="J378" s="125">
        <v>387585.0</v>
      </c>
      <c r="K378" s="125">
        <v>9980.0</v>
      </c>
      <c r="L378" s="125">
        <v>336.0</v>
      </c>
      <c r="M378" s="125">
        <v>128130.0</v>
      </c>
      <c r="N378" s="125">
        <v>-34260.0</v>
      </c>
      <c r="O378" s="125"/>
      <c r="P378" s="125"/>
      <c r="Q378" s="125"/>
      <c r="R378" s="125"/>
      <c r="S378" s="125"/>
      <c r="T378" s="125"/>
      <c r="U378" s="125"/>
      <c r="V378" s="125"/>
    </row>
    <row r="379">
      <c r="A379" s="122" t="s">
        <v>2259</v>
      </c>
      <c r="B379" s="122" t="s">
        <v>2260</v>
      </c>
      <c r="C379" s="125">
        <v>0.0</v>
      </c>
      <c r="D379" s="125">
        <v>0.0</v>
      </c>
      <c r="E379" s="125">
        <v>0.0</v>
      </c>
      <c r="F379" s="125">
        <v>0.0</v>
      </c>
      <c r="G379" s="125">
        <v>0.0</v>
      </c>
      <c r="H379" s="125">
        <v>0.0</v>
      </c>
      <c r="I379" s="125">
        <v>0.0</v>
      </c>
      <c r="J379" s="125">
        <v>0.0</v>
      </c>
      <c r="K379" s="125">
        <v>0.0</v>
      </c>
      <c r="L379" s="125">
        <v>0.0</v>
      </c>
      <c r="M379" s="125">
        <v>0.0</v>
      </c>
      <c r="N379" s="125">
        <v>0.0</v>
      </c>
      <c r="O379" s="125"/>
      <c r="P379" s="125"/>
      <c r="Q379" s="125"/>
      <c r="R379" s="125"/>
      <c r="S379" s="125"/>
      <c r="T379" s="125"/>
      <c r="U379" s="125"/>
      <c r="V379" s="125"/>
    </row>
    <row r="380">
      <c r="A380" s="122" t="s">
        <v>961</v>
      </c>
      <c r="B380" s="122" t="s">
        <v>1885</v>
      </c>
      <c r="C380" s="125">
        <v>0.0</v>
      </c>
      <c r="D380" s="125">
        <v>0.0</v>
      </c>
      <c r="E380" s="125">
        <v>0.0</v>
      </c>
      <c r="F380" s="125">
        <v>0.0</v>
      </c>
      <c r="G380" s="125">
        <v>0.0</v>
      </c>
      <c r="H380" s="125">
        <v>0.0</v>
      </c>
      <c r="I380" s="125">
        <v>0.0</v>
      </c>
      <c r="J380" s="125">
        <v>0.0</v>
      </c>
      <c r="K380" s="125">
        <v>0.0</v>
      </c>
      <c r="L380" s="125">
        <v>0.0</v>
      </c>
      <c r="M380" s="125">
        <v>0.0</v>
      </c>
      <c r="N380" s="125">
        <v>0.0</v>
      </c>
      <c r="O380" s="125"/>
      <c r="P380" s="125"/>
      <c r="Q380" s="125"/>
      <c r="R380" s="125"/>
      <c r="S380" s="125"/>
      <c r="T380" s="125"/>
      <c r="U380" s="125"/>
      <c r="V380" s="125"/>
    </row>
    <row r="381">
      <c r="A381" s="122" t="s">
        <v>2261</v>
      </c>
      <c r="B381" s="122" t="s">
        <v>2262</v>
      </c>
      <c r="C381" s="125">
        <v>0.0</v>
      </c>
      <c r="D381" s="125">
        <v>0.0</v>
      </c>
      <c r="E381" s="125">
        <v>0.0</v>
      </c>
      <c r="F381" s="125">
        <v>0.0</v>
      </c>
      <c r="G381" s="125">
        <v>0.0</v>
      </c>
      <c r="H381" s="125">
        <v>0.0</v>
      </c>
      <c r="I381" s="125">
        <v>0.0</v>
      </c>
      <c r="J381" s="125">
        <v>0.0</v>
      </c>
      <c r="K381" s="125">
        <v>0.0</v>
      </c>
      <c r="L381" s="125">
        <v>0.0</v>
      </c>
      <c r="M381" s="125">
        <v>0.0</v>
      </c>
      <c r="N381" s="125">
        <v>0.0</v>
      </c>
      <c r="O381" s="125"/>
      <c r="P381" s="125"/>
      <c r="Q381" s="125"/>
      <c r="R381" s="125"/>
      <c r="S381" s="125"/>
      <c r="T381" s="125"/>
      <c r="U381" s="125"/>
      <c r="V381" s="125"/>
    </row>
    <row r="382">
      <c r="A382" s="122" t="s">
        <v>1240</v>
      </c>
      <c r="B382" s="122" t="s">
        <v>2855</v>
      </c>
      <c r="C382" s="125">
        <v>1041220.0</v>
      </c>
      <c r="D382" s="125">
        <v>1041220.0</v>
      </c>
      <c r="E382" s="125">
        <v>78.0</v>
      </c>
      <c r="F382" s="125">
        <v>0.0</v>
      </c>
      <c r="G382" s="125">
        <v>680684.0</v>
      </c>
      <c r="H382" s="125">
        <v>360536.0</v>
      </c>
      <c r="I382" s="125" t="s">
        <v>2707</v>
      </c>
      <c r="J382" s="125">
        <v>395850.0</v>
      </c>
      <c r="K382" s="125">
        <v>39489.0</v>
      </c>
      <c r="L382" s="125">
        <v>508.0</v>
      </c>
      <c r="M382" s="125">
        <v>235764.0</v>
      </c>
      <c r="N382" s="125">
        <v>-9073.0</v>
      </c>
      <c r="O382" s="125"/>
      <c r="P382" s="125"/>
      <c r="Q382" s="125"/>
      <c r="R382" s="125"/>
      <c r="S382" s="125"/>
      <c r="T382" s="125"/>
      <c r="U382" s="125"/>
      <c r="V382" s="125"/>
    </row>
    <row r="383">
      <c r="A383" s="122" t="s">
        <v>1180</v>
      </c>
      <c r="B383" s="122" t="s">
        <v>2856</v>
      </c>
      <c r="C383" s="125">
        <v>1319402.0</v>
      </c>
      <c r="D383" s="125">
        <v>1315402.0</v>
      </c>
      <c r="E383" s="125">
        <v>131.0</v>
      </c>
      <c r="F383" s="125">
        <v>4000.0</v>
      </c>
      <c r="G383" s="125">
        <v>846104.0</v>
      </c>
      <c r="H383" s="125">
        <v>473298.0</v>
      </c>
      <c r="I383" s="125" t="s">
        <v>2857</v>
      </c>
      <c r="J383" s="125">
        <v>458200.0</v>
      </c>
      <c r="K383" s="125">
        <v>40666.0</v>
      </c>
      <c r="L383" s="125">
        <v>3849.0</v>
      </c>
      <c r="M383" s="125">
        <v>307668.0</v>
      </c>
      <c r="N383" s="125">
        <v>-35721.0</v>
      </c>
      <c r="O383" s="125"/>
      <c r="P383" s="125"/>
      <c r="Q383" s="125"/>
      <c r="R383" s="125"/>
      <c r="S383" s="125"/>
      <c r="T383" s="125"/>
      <c r="U383" s="125"/>
      <c r="V383" s="125"/>
    </row>
    <row r="384">
      <c r="A384" s="122" t="s">
        <v>1186</v>
      </c>
      <c r="B384" s="122" t="s">
        <v>2858</v>
      </c>
      <c r="C384" s="125">
        <v>3183246.0</v>
      </c>
      <c r="D384" s="125">
        <v>3183246.0</v>
      </c>
      <c r="E384" s="125">
        <v>332.0</v>
      </c>
      <c r="F384" s="125">
        <v>0.0</v>
      </c>
      <c r="G384" s="125">
        <v>2080131.0</v>
      </c>
      <c r="H384" s="125">
        <v>1103115.0</v>
      </c>
      <c r="I384" s="125" t="s">
        <v>2859</v>
      </c>
      <c r="J384" s="125">
        <v>1123900.0</v>
      </c>
      <c r="K384" s="125">
        <v>105413.0</v>
      </c>
      <c r="L384" s="125">
        <v>6326.0</v>
      </c>
      <c r="M384" s="125">
        <v>788506.0</v>
      </c>
      <c r="N384" s="125">
        <v>-55986.0</v>
      </c>
      <c r="O384" s="125"/>
      <c r="P384" s="125"/>
      <c r="Q384" s="125"/>
      <c r="R384" s="125"/>
      <c r="S384" s="125"/>
      <c r="T384" s="125"/>
      <c r="U384" s="125"/>
      <c r="V384" s="125"/>
    </row>
    <row r="385">
      <c r="A385" s="122" t="s">
        <v>1183</v>
      </c>
      <c r="B385" s="122" t="s">
        <v>2860</v>
      </c>
      <c r="C385" s="125">
        <v>2702400.0</v>
      </c>
      <c r="D385" s="125">
        <v>2702400.0</v>
      </c>
      <c r="E385" s="125">
        <v>78.0</v>
      </c>
      <c r="F385" s="125">
        <v>0.0</v>
      </c>
      <c r="G385" s="125">
        <v>2022263.0</v>
      </c>
      <c r="H385" s="125">
        <v>680137.0</v>
      </c>
      <c r="I385" s="125" t="s">
        <v>2861</v>
      </c>
      <c r="J385" s="125">
        <v>1112904.0</v>
      </c>
      <c r="K385" s="125">
        <v>184912.0</v>
      </c>
      <c r="L385" s="125">
        <v>2273.0</v>
      </c>
      <c r="M385" s="125">
        <v>434814.0</v>
      </c>
      <c r="N385" s="125">
        <v>-287360.0</v>
      </c>
      <c r="O385" s="125"/>
      <c r="P385" s="125"/>
      <c r="Q385" s="125"/>
      <c r="R385" s="125"/>
      <c r="S385" s="125"/>
      <c r="T385" s="125"/>
      <c r="U385" s="125"/>
      <c r="V385" s="125"/>
    </row>
    <row r="386">
      <c r="A386" s="122" t="s">
        <v>1246</v>
      </c>
      <c r="B386" s="122" t="s">
        <v>2862</v>
      </c>
      <c r="C386" s="125">
        <v>1721056.0</v>
      </c>
      <c r="D386" s="125">
        <v>1713056.0</v>
      </c>
      <c r="E386" s="125">
        <v>115.0</v>
      </c>
      <c r="F386" s="125">
        <v>8000.0</v>
      </c>
      <c r="G386" s="125">
        <v>1472767.0</v>
      </c>
      <c r="H386" s="125">
        <v>248289.0</v>
      </c>
      <c r="I386" s="125" t="s">
        <v>2863</v>
      </c>
      <c r="J386" s="125">
        <v>986125.0</v>
      </c>
      <c r="K386" s="125">
        <v>49002.0</v>
      </c>
      <c r="L386" s="125">
        <v>2849.0</v>
      </c>
      <c r="M386" s="125">
        <v>356585.0</v>
      </c>
      <c r="N386" s="125">
        <v>-78206.0</v>
      </c>
      <c r="O386" s="125"/>
      <c r="P386" s="125"/>
      <c r="Q386" s="125"/>
      <c r="R386" s="125"/>
      <c r="S386" s="125"/>
      <c r="T386" s="125"/>
      <c r="U386" s="125"/>
      <c r="V386" s="125"/>
    </row>
    <row r="387">
      <c r="A387" s="122" t="s">
        <v>1279</v>
      </c>
      <c r="B387" s="122" t="s">
        <v>1976</v>
      </c>
      <c r="C387" s="125">
        <v>1972683.0</v>
      </c>
      <c r="D387" s="125">
        <v>1972683.0</v>
      </c>
      <c r="E387" s="125">
        <v>107.0</v>
      </c>
      <c r="F387" s="125">
        <v>0.0</v>
      </c>
      <c r="G387" s="125">
        <v>1542480.0</v>
      </c>
      <c r="H387" s="125">
        <v>430203.0</v>
      </c>
      <c r="I387" s="125" t="s">
        <v>2864</v>
      </c>
      <c r="J387" s="125">
        <v>695714.0</v>
      </c>
      <c r="K387" s="125">
        <v>413025.0</v>
      </c>
      <c r="L387" s="125">
        <v>4692.0</v>
      </c>
      <c r="M387" s="125">
        <v>417263.0</v>
      </c>
      <c r="N387" s="125">
        <v>-11786.0</v>
      </c>
      <c r="O387" s="125"/>
      <c r="P387" s="125"/>
      <c r="Q387" s="125"/>
      <c r="R387" s="125"/>
      <c r="S387" s="125"/>
      <c r="T387" s="125"/>
      <c r="U387" s="125"/>
      <c r="V387" s="125"/>
    </row>
    <row r="388">
      <c r="A388" s="122" t="s">
        <v>1252</v>
      </c>
      <c r="B388" s="122" t="s">
        <v>1967</v>
      </c>
      <c r="C388" s="125">
        <v>747030.0</v>
      </c>
      <c r="D388" s="125">
        <v>747030.0</v>
      </c>
      <c r="E388" s="125">
        <v>97.0</v>
      </c>
      <c r="F388" s="125">
        <v>0.0</v>
      </c>
      <c r="G388" s="125">
        <v>494966.0</v>
      </c>
      <c r="H388" s="125">
        <v>252064.0</v>
      </c>
      <c r="I388" s="125" t="s">
        <v>2865</v>
      </c>
      <c r="J388" s="125">
        <v>217183.0</v>
      </c>
      <c r="K388" s="125">
        <v>81448.0</v>
      </c>
      <c r="L388" s="125">
        <v>737.0</v>
      </c>
      <c r="M388" s="125">
        <v>155182.0</v>
      </c>
      <c r="N388" s="125">
        <v>-40416.0</v>
      </c>
      <c r="O388" s="125"/>
      <c r="P388" s="125"/>
      <c r="Q388" s="125"/>
      <c r="R388" s="125"/>
      <c r="S388" s="125"/>
      <c r="T388" s="125"/>
      <c r="U388" s="125"/>
      <c r="V388" s="125"/>
    </row>
    <row r="389">
      <c r="A389" s="122" t="s">
        <v>1270</v>
      </c>
      <c r="B389" s="122" t="s">
        <v>1973</v>
      </c>
      <c r="C389" s="125">
        <v>5939572.0</v>
      </c>
      <c r="D389" s="125">
        <v>5933572.0</v>
      </c>
      <c r="E389" s="125">
        <v>203.0</v>
      </c>
      <c r="F389" s="125">
        <v>6000.0</v>
      </c>
      <c r="G389" s="125">
        <v>3959266.0</v>
      </c>
      <c r="H389" s="125">
        <v>1980306.0</v>
      </c>
      <c r="I389" s="125" t="s">
        <v>2866</v>
      </c>
      <c r="J389" s="125">
        <v>1963822.0</v>
      </c>
      <c r="K389" s="125">
        <v>432659.0</v>
      </c>
      <c r="L389" s="125">
        <v>7143.0</v>
      </c>
      <c r="M389" s="125">
        <v>948791.0</v>
      </c>
      <c r="N389" s="125">
        <v>-606851.0</v>
      </c>
      <c r="O389" s="125"/>
      <c r="P389" s="125"/>
      <c r="Q389" s="125"/>
      <c r="R389" s="125"/>
      <c r="S389" s="125"/>
      <c r="T389" s="125"/>
      <c r="U389" s="125"/>
      <c r="V389" s="125"/>
    </row>
    <row r="390">
      <c r="A390" s="122" t="s">
        <v>1273</v>
      </c>
      <c r="B390" s="122" t="s">
        <v>1974</v>
      </c>
      <c r="C390" s="125">
        <v>2.6354374E7</v>
      </c>
      <c r="D390" s="125">
        <v>2.6354374E7</v>
      </c>
      <c r="E390" s="125">
        <v>702.0</v>
      </c>
      <c r="F390" s="125">
        <v>0.0</v>
      </c>
      <c r="G390" s="125">
        <v>1.7665056E7</v>
      </c>
      <c r="H390" s="125">
        <v>8689318.0</v>
      </c>
      <c r="I390" s="125" t="s">
        <v>2867</v>
      </c>
      <c r="J390" s="125">
        <v>9291159.0</v>
      </c>
      <c r="K390" s="125">
        <v>1855162.0</v>
      </c>
      <c r="L390" s="125">
        <v>24095.0</v>
      </c>
      <c r="M390" s="125">
        <v>4208811.0</v>
      </c>
      <c r="N390" s="125">
        <v>-2285829.0</v>
      </c>
      <c r="O390" s="125"/>
      <c r="P390" s="125"/>
      <c r="Q390" s="125"/>
      <c r="R390" s="125"/>
      <c r="S390" s="125"/>
      <c r="T390" s="125"/>
      <c r="U390" s="125"/>
      <c r="V390" s="125"/>
    </row>
    <row r="391">
      <c r="A391" s="122" t="s">
        <v>1249</v>
      </c>
      <c r="B391" s="122" t="s">
        <v>2868</v>
      </c>
      <c r="C391" s="125">
        <v>5872244.0</v>
      </c>
      <c r="D391" s="125">
        <v>5872244.0</v>
      </c>
      <c r="E391" s="125">
        <v>399.0</v>
      </c>
      <c r="F391" s="125">
        <v>0.0</v>
      </c>
      <c r="G391" s="125">
        <v>3928222.0</v>
      </c>
      <c r="H391" s="125">
        <v>1944022.0</v>
      </c>
      <c r="I391" s="125" t="s">
        <v>2869</v>
      </c>
      <c r="J391" s="125">
        <v>2492952.0</v>
      </c>
      <c r="K391" s="125">
        <v>145685.0</v>
      </c>
      <c r="L391" s="125">
        <v>1892.0</v>
      </c>
      <c r="M391" s="125">
        <v>1212585.0</v>
      </c>
      <c r="N391" s="125">
        <v>-75108.0</v>
      </c>
      <c r="O391" s="125"/>
      <c r="P391" s="125"/>
      <c r="Q391" s="125"/>
      <c r="R391" s="125"/>
      <c r="S391" s="125"/>
      <c r="T391" s="125"/>
      <c r="U391" s="125"/>
      <c r="V391" s="125"/>
    </row>
    <row r="392">
      <c r="A392" s="122" t="s">
        <v>1243</v>
      </c>
      <c r="B392" s="122" t="s">
        <v>2870</v>
      </c>
      <c r="C392" s="125">
        <v>359640.0</v>
      </c>
      <c r="D392" s="125">
        <v>359640.0</v>
      </c>
      <c r="E392" s="125">
        <v>18.0</v>
      </c>
      <c r="F392" s="125">
        <v>0.0</v>
      </c>
      <c r="G392" s="125">
        <v>305086.0</v>
      </c>
      <c r="H392" s="125">
        <v>54554.0</v>
      </c>
      <c r="I392" s="125" t="s">
        <v>2871</v>
      </c>
      <c r="J392" s="125">
        <v>223758.0</v>
      </c>
      <c r="K392" s="125">
        <v>12680.0</v>
      </c>
      <c r="L392" s="125">
        <v>302.0</v>
      </c>
      <c r="M392" s="125">
        <v>68346.0</v>
      </c>
      <c r="N392" s="125">
        <v>0.0</v>
      </c>
      <c r="O392" s="125"/>
      <c r="P392" s="125"/>
      <c r="Q392" s="125"/>
      <c r="R392" s="125"/>
      <c r="S392" s="125"/>
      <c r="T392" s="125"/>
      <c r="U392" s="125"/>
      <c r="V392" s="125"/>
    </row>
    <row r="393">
      <c r="A393" s="122" t="s">
        <v>1267</v>
      </c>
      <c r="B393" s="122" t="s">
        <v>1972</v>
      </c>
      <c r="C393" s="125">
        <v>5233161.0</v>
      </c>
      <c r="D393" s="125">
        <v>5233161.0</v>
      </c>
      <c r="E393" s="125">
        <v>79.0</v>
      </c>
      <c r="F393" s="125">
        <v>0.0</v>
      </c>
      <c r="G393" s="125">
        <v>3770079.0</v>
      </c>
      <c r="H393" s="125">
        <v>1463082.0</v>
      </c>
      <c r="I393" s="125" t="s">
        <v>2872</v>
      </c>
      <c r="J393" s="125">
        <v>2015519.0</v>
      </c>
      <c r="K393" s="125">
        <v>527460.0</v>
      </c>
      <c r="L393" s="125">
        <v>1584.0</v>
      </c>
      <c r="M393" s="125">
        <v>732652.0</v>
      </c>
      <c r="N393" s="125">
        <v>-492864.0</v>
      </c>
      <c r="O393" s="125"/>
      <c r="P393" s="125"/>
      <c r="Q393" s="125"/>
      <c r="R393" s="125"/>
      <c r="S393" s="125"/>
      <c r="T393" s="125"/>
      <c r="U393" s="125"/>
      <c r="V393" s="125"/>
    </row>
    <row r="394">
      <c r="A394" s="122" t="s">
        <v>1255</v>
      </c>
      <c r="B394" s="122" t="s">
        <v>2873</v>
      </c>
      <c r="C394" s="125">
        <v>3563018.0</v>
      </c>
      <c r="D394" s="125">
        <v>3563018.0</v>
      </c>
      <c r="E394" s="125">
        <v>241.0</v>
      </c>
      <c r="F394" s="125">
        <v>0.0</v>
      </c>
      <c r="G394" s="125">
        <v>2747910.0</v>
      </c>
      <c r="H394" s="125">
        <v>815108.0</v>
      </c>
      <c r="I394" s="125" t="s">
        <v>2874</v>
      </c>
      <c r="J394" s="125">
        <v>1452932.0</v>
      </c>
      <c r="K394" s="125">
        <v>425552.0</v>
      </c>
      <c r="L394" s="125">
        <v>1125.0</v>
      </c>
      <c r="M394" s="125">
        <v>721785.0</v>
      </c>
      <c r="N394" s="125">
        <v>-146516.0</v>
      </c>
      <c r="O394" s="125"/>
      <c r="P394" s="125"/>
      <c r="Q394" s="125"/>
      <c r="R394" s="125"/>
      <c r="S394" s="125"/>
      <c r="T394" s="125"/>
      <c r="U394" s="125"/>
      <c r="V394" s="125"/>
    </row>
    <row r="395">
      <c r="A395" s="122" t="s">
        <v>1189</v>
      </c>
      <c r="B395" s="122" t="s">
        <v>2875</v>
      </c>
      <c r="C395" s="125">
        <v>3227962.0</v>
      </c>
      <c r="D395" s="125">
        <v>3227962.0</v>
      </c>
      <c r="E395" s="125">
        <v>299.0</v>
      </c>
      <c r="F395" s="125">
        <v>0.0</v>
      </c>
      <c r="G395" s="125">
        <v>2209112.0</v>
      </c>
      <c r="H395" s="125">
        <v>1018850.0</v>
      </c>
      <c r="I395" s="125" t="s">
        <v>2876</v>
      </c>
      <c r="J395" s="125">
        <v>1321580.0</v>
      </c>
      <c r="K395" s="125">
        <v>112163.0</v>
      </c>
      <c r="L395" s="125">
        <v>698.0</v>
      </c>
      <c r="M395" s="125">
        <v>728386.0</v>
      </c>
      <c r="N395" s="125">
        <v>-46285.0</v>
      </c>
      <c r="O395" s="125"/>
      <c r="P395" s="125"/>
      <c r="Q395" s="125"/>
      <c r="R395" s="125"/>
      <c r="S395" s="125"/>
      <c r="T395" s="125"/>
      <c r="U395" s="125"/>
      <c r="V395" s="125"/>
    </row>
    <row r="396">
      <c r="A396" s="122" t="s">
        <v>1192</v>
      </c>
      <c r="B396" s="122" t="s">
        <v>2877</v>
      </c>
      <c r="C396" s="125">
        <v>3720280.0</v>
      </c>
      <c r="D396" s="125">
        <v>3720280.0</v>
      </c>
      <c r="E396" s="125">
        <v>304.0</v>
      </c>
      <c r="F396" s="125">
        <v>0.0</v>
      </c>
      <c r="G396" s="125">
        <v>2856102.0</v>
      </c>
      <c r="H396" s="125">
        <v>864178.0</v>
      </c>
      <c r="I396" s="125" t="s">
        <v>2878</v>
      </c>
      <c r="J396" s="125">
        <v>1813664.0</v>
      </c>
      <c r="K396" s="125">
        <v>169913.0</v>
      </c>
      <c r="L396" s="125">
        <v>2472.0</v>
      </c>
      <c r="M396" s="125">
        <v>805217.0</v>
      </c>
      <c r="N396" s="125">
        <v>-64836.0</v>
      </c>
      <c r="O396" s="125"/>
      <c r="P396" s="125"/>
      <c r="Q396" s="125"/>
      <c r="R396" s="125"/>
      <c r="S396" s="125"/>
      <c r="T396" s="125"/>
      <c r="U396" s="125"/>
      <c r="V396" s="125"/>
    </row>
    <row r="397">
      <c r="A397" s="122" t="s">
        <v>1258</v>
      </c>
      <c r="B397" s="122" t="s">
        <v>2879</v>
      </c>
      <c r="C397" s="125">
        <v>669430.0</v>
      </c>
      <c r="D397" s="125">
        <v>669430.0</v>
      </c>
      <c r="E397" s="125">
        <v>57.0</v>
      </c>
      <c r="F397" s="125">
        <v>0.0</v>
      </c>
      <c r="G397" s="125">
        <v>486559.0</v>
      </c>
      <c r="H397" s="125">
        <v>182871.0</v>
      </c>
      <c r="I397" s="125" t="s">
        <v>2880</v>
      </c>
      <c r="J397" s="125">
        <v>279723.0</v>
      </c>
      <c r="K397" s="125">
        <v>26810.0</v>
      </c>
      <c r="L397" s="125">
        <v>768.0</v>
      </c>
      <c r="M397" s="125">
        <v>142724.0</v>
      </c>
      <c r="N397" s="125">
        <v>-36534.0</v>
      </c>
      <c r="O397" s="125"/>
      <c r="P397" s="125"/>
      <c r="Q397" s="125"/>
      <c r="R397" s="125"/>
      <c r="S397" s="125"/>
      <c r="T397" s="125"/>
      <c r="U397" s="125"/>
      <c r="V397" s="125"/>
    </row>
    <row r="398">
      <c r="A398" s="122" t="s">
        <v>1294</v>
      </c>
      <c r="B398" s="122" t="s">
        <v>1979</v>
      </c>
      <c r="C398" s="125">
        <v>4292788.0</v>
      </c>
      <c r="D398" s="125">
        <v>4207788.0</v>
      </c>
      <c r="E398" s="125">
        <v>286.0</v>
      </c>
      <c r="F398" s="125">
        <v>85000.0</v>
      </c>
      <c r="G398" s="125">
        <v>2650496.0</v>
      </c>
      <c r="H398" s="125">
        <v>1642292.0</v>
      </c>
      <c r="I398" s="125" t="s">
        <v>2881</v>
      </c>
      <c r="J398" s="125">
        <v>1582868.0</v>
      </c>
      <c r="K398" s="125">
        <v>128814.0</v>
      </c>
      <c r="L398" s="125">
        <v>9305.0</v>
      </c>
      <c r="M398" s="125">
        <v>847186.0</v>
      </c>
      <c r="N398" s="125">
        <v>-82323.0</v>
      </c>
      <c r="O398" s="125"/>
      <c r="P398" s="125"/>
      <c r="Q398" s="125"/>
      <c r="R398" s="125"/>
      <c r="S398" s="125"/>
      <c r="T398" s="125"/>
      <c r="U398" s="125"/>
      <c r="V398" s="125"/>
    </row>
    <row r="399">
      <c r="A399" s="122" t="s">
        <v>1300</v>
      </c>
      <c r="B399" s="122" t="s">
        <v>1981</v>
      </c>
      <c r="C399" s="125">
        <v>3883857.0</v>
      </c>
      <c r="D399" s="125">
        <v>3883857.0</v>
      </c>
      <c r="E399" s="125">
        <v>196.0</v>
      </c>
      <c r="F399" s="125">
        <v>0.0</v>
      </c>
      <c r="G399" s="125">
        <v>2655335.0</v>
      </c>
      <c r="H399" s="125">
        <v>1228522.0</v>
      </c>
      <c r="I399" s="125" t="s">
        <v>2882</v>
      </c>
      <c r="J399" s="125">
        <v>1672272.0</v>
      </c>
      <c r="K399" s="125">
        <v>154668.0</v>
      </c>
      <c r="L399" s="125">
        <v>4991.0</v>
      </c>
      <c r="M399" s="125">
        <v>800436.0</v>
      </c>
      <c r="N399" s="125">
        <v>-22968.0</v>
      </c>
      <c r="O399" s="125"/>
      <c r="P399" s="125"/>
      <c r="Q399" s="125"/>
      <c r="R399" s="125"/>
      <c r="S399" s="125"/>
      <c r="T399" s="125"/>
      <c r="U399" s="125"/>
      <c r="V399" s="125"/>
    </row>
    <row r="400">
      <c r="A400" s="122" t="s">
        <v>2267</v>
      </c>
      <c r="B400" s="122" t="s">
        <v>2268</v>
      </c>
      <c r="C400" s="125">
        <v>0.0</v>
      </c>
      <c r="D400" s="125">
        <v>0.0</v>
      </c>
      <c r="E400" s="125">
        <v>0.0</v>
      </c>
      <c r="F400" s="125">
        <v>0.0</v>
      </c>
      <c r="G400" s="125">
        <v>0.0</v>
      </c>
      <c r="H400" s="125">
        <v>0.0</v>
      </c>
      <c r="I400" s="125">
        <v>0.0</v>
      </c>
      <c r="J400" s="125">
        <v>0.0</v>
      </c>
      <c r="K400" s="125">
        <v>0.0</v>
      </c>
      <c r="L400" s="125">
        <v>0.0</v>
      </c>
      <c r="M400" s="125">
        <v>0.0</v>
      </c>
      <c r="N400" s="125">
        <v>0.0</v>
      </c>
      <c r="O400" s="125"/>
      <c r="P400" s="125"/>
      <c r="Q400" s="125"/>
      <c r="R400" s="125"/>
      <c r="S400" s="125"/>
      <c r="T400" s="125"/>
      <c r="U400" s="125"/>
      <c r="V400" s="125"/>
    </row>
    <row r="401">
      <c r="A401" s="122" t="s">
        <v>2269</v>
      </c>
      <c r="B401" s="122" t="s">
        <v>2270</v>
      </c>
      <c r="C401" s="125">
        <v>0.0</v>
      </c>
      <c r="D401" s="125">
        <v>0.0</v>
      </c>
      <c r="E401" s="125">
        <v>0.0</v>
      </c>
      <c r="F401" s="125">
        <v>0.0</v>
      </c>
      <c r="G401" s="125">
        <v>0.0</v>
      </c>
      <c r="H401" s="125">
        <v>0.0</v>
      </c>
      <c r="I401" s="125">
        <v>0.0</v>
      </c>
      <c r="J401" s="125">
        <v>0.0</v>
      </c>
      <c r="K401" s="125">
        <v>0.0</v>
      </c>
      <c r="L401" s="125">
        <v>0.0</v>
      </c>
      <c r="M401" s="125">
        <v>0.0</v>
      </c>
      <c r="N401" s="125">
        <v>0.0</v>
      </c>
      <c r="O401" s="125"/>
      <c r="P401" s="125"/>
      <c r="Q401" s="125"/>
      <c r="R401" s="125"/>
      <c r="S401" s="125"/>
      <c r="T401" s="125"/>
      <c r="U401" s="125"/>
      <c r="V401" s="125"/>
    </row>
    <row r="402">
      <c r="A402" s="122" t="s">
        <v>2271</v>
      </c>
      <c r="B402" s="122" t="s">
        <v>2272</v>
      </c>
      <c r="C402" s="125">
        <v>0.0</v>
      </c>
      <c r="D402" s="125">
        <v>0.0</v>
      </c>
      <c r="E402" s="125">
        <v>0.0</v>
      </c>
      <c r="F402" s="125">
        <v>0.0</v>
      </c>
      <c r="G402" s="125">
        <v>0.0</v>
      </c>
      <c r="H402" s="125">
        <v>0.0</v>
      </c>
      <c r="I402" s="125">
        <v>0.0</v>
      </c>
      <c r="J402" s="125">
        <v>0.0</v>
      </c>
      <c r="K402" s="125">
        <v>0.0</v>
      </c>
      <c r="L402" s="125">
        <v>0.0</v>
      </c>
      <c r="M402" s="125">
        <v>0.0</v>
      </c>
      <c r="N402" s="125">
        <v>0.0</v>
      </c>
      <c r="O402" s="125"/>
      <c r="P402" s="125"/>
      <c r="Q402" s="125"/>
      <c r="R402" s="125"/>
      <c r="S402" s="125"/>
      <c r="T402" s="125"/>
      <c r="U402" s="125"/>
      <c r="V402" s="125"/>
    </row>
    <row r="403">
      <c r="A403" s="122" t="s">
        <v>2273</v>
      </c>
      <c r="B403" s="122" t="s">
        <v>2193</v>
      </c>
      <c r="C403" s="125">
        <v>0.0</v>
      </c>
      <c r="D403" s="125">
        <v>0.0</v>
      </c>
      <c r="E403" s="125">
        <v>0.0</v>
      </c>
      <c r="F403" s="125">
        <v>0.0</v>
      </c>
      <c r="G403" s="125">
        <v>0.0</v>
      </c>
      <c r="H403" s="125">
        <v>0.0</v>
      </c>
      <c r="I403" s="125">
        <v>0.0</v>
      </c>
      <c r="J403" s="125">
        <v>0.0</v>
      </c>
      <c r="K403" s="125">
        <v>0.0</v>
      </c>
      <c r="L403" s="125">
        <v>0.0</v>
      </c>
      <c r="M403" s="125">
        <v>0.0</v>
      </c>
      <c r="N403" s="125">
        <v>0.0</v>
      </c>
      <c r="O403" s="125"/>
      <c r="P403" s="125"/>
      <c r="Q403" s="125"/>
      <c r="R403" s="125"/>
      <c r="S403" s="125"/>
      <c r="T403" s="125"/>
      <c r="U403" s="125"/>
      <c r="V403" s="125"/>
    </row>
    <row r="404">
      <c r="A404" s="122" t="s">
        <v>2274</v>
      </c>
      <c r="B404" s="122" t="s">
        <v>2275</v>
      </c>
      <c r="C404" s="125">
        <v>0.0</v>
      </c>
      <c r="D404" s="125">
        <v>0.0</v>
      </c>
      <c r="E404" s="125">
        <v>0.0</v>
      </c>
      <c r="F404" s="125">
        <v>0.0</v>
      </c>
      <c r="G404" s="125">
        <v>0.0</v>
      </c>
      <c r="H404" s="125">
        <v>0.0</v>
      </c>
      <c r="I404" s="125">
        <v>0.0</v>
      </c>
      <c r="J404" s="125">
        <v>0.0</v>
      </c>
      <c r="K404" s="125">
        <v>0.0</v>
      </c>
      <c r="L404" s="125">
        <v>0.0</v>
      </c>
      <c r="M404" s="125">
        <v>0.0</v>
      </c>
      <c r="N404" s="125">
        <v>0.0</v>
      </c>
      <c r="O404" s="125"/>
      <c r="P404" s="125"/>
      <c r="Q404" s="125"/>
      <c r="R404" s="125"/>
      <c r="S404" s="125"/>
      <c r="T404" s="125"/>
      <c r="U404" s="125"/>
      <c r="V404" s="125"/>
    </row>
    <row r="405">
      <c r="A405" s="122" t="s">
        <v>2276</v>
      </c>
      <c r="B405" s="122" t="s">
        <v>2199</v>
      </c>
      <c r="C405" s="125">
        <v>0.0</v>
      </c>
      <c r="D405" s="125">
        <v>0.0</v>
      </c>
      <c r="E405" s="125">
        <v>0.0</v>
      </c>
      <c r="F405" s="125">
        <v>0.0</v>
      </c>
      <c r="G405" s="125">
        <v>0.0</v>
      </c>
      <c r="H405" s="125">
        <v>0.0</v>
      </c>
      <c r="I405" s="125">
        <v>0.0</v>
      </c>
      <c r="J405" s="125">
        <v>0.0</v>
      </c>
      <c r="K405" s="125">
        <v>0.0</v>
      </c>
      <c r="L405" s="125">
        <v>0.0</v>
      </c>
      <c r="M405" s="125">
        <v>0.0</v>
      </c>
      <c r="N405" s="125">
        <v>0.0</v>
      </c>
      <c r="O405" s="125"/>
      <c r="P405" s="125"/>
      <c r="Q405" s="125"/>
      <c r="R405" s="125"/>
      <c r="S405" s="125"/>
      <c r="T405" s="125"/>
      <c r="U405" s="125"/>
      <c r="V405" s="125"/>
    </row>
    <row r="406">
      <c r="A406" s="122" t="s">
        <v>2277</v>
      </c>
      <c r="B406" s="122" t="s">
        <v>2199</v>
      </c>
      <c r="C406" s="125">
        <v>0.0</v>
      </c>
      <c r="D406" s="125">
        <v>0.0</v>
      </c>
      <c r="E406" s="125">
        <v>0.0</v>
      </c>
      <c r="F406" s="125">
        <v>0.0</v>
      </c>
      <c r="G406" s="125">
        <v>0.0</v>
      </c>
      <c r="H406" s="125">
        <v>0.0</v>
      </c>
      <c r="I406" s="125">
        <v>0.0</v>
      </c>
      <c r="J406" s="125">
        <v>0.0</v>
      </c>
      <c r="K406" s="125">
        <v>0.0</v>
      </c>
      <c r="L406" s="125">
        <v>0.0</v>
      </c>
      <c r="M406" s="125">
        <v>0.0</v>
      </c>
      <c r="N406" s="125">
        <v>0.0</v>
      </c>
      <c r="O406" s="125"/>
      <c r="P406" s="125"/>
      <c r="Q406" s="125"/>
      <c r="R406" s="125"/>
      <c r="S406" s="125"/>
      <c r="T406" s="125"/>
      <c r="U406" s="125"/>
      <c r="V406" s="125"/>
    </row>
    <row r="407">
      <c r="A407" s="122" t="s">
        <v>2278</v>
      </c>
      <c r="B407" s="122" t="s">
        <v>2279</v>
      </c>
      <c r="C407" s="125">
        <v>0.0</v>
      </c>
      <c r="D407" s="125">
        <v>0.0</v>
      </c>
      <c r="E407" s="125">
        <v>0.0</v>
      </c>
      <c r="F407" s="125">
        <v>0.0</v>
      </c>
      <c r="G407" s="125">
        <v>0.0</v>
      </c>
      <c r="H407" s="125">
        <v>0.0</v>
      </c>
      <c r="I407" s="125">
        <v>0.0</v>
      </c>
      <c r="J407" s="125">
        <v>0.0</v>
      </c>
      <c r="K407" s="125">
        <v>0.0</v>
      </c>
      <c r="L407" s="125">
        <v>0.0</v>
      </c>
      <c r="M407" s="125">
        <v>0.0</v>
      </c>
      <c r="N407" s="125">
        <v>0.0</v>
      </c>
      <c r="O407" s="125"/>
      <c r="P407" s="125"/>
      <c r="Q407" s="125"/>
      <c r="R407" s="125"/>
      <c r="S407" s="125"/>
      <c r="T407" s="125"/>
      <c r="U407" s="125"/>
      <c r="V407" s="125"/>
    </row>
    <row r="408">
      <c r="A408" s="122" t="s">
        <v>1297</v>
      </c>
      <c r="B408" s="122" t="s">
        <v>2883</v>
      </c>
      <c r="C408" s="125">
        <v>4175533.0</v>
      </c>
      <c r="D408" s="125">
        <v>4175533.0</v>
      </c>
      <c r="E408" s="125">
        <v>209.0</v>
      </c>
      <c r="F408" s="125">
        <v>0.0</v>
      </c>
      <c r="G408" s="125">
        <v>2835723.0</v>
      </c>
      <c r="H408" s="125">
        <v>1339810.0</v>
      </c>
      <c r="I408" s="125" t="s">
        <v>2772</v>
      </c>
      <c r="J408" s="125">
        <v>1771854.0</v>
      </c>
      <c r="K408" s="125">
        <v>110706.0</v>
      </c>
      <c r="L408" s="125">
        <v>3733.0</v>
      </c>
      <c r="M408" s="125">
        <v>847278.0</v>
      </c>
      <c r="N408" s="125">
        <v>-102152.0</v>
      </c>
      <c r="O408" s="125"/>
      <c r="P408" s="125"/>
      <c r="Q408" s="125"/>
      <c r="R408" s="125"/>
      <c r="S408" s="125"/>
      <c r="T408" s="125"/>
      <c r="U408" s="125"/>
      <c r="V408" s="125"/>
    </row>
    <row r="409">
      <c r="A409" s="122" t="s">
        <v>1303</v>
      </c>
      <c r="B409" s="122" t="s">
        <v>1982</v>
      </c>
      <c r="C409" s="125">
        <v>2288998.0</v>
      </c>
      <c r="D409" s="125">
        <v>2288998.0</v>
      </c>
      <c r="E409" s="125">
        <v>228.0</v>
      </c>
      <c r="F409" s="125">
        <v>0.0</v>
      </c>
      <c r="G409" s="125">
        <v>1531043.0</v>
      </c>
      <c r="H409" s="125">
        <v>757955.0</v>
      </c>
      <c r="I409" s="125" t="s">
        <v>2869</v>
      </c>
      <c r="J409" s="125">
        <v>838236.0</v>
      </c>
      <c r="K409" s="125">
        <v>53964.0</v>
      </c>
      <c r="L409" s="125">
        <v>1409.0</v>
      </c>
      <c r="M409" s="125">
        <v>466286.0</v>
      </c>
      <c r="N409" s="125">
        <v>-171148.0</v>
      </c>
      <c r="O409" s="125"/>
      <c r="P409" s="125"/>
      <c r="Q409" s="125"/>
      <c r="R409" s="125"/>
      <c r="S409" s="125"/>
      <c r="T409" s="125"/>
      <c r="U409" s="125"/>
      <c r="V409" s="125"/>
    </row>
    <row r="410">
      <c r="A410" s="122" t="s">
        <v>1306</v>
      </c>
      <c r="B410" s="122" t="s">
        <v>1983</v>
      </c>
      <c r="C410" s="125">
        <v>5224016.0</v>
      </c>
      <c r="D410" s="125">
        <v>5144016.0</v>
      </c>
      <c r="E410" s="125">
        <v>21.0</v>
      </c>
      <c r="F410" s="125">
        <v>80000.0</v>
      </c>
      <c r="G410" s="125">
        <v>3364750.0</v>
      </c>
      <c r="H410" s="125">
        <v>1859266.0</v>
      </c>
      <c r="I410" s="125" t="s">
        <v>2627</v>
      </c>
      <c r="J410" s="125">
        <v>1964277.0</v>
      </c>
      <c r="K410" s="125">
        <v>382150.0</v>
      </c>
      <c r="L410" s="125">
        <v>13020.0</v>
      </c>
      <c r="M410" s="125">
        <v>820840.0</v>
      </c>
      <c r="N410" s="125">
        <v>-184463.0</v>
      </c>
      <c r="O410" s="125"/>
      <c r="P410" s="125"/>
      <c r="Q410" s="125"/>
      <c r="R410" s="125"/>
      <c r="S410" s="125"/>
      <c r="T410" s="125"/>
      <c r="U410" s="125"/>
      <c r="V410" s="125"/>
    </row>
    <row r="411">
      <c r="A411" s="122" t="s">
        <v>2280</v>
      </c>
      <c r="B411" s="122" t="s">
        <v>2281</v>
      </c>
      <c r="C411" s="125">
        <v>0.0</v>
      </c>
      <c r="D411" s="125">
        <v>0.0</v>
      </c>
      <c r="E411" s="125">
        <v>0.0</v>
      </c>
      <c r="F411" s="125">
        <v>0.0</v>
      </c>
      <c r="G411" s="125">
        <v>151.0</v>
      </c>
      <c r="H411" s="125">
        <v>-151.0</v>
      </c>
      <c r="I411" s="125">
        <v>0.0</v>
      </c>
      <c r="J411" s="125">
        <v>0.0</v>
      </c>
      <c r="K411" s="125">
        <v>151.0</v>
      </c>
      <c r="L411" s="125">
        <v>0.0</v>
      </c>
      <c r="M411" s="125">
        <v>0.0</v>
      </c>
      <c r="N411" s="125">
        <v>0.0</v>
      </c>
      <c r="O411" s="125"/>
      <c r="P411" s="125"/>
      <c r="Q411" s="125"/>
      <c r="R411" s="125"/>
      <c r="S411" s="125"/>
      <c r="T411" s="125"/>
      <c r="U411" s="125"/>
      <c r="V411" s="125"/>
    </row>
    <row r="412">
      <c r="A412" s="122" t="s">
        <v>1165</v>
      </c>
      <c r="B412" s="122" t="s">
        <v>1940</v>
      </c>
      <c r="C412" s="125">
        <v>179980.0</v>
      </c>
      <c r="D412" s="125">
        <v>179980.0</v>
      </c>
      <c r="E412" s="125">
        <v>2.0</v>
      </c>
      <c r="F412" s="125">
        <v>0.0</v>
      </c>
      <c r="G412" s="125">
        <v>122388.0</v>
      </c>
      <c r="H412" s="125">
        <v>57592.0</v>
      </c>
      <c r="I412" s="125">
        <v>32.0</v>
      </c>
      <c r="J412" s="125">
        <v>65298.0</v>
      </c>
      <c r="K412" s="125">
        <v>15579.0</v>
      </c>
      <c r="L412" s="125">
        <v>240.0</v>
      </c>
      <c r="M412" s="125">
        <v>25198.0</v>
      </c>
      <c r="N412" s="125">
        <v>-16073.0</v>
      </c>
      <c r="O412" s="125"/>
      <c r="P412" s="125"/>
      <c r="Q412" s="125"/>
      <c r="R412" s="125"/>
      <c r="S412" s="125"/>
      <c r="T412" s="125"/>
      <c r="U412" s="125"/>
      <c r="V412" s="125"/>
    </row>
    <row r="413">
      <c r="A413" s="122" t="s">
        <v>1162</v>
      </c>
      <c r="B413" s="122" t="s">
        <v>1939</v>
      </c>
      <c r="C413" s="125">
        <v>442269.0</v>
      </c>
      <c r="D413" s="125">
        <v>442269.0</v>
      </c>
      <c r="E413" s="125">
        <v>5.0</v>
      </c>
      <c r="F413" s="125">
        <v>0.0</v>
      </c>
      <c r="G413" s="125">
        <v>328237.0</v>
      </c>
      <c r="H413" s="125">
        <v>114032.0</v>
      </c>
      <c r="I413" s="125" t="s">
        <v>2884</v>
      </c>
      <c r="J413" s="125">
        <v>183045.0</v>
      </c>
      <c r="K413" s="125">
        <v>45697.0</v>
      </c>
      <c r="L413" s="125">
        <v>6840.0</v>
      </c>
      <c r="M413" s="125">
        <v>62819.0</v>
      </c>
      <c r="N413" s="125">
        <v>-29836.0</v>
      </c>
      <c r="O413" s="125"/>
      <c r="P413" s="125"/>
      <c r="Q413" s="125"/>
      <c r="R413" s="125"/>
      <c r="S413" s="125"/>
      <c r="T413" s="125"/>
      <c r="U413" s="125"/>
      <c r="V413" s="125"/>
    </row>
    <row r="414">
      <c r="A414" s="122" t="s">
        <v>1216</v>
      </c>
      <c r="B414" s="122" t="s">
        <v>1957</v>
      </c>
      <c r="C414" s="125">
        <v>3613246.0</v>
      </c>
      <c r="D414" s="125">
        <v>3613246.0</v>
      </c>
      <c r="E414" s="125">
        <v>452.0</v>
      </c>
      <c r="F414" s="125">
        <v>0.0</v>
      </c>
      <c r="G414" s="125">
        <v>1744378.0</v>
      </c>
      <c r="H414" s="125">
        <v>1868868.0</v>
      </c>
      <c r="I414" s="125" t="s">
        <v>2885</v>
      </c>
      <c r="J414" s="125">
        <v>809222.0</v>
      </c>
      <c r="K414" s="125">
        <v>113520.0</v>
      </c>
      <c r="L414" s="125">
        <v>6975.0</v>
      </c>
      <c r="M414" s="125">
        <v>751955.0</v>
      </c>
      <c r="N414" s="125">
        <v>-62706.0</v>
      </c>
      <c r="O414" s="125"/>
      <c r="P414" s="125"/>
      <c r="Q414" s="125"/>
      <c r="R414" s="125"/>
      <c r="S414" s="125"/>
      <c r="T414" s="125"/>
      <c r="U414" s="125"/>
      <c r="V414" s="125"/>
    </row>
    <row r="415">
      <c r="A415" s="122" t="s">
        <v>1213</v>
      </c>
      <c r="B415" s="122" t="s">
        <v>1956</v>
      </c>
      <c r="C415" s="125">
        <v>514530.0</v>
      </c>
      <c r="D415" s="125">
        <v>513530.0</v>
      </c>
      <c r="E415" s="125">
        <v>47.0</v>
      </c>
      <c r="F415" s="125">
        <v>1000.0</v>
      </c>
      <c r="G415" s="125">
        <v>263433.0</v>
      </c>
      <c r="H415" s="125">
        <v>251097.0</v>
      </c>
      <c r="I415" s="125" t="s">
        <v>2886</v>
      </c>
      <c r="J415" s="125">
        <v>122435.0</v>
      </c>
      <c r="K415" s="125">
        <v>18510.0</v>
      </c>
      <c r="L415" s="125">
        <v>681.0</v>
      </c>
      <c r="M415" s="125">
        <v>101855.0</v>
      </c>
      <c r="N415" s="125">
        <v>-19952.0</v>
      </c>
      <c r="O415" s="125"/>
      <c r="P415" s="125"/>
      <c r="Q415" s="125"/>
      <c r="R415" s="125"/>
      <c r="S415" s="125"/>
      <c r="T415" s="125"/>
      <c r="U415" s="125"/>
      <c r="V415" s="125"/>
    </row>
    <row r="416">
      <c r="A416" s="122" t="s">
        <v>1210</v>
      </c>
      <c r="B416" s="122" t="s">
        <v>1955</v>
      </c>
      <c r="C416" s="125">
        <v>166810.0</v>
      </c>
      <c r="D416" s="125">
        <v>166810.0</v>
      </c>
      <c r="E416" s="125">
        <v>19.0</v>
      </c>
      <c r="F416" s="125">
        <v>0.0</v>
      </c>
      <c r="G416" s="125">
        <v>99597.0</v>
      </c>
      <c r="H416" s="125">
        <v>67213.0</v>
      </c>
      <c r="I416" s="125" t="s">
        <v>2887</v>
      </c>
      <c r="J416" s="125">
        <v>33782.0</v>
      </c>
      <c r="K416" s="125">
        <v>21998.0</v>
      </c>
      <c r="L416" s="125">
        <v>616.0</v>
      </c>
      <c r="M416" s="125">
        <v>29661.0</v>
      </c>
      <c r="N416" s="125">
        <v>-13540.0</v>
      </c>
      <c r="O416" s="125"/>
      <c r="P416" s="125"/>
      <c r="Q416" s="125"/>
      <c r="R416" s="125"/>
      <c r="S416" s="125"/>
      <c r="T416" s="125"/>
      <c r="U416" s="125"/>
      <c r="V416" s="125"/>
    </row>
    <row r="417">
      <c r="A417" s="122" t="s">
        <v>2263</v>
      </c>
      <c r="B417" s="122" t="s">
        <v>2264</v>
      </c>
      <c r="C417" s="125">
        <v>0.0</v>
      </c>
      <c r="D417" s="125">
        <v>0.0</v>
      </c>
      <c r="E417" s="125">
        <v>0.0</v>
      </c>
      <c r="F417" s="125">
        <v>0.0</v>
      </c>
      <c r="G417" s="125">
        <v>0.0</v>
      </c>
      <c r="H417" s="125">
        <v>0.0</v>
      </c>
      <c r="I417" s="125">
        <v>0.0</v>
      </c>
      <c r="J417" s="125">
        <v>0.0</v>
      </c>
      <c r="K417" s="125">
        <v>0.0</v>
      </c>
      <c r="L417" s="125">
        <v>0.0</v>
      </c>
      <c r="M417" s="125">
        <v>0.0</v>
      </c>
      <c r="N417" s="125">
        <v>0.0</v>
      </c>
      <c r="O417" s="125"/>
      <c r="P417" s="125"/>
      <c r="Q417" s="125"/>
      <c r="R417" s="125"/>
      <c r="S417" s="125"/>
      <c r="T417" s="125"/>
      <c r="U417" s="125"/>
      <c r="V417" s="125"/>
    </row>
    <row r="418">
      <c r="A418" s="122" t="s">
        <v>1174</v>
      </c>
      <c r="B418" s="122" t="s">
        <v>2888</v>
      </c>
      <c r="C418" s="125">
        <v>8965818.0</v>
      </c>
      <c r="D418" s="125">
        <v>8947818.0</v>
      </c>
      <c r="E418" s="125">
        <v>147.0</v>
      </c>
      <c r="F418" s="125">
        <v>18000.0</v>
      </c>
      <c r="G418" s="125">
        <v>6580908.0</v>
      </c>
      <c r="H418" s="125">
        <v>2384910.0</v>
      </c>
      <c r="I418" s="125" t="s">
        <v>2889</v>
      </c>
      <c r="J418" s="125">
        <v>4258455.0</v>
      </c>
      <c r="K418" s="125">
        <v>335625.0</v>
      </c>
      <c r="L418" s="125">
        <v>1225.0</v>
      </c>
      <c r="M418" s="125">
        <v>1340056.0</v>
      </c>
      <c r="N418" s="125">
        <v>-645547.0</v>
      </c>
      <c r="O418" s="125"/>
      <c r="P418" s="125"/>
      <c r="Q418" s="125"/>
      <c r="R418" s="125"/>
      <c r="S418" s="125"/>
      <c r="T418" s="125"/>
      <c r="U418" s="125"/>
      <c r="V418" s="125"/>
    </row>
    <row r="419">
      <c r="A419" s="122" t="s">
        <v>1171</v>
      </c>
      <c r="B419" s="122" t="s">
        <v>1942</v>
      </c>
      <c r="C419" s="125">
        <v>261918.0</v>
      </c>
      <c r="D419" s="125">
        <v>261918.0</v>
      </c>
      <c r="E419" s="125">
        <v>4.0</v>
      </c>
      <c r="F419" s="125">
        <v>0.0</v>
      </c>
      <c r="G419" s="125">
        <v>207689.0</v>
      </c>
      <c r="H419" s="125">
        <v>54229.0</v>
      </c>
      <c r="I419" s="125" t="s">
        <v>2890</v>
      </c>
      <c r="J419" s="125">
        <v>137475.0</v>
      </c>
      <c r="K419" s="125">
        <v>11553.0</v>
      </c>
      <c r="L419" s="125">
        <v>543.0</v>
      </c>
      <c r="M419" s="125">
        <v>40588.0</v>
      </c>
      <c r="N419" s="125">
        <v>-17530.0</v>
      </c>
      <c r="O419" s="125"/>
      <c r="P419" s="125"/>
      <c r="Q419" s="125"/>
      <c r="R419" s="125"/>
      <c r="S419" s="125"/>
      <c r="T419" s="125"/>
      <c r="U419" s="125"/>
      <c r="V419" s="125"/>
    </row>
    <row r="420">
      <c r="A420" s="122" t="s">
        <v>1156</v>
      </c>
      <c r="B420" s="122" t="s">
        <v>2891</v>
      </c>
      <c r="C420" s="125">
        <v>0.0</v>
      </c>
      <c r="D420" s="125">
        <v>0.0</v>
      </c>
      <c r="E420" s="125">
        <v>0.0</v>
      </c>
      <c r="F420" s="125">
        <v>0.0</v>
      </c>
      <c r="G420" s="125">
        <v>0.0</v>
      </c>
      <c r="H420" s="125">
        <v>0.0</v>
      </c>
      <c r="I420" s="125">
        <v>0.0</v>
      </c>
      <c r="J420" s="125">
        <v>0.0</v>
      </c>
      <c r="K420" s="125">
        <v>0.0</v>
      </c>
      <c r="L420" s="125">
        <v>0.0</v>
      </c>
      <c r="M420" s="125">
        <v>0.0</v>
      </c>
      <c r="N420" s="125">
        <v>0.0</v>
      </c>
      <c r="O420" s="125"/>
      <c r="P420" s="125"/>
      <c r="Q420" s="125"/>
      <c r="R420" s="125"/>
      <c r="S420" s="125"/>
      <c r="T420" s="125"/>
      <c r="U420" s="125"/>
      <c r="V420" s="125"/>
    </row>
    <row r="421">
      <c r="A421" s="122" t="s">
        <v>1177</v>
      </c>
      <c r="B421" s="122" t="s">
        <v>1944</v>
      </c>
      <c r="C421" s="125">
        <v>889108.0</v>
      </c>
      <c r="D421" s="125">
        <v>889108.0</v>
      </c>
      <c r="E421" s="125">
        <v>111.0</v>
      </c>
      <c r="F421" s="125">
        <v>0.0</v>
      </c>
      <c r="G421" s="125">
        <v>537858.0</v>
      </c>
      <c r="H421" s="125">
        <v>351250.0</v>
      </c>
      <c r="I421" s="125" t="s">
        <v>2892</v>
      </c>
      <c r="J421" s="125">
        <v>284049.0</v>
      </c>
      <c r="K421" s="125">
        <v>26563.0</v>
      </c>
      <c r="L421" s="125">
        <v>2093.0</v>
      </c>
      <c r="M421" s="125">
        <v>205801.0</v>
      </c>
      <c r="N421" s="125">
        <v>-19352.0</v>
      </c>
      <c r="O421" s="125"/>
      <c r="P421" s="125"/>
      <c r="Q421" s="125"/>
      <c r="R421" s="125"/>
      <c r="S421" s="125"/>
      <c r="T421" s="125"/>
      <c r="U421" s="125"/>
      <c r="V421" s="125"/>
    </row>
    <row r="422">
      <c r="A422" s="122" t="s">
        <v>1168</v>
      </c>
      <c r="B422" s="122" t="s">
        <v>1941</v>
      </c>
      <c r="C422" s="125">
        <v>0.0</v>
      </c>
      <c r="D422" s="125">
        <v>0.0</v>
      </c>
      <c r="E422" s="125">
        <v>0.0</v>
      </c>
      <c r="F422" s="125">
        <v>0.0</v>
      </c>
      <c r="G422" s="125">
        <v>0.0</v>
      </c>
      <c r="H422" s="125">
        <v>0.0</v>
      </c>
      <c r="I422" s="125">
        <v>0.0</v>
      </c>
      <c r="J422" s="125">
        <v>0.0</v>
      </c>
      <c r="K422" s="125">
        <v>0.0</v>
      </c>
      <c r="L422" s="125">
        <v>0.0</v>
      </c>
      <c r="M422" s="125">
        <v>0.0</v>
      </c>
      <c r="N422" s="125">
        <v>0.0</v>
      </c>
      <c r="O422" s="125"/>
      <c r="P422" s="125"/>
      <c r="Q422" s="125"/>
      <c r="R422" s="125"/>
      <c r="S422" s="125"/>
      <c r="T422" s="125"/>
      <c r="U422" s="125"/>
      <c r="V422" s="125"/>
    </row>
    <row r="423">
      <c r="A423" s="122" t="s">
        <v>1261</v>
      </c>
      <c r="B423" s="122" t="s">
        <v>1970</v>
      </c>
      <c r="C423" s="125">
        <v>4309008.0</v>
      </c>
      <c r="D423" s="125">
        <v>4269008.0</v>
      </c>
      <c r="E423" s="125">
        <v>27.0</v>
      </c>
      <c r="F423" s="125">
        <v>40000.0</v>
      </c>
      <c r="G423" s="125">
        <v>2898548.0</v>
      </c>
      <c r="H423" s="125">
        <v>1410460.0</v>
      </c>
      <c r="I423" s="125" t="s">
        <v>2629</v>
      </c>
      <c r="J423" s="125">
        <v>2184597.0</v>
      </c>
      <c r="K423" s="125">
        <v>88265.0</v>
      </c>
      <c r="L423" s="125">
        <v>790.0</v>
      </c>
      <c r="M423" s="125">
        <v>532315.0</v>
      </c>
      <c r="N423" s="125">
        <v>-92581.0</v>
      </c>
      <c r="O423" s="125"/>
      <c r="P423" s="125"/>
      <c r="Q423" s="125"/>
      <c r="R423" s="125"/>
      <c r="S423" s="125"/>
      <c r="T423" s="125"/>
      <c r="U423" s="125"/>
      <c r="V423" s="125"/>
    </row>
    <row r="424">
      <c r="A424" s="122" t="s">
        <v>1231</v>
      </c>
      <c r="B424" s="122" t="s">
        <v>1962</v>
      </c>
      <c r="C424" s="125">
        <v>28588.0</v>
      </c>
      <c r="D424" s="125">
        <v>28588.0</v>
      </c>
      <c r="E424" s="125">
        <v>3.0</v>
      </c>
      <c r="F424" s="125">
        <v>0.0</v>
      </c>
      <c r="G424" s="125">
        <v>41158.0</v>
      </c>
      <c r="H424" s="125">
        <v>-12570.0</v>
      </c>
      <c r="I424" s="125" t="s">
        <v>2893</v>
      </c>
      <c r="J424" s="125">
        <v>8549.0</v>
      </c>
      <c r="K424" s="125">
        <v>23727.0</v>
      </c>
      <c r="L424" s="125">
        <v>392.0</v>
      </c>
      <c r="M424" s="125">
        <v>6703.0</v>
      </c>
      <c r="N424" s="125">
        <v>-1787.0</v>
      </c>
      <c r="O424" s="125"/>
      <c r="P424" s="125"/>
      <c r="Q424" s="125"/>
      <c r="R424" s="125"/>
      <c r="S424" s="125"/>
      <c r="T424" s="125"/>
      <c r="U424" s="125"/>
      <c r="V424" s="125"/>
    </row>
    <row r="425">
      <c r="A425" s="122" t="s">
        <v>1159</v>
      </c>
      <c r="B425" s="122" t="s">
        <v>1938</v>
      </c>
      <c r="C425" s="125">
        <v>67960.0</v>
      </c>
      <c r="D425" s="125">
        <v>67960.0</v>
      </c>
      <c r="E425" s="125">
        <v>4.0</v>
      </c>
      <c r="F425" s="125">
        <v>0.0</v>
      </c>
      <c r="G425" s="125">
        <v>48893.0</v>
      </c>
      <c r="H425" s="125">
        <v>19067.0</v>
      </c>
      <c r="I425" s="125" t="s">
        <v>2894</v>
      </c>
      <c r="J425" s="125">
        <v>31968.0</v>
      </c>
      <c r="K425" s="125">
        <v>2053.0</v>
      </c>
      <c r="L425" s="125">
        <v>0.0</v>
      </c>
      <c r="M425" s="125">
        <v>13872.0</v>
      </c>
      <c r="N425" s="125">
        <v>-1000.0</v>
      </c>
      <c r="O425" s="125"/>
      <c r="P425" s="125"/>
      <c r="Q425" s="125"/>
      <c r="R425" s="125"/>
      <c r="S425" s="125"/>
      <c r="T425" s="125"/>
      <c r="U425" s="125"/>
      <c r="V425" s="125"/>
    </row>
    <row r="426">
      <c r="A426" s="122" t="s">
        <v>1264</v>
      </c>
      <c r="B426" s="122" t="s">
        <v>1971</v>
      </c>
      <c r="C426" s="125">
        <v>2010320.0</v>
      </c>
      <c r="D426" s="125">
        <v>2010320.0</v>
      </c>
      <c r="E426" s="125">
        <v>68.0</v>
      </c>
      <c r="F426" s="125">
        <v>0.0</v>
      </c>
      <c r="G426" s="125">
        <v>1507540.0</v>
      </c>
      <c r="H426" s="125">
        <v>502780.0</v>
      </c>
      <c r="I426" s="125" t="s">
        <v>2895</v>
      </c>
      <c r="J426" s="125">
        <v>938400.0</v>
      </c>
      <c r="K426" s="125">
        <v>106535.0</v>
      </c>
      <c r="L426" s="125">
        <v>1406.0</v>
      </c>
      <c r="M426" s="125">
        <v>275094.0</v>
      </c>
      <c r="N426" s="125">
        <v>-186105.0</v>
      </c>
      <c r="O426" s="125"/>
      <c r="P426" s="125"/>
      <c r="Q426" s="125"/>
      <c r="R426" s="125"/>
      <c r="S426" s="125"/>
      <c r="T426" s="125"/>
      <c r="U426" s="125"/>
      <c r="V426" s="125"/>
    </row>
    <row r="427">
      <c r="A427" s="122" t="s">
        <v>2265</v>
      </c>
      <c r="B427" s="122" t="s">
        <v>2266</v>
      </c>
      <c r="C427" s="125">
        <v>0.0</v>
      </c>
      <c r="D427" s="125">
        <v>0.0</v>
      </c>
      <c r="E427" s="125">
        <v>0.0</v>
      </c>
      <c r="F427" s="125">
        <v>0.0</v>
      </c>
      <c r="G427" s="125">
        <v>0.0</v>
      </c>
      <c r="H427" s="125">
        <v>0.0</v>
      </c>
      <c r="I427" s="125">
        <v>0.0</v>
      </c>
      <c r="J427" s="125">
        <v>0.0</v>
      </c>
      <c r="K427" s="125">
        <v>0.0</v>
      </c>
      <c r="L427" s="125">
        <v>0.0</v>
      </c>
      <c r="M427" s="125">
        <v>0.0</v>
      </c>
      <c r="N427" s="125">
        <v>0.0</v>
      </c>
      <c r="O427" s="125"/>
      <c r="P427" s="125"/>
      <c r="Q427" s="125"/>
      <c r="R427" s="125"/>
      <c r="S427" s="125"/>
      <c r="T427" s="125"/>
      <c r="U427" s="125"/>
      <c r="V427" s="125"/>
    </row>
    <row r="428">
      <c r="A428" s="122" t="s">
        <v>1333</v>
      </c>
      <c r="B428" s="122" t="s">
        <v>1989</v>
      </c>
      <c r="C428" s="125">
        <v>5920036.0</v>
      </c>
      <c r="D428" s="125">
        <v>5920036.0</v>
      </c>
      <c r="E428" s="125">
        <v>425.0</v>
      </c>
      <c r="F428" s="125">
        <v>0.0</v>
      </c>
      <c r="G428" s="125">
        <v>4014526.0</v>
      </c>
      <c r="H428" s="125">
        <v>1905510.0</v>
      </c>
      <c r="I428" s="125" t="s">
        <v>2896</v>
      </c>
      <c r="J428" s="125">
        <v>2413240.0</v>
      </c>
      <c r="K428" s="125">
        <v>246882.0</v>
      </c>
      <c r="L428" s="125">
        <v>5661.0</v>
      </c>
      <c r="M428" s="125">
        <v>1306985.0</v>
      </c>
      <c r="N428" s="125">
        <v>-41758.0</v>
      </c>
      <c r="O428" s="125"/>
      <c r="P428" s="125"/>
      <c r="Q428" s="125"/>
      <c r="R428" s="125"/>
      <c r="S428" s="125"/>
      <c r="T428" s="125"/>
      <c r="U428" s="125"/>
      <c r="V428" s="125"/>
    </row>
    <row r="429">
      <c r="A429" s="122" t="s">
        <v>1312</v>
      </c>
      <c r="B429" s="122" t="s">
        <v>1985</v>
      </c>
      <c r="C429" s="125">
        <v>843110.0</v>
      </c>
      <c r="D429" s="125">
        <v>843110.0</v>
      </c>
      <c r="E429" s="125">
        <v>89.0</v>
      </c>
      <c r="F429" s="125">
        <v>0.0</v>
      </c>
      <c r="G429" s="125">
        <v>659251.0</v>
      </c>
      <c r="H429" s="125">
        <v>183859.0</v>
      </c>
      <c r="I429" s="125" t="s">
        <v>2864</v>
      </c>
      <c r="J429" s="125">
        <v>292009.0</v>
      </c>
      <c r="K429" s="125">
        <v>158301.0</v>
      </c>
      <c r="L429" s="125">
        <v>3346.0</v>
      </c>
      <c r="M429" s="125">
        <v>186165.0</v>
      </c>
      <c r="N429" s="125">
        <v>-19430.0</v>
      </c>
      <c r="O429" s="125"/>
      <c r="P429" s="125"/>
      <c r="Q429" s="125"/>
      <c r="R429" s="125"/>
      <c r="S429" s="125"/>
      <c r="T429" s="125"/>
      <c r="U429" s="125"/>
      <c r="V429" s="125"/>
    </row>
    <row r="430">
      <c r="A430" s="122" t="s">
        <v>1291</v>
      </c>
      <c r="B430" s="122" t="s">
        <v>2897</v>
      </c>
      <c r="C430" s="125">
        <v>6151170.0</v>
      </c>
      <c r="D430" s="125">
        <v>6151170.0</v>
      </c>
      <c r="E430" s="125">
        <v>483.0</v>
      </c>
      <c r="F430" s="125">
        <v>0.0</v>
      </c>
      <c r="G430" s="125">
        <v>3959587.0</v>
      </c>
      <c r="H430" s="125">
        <v>2191583.0</v>
      </c>
      <c r="I430" s="125" t="s">
        <v>2898</v>
      </c>
      <c r="J430" s="125">
        <v>2287354.0</v>
      </c>
      <c r="K430" s="125">
        <v>225773.0</v>
      </c>
      <c r="L430" s="125">
        <v>4071.0</v>
      </c>
      <c r="M430" s="125">
        <v>1385530.0</v>
      </c>
      <c r="N430" s="125">
        <v>-56859.0</v>
      </c>
      <c r="O430" s="125"/>
      <c r="P430" s="125"/>
      <c r="Q430" s="125"/>
      <c r="R430" s="125"/>
      <c r="S430" s="125"/>
      <c r="T430" s="125"/>
      <c r="U430" s="125"/>
      <c r="V430" s="125"/>
    </row>
    <row r="431">
      <c r="A431" s="122" t="s">
        <v>1321</v>
      </c>
      <c r="B431" s="122" t="s">
        <v>2899</v>
      </c>
      <c r="C431" s="125">
        <v>7679761.0</v>
      </c>
      <c r="D431" s="125">
        <v>7601761.0</v>
      </c>
      <c r="E431" s="125">
        <v>322.0</v>
      </c>
      <c r="F431" s="125">
        <v>78000.0</v>
      </c>
      <c r="G431" s="125">
        <v>4889678.0</v>
      </c>
      <c r="H431" s="125">
        <v>2790083.0</v>
      </c>
      <c r="I431" s="125" t="s">
        <v>2900</v>
      </c>
      <c r="J431" s="125">
        <v>2387375.0</v>
      </c>
      <c r="K431" s="125">
        <v>403749.0</v>
      </c>
      <c r="L431" s="125">
        <v>4482.0</v>
      </c>
      <c r="M431" s="125">
        <v>1267441.0</v>
      </c>
      <c r="N431" s="125">
        <v>-826631.0</v>
      </c>
      <c r="O431" s="125"/>
      <c r="P431" s="125"/>
      <c r="Q431" s="125"/>
      <c r="R431" s="125"/>
      <c r="S431" s="125"/>
      <c r="T431" s="125"/>
      <c r="U431" s="125"/>
      <c r="V431" s="125"/>
    </row>
    <row r="432">
      <c r="A432" s="122" t="s">
        <v>1288</v>
      </c>
      <c r="B432" s="122" t="s">
        <v>2901</v>
      </c>
      <c r="C432" s="125">
        <v>1171969.0</v>
      </c>
      <c r="D432" s="125">
        <v>1171969.0</v>
      </c>
      <c r="E432" s="125">
        <v>59.0</v>
      </c>
      <c r="F432" s="125">
        <v>0.0</v>
      </c>
      <c r="G432" s="125">
        <v>898432.0</v>
      </c>
      <c r="H432" s="125">
        <v>273537.0</v>
      </c>
      <c r="I432" s="125" t="s">
        <v>2902</v>
      </c>
      <c r="J432" s="125">
        <v>608821.0</v>
      </c>
      <c r="K432" s="125">
        <v>30313.0</v>
      </c>
      <c r="L432" s="125">
        <v>3209.0</v>
      </c>
      <c r="M432" s="125">
        <v>241510.0</v>
      </c>
      <c r="N432" s="125">
        <v>-14579.0</v>
      </c>
      <c r="O432" s="125"/>
      <c r="P432" s="125"/>
      <c r="Q432" s="125"/>
      <c r="R432" s="125"/>
      <c r="S432" s="125"/>
      <c r="T432" s="125"/>
      <c r="U432" s="125"/>
      <c r="V432" s="125"/>
    </row>
    <row r="433">
      <c r="A433" s="122" t="s">
        <v>1318</v>
      </c>
      <c r="B433" s="122" t="s">
        <v>2903</v>
      </c>
      <c r="C433" s="125">
        <v>1519958.0</v>
      </c>
      <c r="D433" s="125">
        <v>1519958.0</v>
      </c>
      <c r="E433" s="125">
        <v>93.0</v>
      </c>
      <c r="F433" s="125">
        <v>0.0</v>
      </c>
      <c r="G433" s="125">
        <v>1127442.0</v>
      </c>
      <c r="H433" s="125">
        <v>392516.0</v>
      </c>
      <c r="I433" s="125" t="s">
        <v>2904</v>
      </c>
      <c r="J433" s="125">
        <v>736560.0</v>
      </c>
      <c r="K433" s="125">
        <v>66357.0</v>
      </c>
      <c r="L433" s="125">
        <v>3865.0</v>
      </c>
      <c r="M433" s="125">
        <v>288364.0</v>
      </c>
      <c r="N433" s="125">
        <v>-32296.0</v>
      </c>
      <c r="O433" s="125"/>
      <c r="P433" s="125"/>
      <c r="Q433" s="125"/>
      <c r="R433" s="125"/>
      <c r="S433" s="125"/>
      <c r="T433" s="125"/>
      <c r="U433" s="125"/>
      <c r="V433" s="125"/>
    </row>
    <row r="434">
      <c r="A434" s="122" t="s">
        <v>1309</v>
      </c>
      <c r="B434" s="122" t="s">
        <v>2905</v>
      </c>
      <c r="C434" s="125">
        <v>1144930.0</v>
      </c>
      <c r="D434" s="125">
        <v>1144930.0</v>
      </c>
      <c r="E434" s="125">
        <v>111.0</v>
      </c>
      <c r="F434" s="125">
        <v>0.0</v>
      </c>
      <c r="G434" s="125">
        <v>958307.0</v>
      </c>
      <c r="H434" s="125">
        <v>186623.0</v>
      </c>
      <c r="I434" s="125" t="s">
        <v>2906</v>
      </c>
      <c r="J434" s="125">
        <v>541236.0</v>
      </c>
      <c r="K434" s="125">
        <v>116120.0</v>
      </c>
      <c r="L434" s="125">
        <v>5355.0</v>
      </c>
      <c r="M434" s="125">
        <v>269728.0</v>
      </c>
      <c r="N434" s="125">
        <v>-25868.0</v>
      </c>
      <c r="O434" s="125"/>
      <c r="P434" s="125"/>
      <c r="Q434" s="125"/>
      <c r="R434" s="125"/>
      <c r="S434" s="125"/>
      <c r="T434" s="125"/>
      <c r="U434" s="125"/>
      <c r="V434" s="125"/>
    </row>
    <row r="435">
      <c r="A435" s="122" t="s">
        <v>1336</v>
      </c>
      <c r="B435" s="122" t="s">
        <v>2907</v>
      </c>
      <c r="C435" s="125">
        <v>3196723.0</v>
      </c>
      <c r="D435" s="125">
        <v>3181723.0</v>
      </c>
      <c r="E435" s="125">
        <v>56.0</v>
      </c>
      <c r="F435" s="125">
        <v>15000.0</v>
      </c>
      <c r="G435" s="125">
        <v>2295793.0</v>
      </c>
      <c r="H435" s="125">
        <v>900930.0</v>
      </c>
      <c r="I435" s="125" t="s">
        <v>2765</v>
      </c>
      <c r="J435" s="125">
        <v>1343944.0</v>
      </c>
      <c r="K435" s="125">
        <v>250636.0</v>
      </c>
      <c r="L435" s="125">
        <v>3840.0</v>
      </c>
      <c r="M435" s="125">
        <v>479488.0</v>
      </c>
      <c r="N435" s="125">
        <v>-217885.0</v>
      </c>
      <c r="O435" s="125"/>
      <c r="P435" s="125"/>
      <c r="Q435" s="125"/>
      <c r="R435" s="125"/>
      <c r="S435" s="125"/>
      <c r="T435" s="125"/>
      <c r="U435" s="125"/>
      <c r="V435" s="125"/>
    </row>
    <row r="436">
      <c r="A436" s="122" t="s">
        <v>1363</v>
      </c>
      <c r="B436" s="122" t="s">
        <v>2283</v>
      </c>
      <c r="C436" s="125">
        <v>570604.0</v>
      </c>
      <c r="D436" s="125">
        <v>570604.0</v>
      </c>
      <c r="E436" s="125">
        <v>57.0</v>
      </c>
      <c r="F436" s="125">
        <v>0.0</v>
      </c>
      <c r="G436" s="125">
        <v>397183.0</v>
      </c>
      <c r="H436" s="125">
        <v>173421.0</v>
      </c>
      <c r="I436" s="125" t="s">
        <v>2908</v>
      </c>
      <c r="J436" s="125">
        <v>254448.0</v>
      </c>
      <c r="K436" s="125">
        <v>4676.0</v>
      </c>
      <c r="L436" s="125">
        <v>2527.0</v>
      </c>
      <c r="M436" s="125">
        <v>131610.0</v>
      </c>
      <c r="N436" s="125">
        <v>-3922.0</v>
      </c>
      <c r="O436" s="125"/>
      <c r="P436" s="125"/>
      <c r="Q436" s="125"/>
      <c r="R436" s="125"/>
      <c r="S436" s="125"/>
      <c r="T436" s="125"/>
      <c r="U436" s="125"/>
      <c r="V436" s="125"/>
    </row>
    <row r="437">
      <c r="A437" s="122" t="s">
        <v>2284</v>
      </c>
      <c r="B437" s="122" t="s">
        <v>2285</v>
      </c>
      <c r="C437" s="125">
        <v>881310.0</v>
      </c>
      <c r="D437" s="125">
        <v>881310.0</v>
      </c>
      <c r="E437" s="125">
        <v>69.0</v>
      </c>
      <c r="F437" s="125">
        <v>0.0</v>
      </c>
      <c r="G437" s="125">
        <v>730796.0</v>
      </c>
      <c r="H437" s="125">
        <v>150514.0</v>
      </c>
      <c r="I437" s="125" t="s">
        <v>2909</v>
      </c>
      <c r="J437" s="125">
        <v>362043.0</v>
      </c>
      <c r="K437" s="125">
        <v>166310.0</v>
      </c>
      <c r="L437" s="125">
        <v>490.0</v>
      </c>
      <c r="M437" s="125">
        <v>188532.0</v>
      </c>
      <c r="N437" s="125">
        <v>-13421.0</v>
      </c>
      <c r="O437" s="125"/>
      <c r="P437" s="125"/>
      <c r="Q437" s="125"/>
      <c r="R437" s="125"/>
      <c r="S437" s="125"/>
      <c r="T437" s="125"/>
      <c r="U437" s="125"/>
      <c r="V437" s="125"/>
    </row>
    <row r="438">
      <c r="A438" s="122" t="s">
        <v>2286</v>
      </c>
      <c r="B438" s="122" t="s">
        <v>2287</v>
      </c>
      <c r="C438" s="125">
        <v>0.0</v>
      </c>
      <c r="D438" s="125">
        <v>0.0</v>
      </c>
      <c r="E438" s="125">
        <v>0.0</v>
      </c>
      <c r="F438" s="125">
        <v>0.0</v>
      </c>
      <c r="G438" s="125">
        <v>0.0</v>
      </c>
      <c r="H438" s="125">
        <v>0.0</v>
      </c>
      <c r="I438" s="125">
        <v>0.0</v>
      </c>
      <c r="J438" s="125">
        <v>0.0</v>
      </c>
      <c r="K438" s="125">
        <v>0.0</v>
      </c>
      <c r="L438" s="125">
        <v>0.0</v>
      </c>
      <c r="M438" s="125">
        <v>0.0</v>
      </c>
      <c r="N438" s="125">
        <v>0.0</v>
      </c>
      <c r="O438" s="125"/>
      <c r="P438" s="125"/>
      <c r="Q438" s="125"/>
      <c r="R438" s="125"/>
      <c r="S438" s="125"/>
      <c r="T438" s="125"/>
      <c r="U438" s="125"/>
      <c r="V438" s="125"/>
    </row>
    <row r="439">
      <c r="A439" s="122" t="s">
        <v>1339</v>
      </c>
      <c r="B439" s="122" t="s">
        <v>2288</v>
      </c>
      <c r="C439" s="125">
        <v>3409399.0</v>
      </c>
      <c r="D439" s="125">
        <v>3409399.0</v>
      </c>
      <c r="E439" s="125">
        <v>25.0</v>
      </c>
      <c r="F439" s="125">
        <v>0.0</v>
      </c>
      <c r="G439" s="125">
        <v>2802029.0</v>
      </c>
      <c r="H439" s="125">
        <v>607370.0</v>
      </c>
      <c r="I439" s="125" t="s">
        <v>2910</v>
      </c>
      <c r="J439" s="125">
        <v>1760500.0</v>
      </c>
      <c r="K439" s="125">
        <v>361265.0</v>
      </c>
      <c r="L439" s="125">
        <v>1804.0</v>
      </c>
      <c r="M439" s="125">
        <v>511404.0</v>
      </c>
      <c r="N439" s="125">
        <v>-167056.0</v>
      </c>
      <c r="O439" s="125"/>
      <c r="P439" s="125"/>
      <c r="Q439" s="125"/>
      <c r="R439" s="125"/>
      <c r="S439" s="125"/>
      <c r="T439" s="125"/>
      <c r="U439" s="125"/>
      <c r="V439" s="125"/>
    </row>
    <row r="440">
      <c r="A440" s="122" t="s">
        <v>1285</v>
      </c>
      <c r="B440" s="122" t="s">
        <v>2911</v>
      </c>
      <c r="C440" s="125">
        <v>3345495.0</v>
      </c>
      <c r="D440" s="125">
        <v>3345495.0</v>
      </c>
      <c r="E440" s="125">
        <v>41.0</v>
      </c>
      <c r="F440" s="125">
        <v>0.0</v>
      </c>
      <c r="G440" s="125">
        <v>2636429.0</v>
      </c>
      <c r="H440" s="125">
        <v>709066.0</v>
      </c>
      <c r="I440" s="125" t="s">
        <v>2912</v>
      </c>
      <c r="J440" s="125">
        <v>1919128.0</v>
      </c>
      <c r="K440" s="125">
        <v>92726.0</v>
      </c>
      <c r="L440" s="125">
        <v>0.0</v>
      </c>
      <c r="M440" s="125">
        <v>491108.0</v>
      </c>
      <c r="N440" s="125">
        <v>-133467.0</v>
      </c>
      <c r="O440" s="125"/>
      <c r="P440" s="125"/>
      <c r="Q440" s="125"/>
      <c r="R440" s="125"/>
      <c r="S440" s="125"/>
      <c r="T440" s="125"/>
      <c r="U440" s="125"/>
      <c r="V440" s="125"/>
    </row>
    <row r="441">
      <c r="A441" s="122" t="s">
        <v>1351</v>
      </c>
      <c r="B441" s="122" t="s">
        <v>1353</v>
      </c>
      <c r="C441" s="125">
        <v>3711090.0</v>
      </c>
      <c r="D441" s="125">
        <v>3705090.0</v>
      </c>
      <c r="E441" s="125">
        <v>98.0</v>
      </c>
      <c r="F441" s="125">
        <v>6000.0</v>
      </c>
      <c r="G441" s="125">
        <v>2831222.0</v>
      </c>
      <c r="H441" s="125">
        <v>879868.0</v>
      </c>
      <c r="I441" s="125" t="s">
        <v>2833</v>
      </c>
      <c r="J441" s="125">
        <v>1375724.0</v>
      </c>
      <c r="K441" s="125">
        <v>271773.0</v>
      </c>
      <c r="L441" s="125">
        <v>19460.0</v>
      </c>
      <c r="M441" s="125">
        <v>556626.0</v>
      </c>
      <c r="N441" s="125">
        <v>-607639.0</v>
      </c>
      <c r="O441" s="125"/>
      <c r="P441" s="125"/>
      <c r="Q441" s="125"/>
      <c r="R441" s="125"/>
      <c r="S441" s="125"/>
      <c r="T441" s="125"/>
      <c r="U441" s="125"/>
      <c r="V441" s="125"/>
    </row>
    <row r="442">
      <c r="A442" s="122" t="s">
        <v>1237</v>
      </c>
      <c r="B442" s="122" t="s">
        <v>2913</v>
      </c>
      <c r="C442" s="125">
        <v>0.0</v>
      </c>
      <c r="D442" s="125">
        <v>0.0</v>
      </c>
      <c r="E442" s="125">
        <v>0.0</v>
      </c>
      <c r="F442" s="125">
        <v>0.0</v>
      </c>
      <c r="G442" s="125">
        <v>0.0</v>
      </c>
      <c r="H442" s="125">
        <v>0.0</v>
      </c>
      <c r="I442" s="125">
        <v>0.0</v>
      </c>
      <c r="J442" s="125">
        <v>0.0</v>
      </c>
      <c r="K442" s="125">
        <v>0.0</v>
      </c>
      <c r="L442" s="125">
        <v>0.0</v>
      </c>
      <c r="M442" s="125">
        <v>0.0</v>
      </c>
      <c r="N442" s="125">
        <v>0.0</v>
      </c>
      <c r="O442" s="125"/>
      <c r="P442" s="125"/>
      <c r="Q442" s="125"/>
      <c r="R442" s="125"/>
      <c r="S442" s="125"/>
      <c r="T442" s="125"/>
      <c r="U442" s="125"/>
      <c r="V442" s="125"/>
    </row>
    <row r="443">
      <c r="A443" s="122" t="s">
        <v>1282</v>
      </c>
      <c r="B443" s="122" t="s">
        <v>2914</v>
      </c>
      <c r="C443" s="125">
        <v>2363020.0</v>
      </c>
      <c r="D443" s="125">
        <v>2356020.0</v>
      </c>
      <c r="E443" s="125">
        <v>33.0</v>
      </c>
      <c r="F443" s="125">
        <v>7000.0</v>
      </c>
      <c r="G443" s="125">
        <v>1765155.0</v>
      </c>
      <c r="H443" s="125">
        <v>597865.0</v>
      </c>
      <c r="I443" s="125" t="s">
        <v>2915</v>
      </c>
      <c r="J443" s="125">
        <v>1131174.0</v>
      </c>
      <c r="K443" s="125">
        <v>130615.0</v>
      </c>
      <c r="L443" s="125">
        <v>5220.0</v>
      </c>
      <c r="M443" s="125">
        <v>299134.0</v>
      </c>
      <c r="N443" s="125">
        <v>-199012.0</v>
      </c>
      <c r="O443" s="125"/>
      <c r="P443" s="125"/>
      <c r="Q443" s="125"/>
      <c r="R443" s="125"/>
      <c r="S443" s="125"/>
      <c r="T443" s="125"/>
      <c r="U443" s="125"/>
      <c r="V443" s="125"/>
    </row>
    <row r="444">
      <c r="A444" s="122" t="s">
        <v>1369</v>
      </c>
      <c r="B444" s="122" t="s">
        <v>2291</v>
      </c>
      <c r="C444" s="125">
        <v>3087630.0</v>
      </c>
      <c r="D444" s="125">
        <v>3075630.0</v>
      </c>
      <c r="E444" s="125">
        <v>202.0</v>
      </c>
      <c r="F444" s="125">
        <v>12000.0</v>
      </c>
      <c r="G444" s="125">
        <v>1935279.0</v>
      </c>
      <c r="H444" s="125">
        <v>1152351.0</v>
      </c>
      <c r="I444" s="125" t="s">
        <v>2916</v>
      </c>
      <c r="J444" s="125">
        <v>1267112.0</v>
      </c>
      <c r="K444" s="125">
        <v>127652.0</v>
      </c>
      <c r="L444" s="125">
        <v>5440.0</v>
      </c>
      <c r="M444" s="125">
        <v>476539.0</v>
      </c>
      <c r="N444" s="125">
        <v>-58536.0</v>
      </c>
      <c r="O444" s="125"/>
      <c r="P444" s="125"/>
      <c r="Q444" s="125"/>
      <c r="R444" s="125"/>
      <c r="S444" s="125"/>
      <c r="T444" s="125"/>
      <c r="U444" s="125"/>
      <c r="V444" s="125"/>
    </row>
    <row r="445">
      <c r="A445" s="122" t="s">
        <v>1354</v>
      </c>
      <c r="B445" s="122" t="s">
        <v>2917</v>
      </c>
      <c r="C445" s="125">
        <v>280670.0</v>
      </c>
      <c r="D445" s="125">
        <v>280670.0</v>
      </c>
      <c r="E445" s="125">
        <v>33.0</v>
      </c>
      <c r="F445" s="125">
        <v>0.0</v>
      </c>
      <c r="G445" s="125">
        <v>165758.0</v>
      </c>
      <c r="H445" s="125">
        <v>114912.0</v>
      </c>
      <c r="I445" s="125" t="s">
        <v>2918</v>
      </c>
      <c r="J445" s="125">
        <v>107481.0</v>
      </c>
      <c r="K445" s="125">
        <v>1197.0</v>
      </c>
      <c r="L445" s="125">
        <v>339.0</v>
      </c>
      <c r="M445" s="125">
        <v>49297.0</v>
      </c>
      <c r="N445" s="125">
        <v>-7444.0</v>
      </c>
      <c r="O445" s="125"/>
      <c r="P445" s="125"/>
      <c r="Q445" s="125"/>
      <c r="R445" s="125"/>
      <c r="S445" s="125"/>
      <c r="T445" s="125"/>
      <c r="U445" s="125"/>
      <c r="V445" s="125"/>
    </row>
    <row r="446">
      <c r="A446" s="122" t="s">
        <v>1366</v>
      </c>
      <c r="B446" s="122" t="s">
        <v>2293</v>
      </c>
      <c r="C446" s="125">
        <v>9671170.0</v>
      </c>
      <c r="D446" s="125">
        <v>9671170.0</v>
      </c>
      <c r="E446" s="125">
        <v>499.0</v>
      </c>
      <c r="F446" s="125">
        <v>0.0</v>
      </c>
      <c r="G446" s="125">
        <v>6237874.0</v>
      </c>
      <c r="H446" s="125">
        <v>3433296.0</v>
      </c>
      <c r="I446" s="125" t="s">
        <v>2919</v>
      </c>
      <c r="J446" s="125">
        <v>3573089.0</v>
      </c>
      <c r="K446" s="125">
        <v>420980.0</v>
      </c>
      <c r="L446" s="125">
        <v>2800.0</v>
      </c>
      <c r="M446" s="125">
        <v>1825277.0</v>
      </c>
      <c r="N446" s="125">
        <v>-415728.0</v>
      </c>
      <c r="O446" s="125"/>
      <c r="P446" s="125"/>
      <c r="Q446" s="125"/>
      <c r="R446" s="125"/>
      <c r="S446" s="125"/>
      <c r="T446" s="125"/>
      <c r="U446" s="125"/>
      <c r="V446" s="125"/>
    </row>
    <row r="447">
      <c r="A447" s="122" t="s">
        <v>1360</v>
      </c>
      <c r="B447" s="122" t="s">
        <v>2294</v>
      </c>
      <c r="C447" s="125">
        <v>4108740.0</v>
      </c>
      <c r="D447" s="125">
        <v>4108740.0</v>
      </c>
      <c r="E447" s="125">
        <v>526.0</v>
      </c>
      <c r="F447" s="125">
        <v>0.0</v>
      </c>
      <c r="G447" s="125">
        <v>2573555.0</v>
      </c>
      <c r="H447" s="125">
        <v>1535185.0</v>
      </c>
      <c r="I447" s="125" t="s">
        <v>2920</v>
      </c>
      <c r="J447" s="125">
        <v>1477828.0</v>
      </c>
      <c r="K447" s="125">
        <v>83308.0</v>
      </c>
      <c r="L447" s="125">
        <v>3139.0</v>
      </c>
      <c r="M447" s="125">
        <v>934566.0</v>
      </c>
      <c r="N447" s="125">
        <v>-74714.0</v>
      </c>
      <c r="O447" s="125"/>
      <c r="P447" s="125"/>
      <c r="Q447" s="125"/>
      <c r="R447" s="125"/>
      <c r="S447" s="125"/>
      <c r="T447" s="125"/>
      <c r="U447" s="125"/>
      <c r="V447" s="125"/>
    </row>
    <row r="448">
      <c r="A448" s="122" t="s">
        <v>1342</v>
      </c>
      <c r="B448" s="122" t="s">
        <v>2921</v>
      </c>
      <c r="C448" s="125">
        <v>409932.0</v>
      </c>
      <c r="D448" s="125">
        <v>403932.0</v>
      </c>
      <c r="E448" s="125">
        <v>16.0</v>
      </c>
      <c r="F448" s="125">
        <v>6000.0</v>
      </c>
      <c r="G448" s="125">
        <v>290585.0</v>
      </c>
      <c r="H448" s="125">
        <v>119347.0</v>
      </c>
      <c r="I448" s="125" t="s">
        <v>2922</v>
      </c>
      <c r="J448" s="125">
        <v>191164.0</v>
      </c>
      <c r="K448" s="125">
        <v>4586.0</v>
      </c>
      <c r="L448" s="125">
        <v>383.0</v>
      </c>
      <c r="M448" s="125">
        <v>57396.0</v>
      </c>
      <c r="N448" s="125">
        <v>-37056.0</v>
      </c>
      <c r="O448" s="125"/>
      <c r="P448" s="125"/>
      <c r="Q448" s="125"/>
      <c r="R448" s="125"/>
      <c r="S448" s="125"/>
      <c r="T448" s="125"/>
      <c r="U448" s="125"/>
      <c r="V448" s="125"/>
    </row>
    <row r="449">
      <c r="A449" s="122" t="s">
        <v>1407</v>
      </c>
      <c r="B449" s="122" t="s">
        <v>2923</v>
      </c>
      <c r="C449" s="125">
        <v>8531018.0</v>
      </c>
      <c r="D449" s="125">
        <v>8491018.0</v>
      </c>
      <c r="E449" s="125">
        <v>44.0</v>
      </c>
      <c r="F449" s="125">
        <v>40000.0</v>
      </c>
      <c r="G449" s="125">
        <v>5132639.0</v>
      </c>
      <c r="H449" s="125">
        <v>3398379.0</v>
      </c>
      <c r="I449" s="125" t="s">
        <v>2924</v>
      </c>
      <c r="J449" s="125">
        <v>3472142.0</v>
      </c>
      <c r="K449" s="125">
        <v>503125.0</v>
      </c>
      <c r="L449" s="125">
        <v>14740.0</v>
      </c>
      <c r="M449" s="125">
        <v>931607.0</v>
      </c>
      <c r="N449" s="125">
        <v>-211025.0</v>
      </c>
      <c r="O449" s="125"/>
      <c r="P449" s="125"/>
      <c r="Q449" s="125"/>
      <c r="R449" s="125"/>
      <c r="S449" s="125"/>
      <c r="T449" s="125"/>
      <c r="U449" s="125"/>
      <c r="V449" s="125"/>
    </row>
    <row r="450">
      <c r="A450" s="122" t="s">
        <v>1348</v>
      </c>
      <c r="B450" s="122" t="s">
        <v>2925</v>
      </c>
      <c r="C450" s="125">
        <v>1836264.0</v>
      </c>
      <c r="D450" s="125">
        <v>1800264.0</v>
      </c>
      <c r="E450" s="125">
        <v>30.0</v>
      </c>
      <c r="F450" s="125">
        <v>36000.0</v>
      </c>
      <c r="G450" s="125">
        <v>1196954.0</v>
      </c>
      <c r="H450" s="125">
        <v>639310.0</v>
      </c>
      <c r="I450" s="125" t="s">
        <v>2926</v>
      </c>
      <c r="J450" s="125">
        <v>779160.0</v>
      </c>
      <c r="K450" s="125">
        <v>59923.0</v>
      </c>
      <c r="L450" s="125">
        <v>597.0</v>
      </c>
      <c r="M450" s="125">
        <v>257083.0</v>
      </c>
      <c r="N450" s="125">
        <v>-100191.0</v>
      </c>
      <c r="O450" s="125"/>
      <c r="P450" s="125"/>
      <c r="Q450" s="125"/>
      <c r="R450" s="125"/>
      <c r="S450" s="125"/>
      <c r="T450" s="125"/>
      <c r="U450" s="125"/>
      <c r="V450" s="125"/>
    </row>
    <row r="451">
      <c r="A451" s="122" t="s">
        <v>1345</v>
      </c>
      <c r="B451" s="122" t="s">
        <v>2927</v>
      </c>
      <c r="C451" s="125">
        <v>334652.0</v>
      </c>
      <c r="D451" s="125">
        <v>319652.0</v>
      </c>
      <c r="E451" s="125">
        <v>11.0</v>
      </c>
      <c r="F451" s="125">
        <v>15000.0</v>
      </c>
      <c r="G451" s="125">
        <v>235234.0</v>
      </c>
      <c r="H451" s="125">
        <v>99418.0</v>
      </c>
      <c r="I451" s="125" t="s">
        <v>2928</v>
      </c>
      <c r="J451" s="125">
        <v>147719.0</v>
      </c>
      <c r="K451" s="125">
        <v>15575.0</v>
      </c>
      <c r="L451" s="125">
        <v>224.0</v>
      </c>
      <c r="M451" s="125">
        <v>43226.0</v>
      </c>
      <c r="N451" s="125">
        <v>-28490.0</v>
      </c>
      <c r="O451" s="125"/>
      <c r="P451" s="125"/>
      <c r="Q451" s="125"/>
      <c r="R451" s="125"/>
      <c r="S451" s="125"/>
      <c r="T451" s="125"/>
      <c r="U451" s="125"/>
      <c r="V451" s="125"/>
    </row>
    <row r="452">
      <c r="A452" s="122" t="s">
        <v>2298</v>
      </c>
      <c r="B452" s="122" t="s">
        <v>2929</v>
      </c>
      <c r="C452" s="125">
        <v>909880.0</v>
      </c>
      <c r="D452" s="125">
        <v>904880.0</v>
      </c>
      <c r="E452" s="125">
        <v>12.0</v>
      </c>
      <c r="F452" s="125">
        <v>5000.0</v>
      </c>
      <c r="G452" s="125">
        <v>689037.0</v>
      </c>
      <c r="H452" s="125">
        <v>220843.0</v>
      </c>
      <c r="I452" s="125" t="s">
        <v>2930</v>
      </c>
      <c r="J452" s="125">
        <v>433324.0</v>
      </c>
      <c r="K452" s="125">
        <v>92126.0</v>
      </c>
      <c r="L452" s="125">
        <v>111.0</v>
      </c>
      <c r="M452" s="125">
        <v>126538.0</v>
      </c>
      <c r="N452" s="125">
        <v>-36938.0</v>
      </c>
      <c r="O452" s="125"/>
      <c r="P452" s="125"/>
      <c r="Q452" s="125"/>
      <c r="R452" s="125"/>
      <c r="S452" s="125"/>
      <c r="T452" s="125"/>
      <c r="U452" s="125"/>
      <c r="V452" s="125"/>
    </row>
    <row r="453">
      <c r="A453" s="122" t="s">
        <v>2300</v>
      </c>
      <c r="B453" s="122" t="s">
        <v>2931</v>
      </c>
      <c r="C453" s="125">
        <v>306930.0</v>
      </c>
      <c r="D453" s="125">
        <v>306930.0</v>
      </c>
      <c r="E453" s="125">
        <v>7.0</v>
      </c>
      <c r="F453" s="125">
        <v>0.0</v>
      </c>
      <c r="G453" s="125">
        <v>240924.0</v>
      </c>
      <c r="H453" s="125">
        <v>66006.0</v>
      </c>
      <c r="I453" s="125" t="s">
        <v>2932</v>
      </c>
      <c r="J453" s="125">
        <v>170324.0</v>
      </c>
      <c r="K453" s="125">
        <v>11492.0</v>
      </c>
      <c r="L453" s="125">
        <v>296.0</v>
      </c>
      <c r="M453" s="125">
        <v>42423.0</v>
      </c>
      <c r="N453" s="125">
        <v>-16389.0</v>
      </c>
      <c r="O453" s="125"/>
      <c r="P453" s="125"/>
      <c r="Q453" s="125"/>
      <c r="R453" s="125"/>
      <c r="S453" s="125"/>
      <c r="T453" s="125"/>
      <c r="U453" s="125"/>
      <c r="V453" s="125"/>
    </row>
    <row r="454">
      <c r="A454" s="122" t="s">
        <v>2302</v>
      </c>
      <c r="B454" s="122" t="s">
        <v>2933</v>
      </c>
      <c r="C454" s="125">
        <v>2014760.0</v>
      </c>
      <c r="D454" s="125">
        <v>1934760.0</v>
      </c>
      <c r="E454" s="125">
        <v>24.0</v>
      </c>
      <c r="F454" s="125">
        <v>80000.0</v>
      </c>
      <c r="G454" s="125">
        <v>1358217.0</v>
      </c>
      <c r="H454" s="125">
        <v>656543.0</v>
      </c>
      <c r="I454" s="125" t="s">
        <v>2934</v>
      </c>
      <c r="J454" s="125">
        <v>966840.0</v>
      </c>
      <c r="K454" s="125">
        <v>33740.0</v>
      </c>
      <c r="L454" s="125">
        <v>390.0</v>
      </c>
      <c r="M454" s="125">
        <v>274052.0</v>
      </c>
      <c r="N454" s="125">
        <v>-83195.0</v>
      </c>
      <c r="O454" s="125"/>
      <c r="P454" s="125"/>
      <c r="Q454" s="125"/>
      <c r="R454" s="125"/>
      <c r="S454" s="125"/>
      <c r="T454" s="125"/>
      <c r="U454" s="125"/>
      <c r="V454" s="125"/>
    </row>
    <row r="455">
      <c r="A455" s="122" t="s">
        <v>2304</v>
      </c>
      <c r="B455" s="122" t="s">
        <v>2935</v>
      </c>
      <c r="C455" s="125">
        <v>359980.0</v>
      </c>
      <c r="D455" s="125">
        <v>359980.0</v>
      </c>
      <c r="E455" s="125">
        <v>2.0</v>
      </c>
      <c r="F455" s="125">
        <v>0.0</v>
      </c>
      <c r="G455" s="125">
        <v>219678.0</v>
      </c>
      <c r="H455" s="125">
        <v>140302.0</v>
      </c>
      <c r="I455" s="125" t="s">
        <v>2936</v>
      </c>
      <c r="J455" s="125">
        <v>155832.0</v>
      </c>
      <c r="K455" s="125">
        <v>9668.0</v>
      </c>
      <c r="L455" s="125">
        <v>0.0</v>
      </c>
      <c r="M455" s="125">
        <v>48598.0</v>
      </c>
      <c r="N455" s="125">
        <v>-5580.0</v>
      </c>
      <c r="O455" s="125"/>
      <c r="P455" s="125"/>
      <c r="Q455" s="125"/>
      <c r="R455" s="125"/>
      <c r="S455" s="125"/>
      <c r="T455" s="125"/>
      <c r="U455" s="125"/>
      <c r="V455" s="125"/>
    </row>
    <row r="456">
      <c r="A456" s="122" t="s">
        <v>2306</v>
      </c>
      <c r="B456" s="122" t="s">
        <v>2937</v>
      </c>
      <c r="C456" s="125">
        <v>675191.0</v>
      </c>
      <c r="D456" s="125">
        <v>660191.0</v>
      </c>
      <c r="E456" s="125">
        <v>11.0</v>
      </c>
      <c r="F456" s="125">
        <v>15000.0</v>
      </c>
      <c r="G456" s="125">
        <v>433353.0</v>
      </c>
      <c r="H456" s="125">
        <v>241838.0</v>
      </c>
      <c r="I456" s="125" t="s">
        <v>2938</v>
      </c>
      <c r="J456" s="125">
        <v>295537.0</v>
      </c>
      <c r="K456" s="125">
        <v>11529.0</v>
      </c>
      <c r="L456" s="125">
        <v>152.0</v>
      </c>
      <c r="M456" s="125">
        <v>98729.0</v>
      </c>
      <c r="N456" s="125">
        <v>-27406.0</v>
      </c>
      <c r="O456" s="125"/>
      <c r="P456" s="125"/>
      <c r="Q456" s="125"/>
      <c r="R456" s="125"/>
      <c r="S456" s="125"/>
      <c r="T456" s="125"/>
      <c r="U456" s="125"/>
      <c r="V456" s="125"/>
    </row>
    <row r="457">
      <c r="A457" s="122" t="s">
        <v>2308</v>
      </c>
      <c r="B457" s="122" t="s">
        <v>2939</v>
      </c>
      <c r="C457" s="125">
        <v>939920.0</v>
      </c>
      <c r="D457" s="125">
        <v>909920.0</v>
      </c>
      <c r="E457" s="125">
        <v>8.0</v>
      </c>
      <c r="F457" s="125">
        <v>30000.0</v>
      </c>
      <c r="G457" s="125">
        <v>675574.0</v>
      </c>
      <c r="H457" s="125">
        <v>264346.0</v>
      </c>
      <c r="I457" s="125" t="s">
        <v>2940</v>
      </c>
      <c r="J457" s="125">
        <v>415552.0</v>
      </c>
      <c r="K457" s="125">
        <v>100223.0</v>
      </c>
      <c r="L457" s="125">
        <v>380.0</v>
      </c>
      <c r="M457" s="125">
        <v>131592.0</v>
      </c>
      <c r="N457" s="125">
        <v>-27827.0</v>
      </c>
      <c r="O457" s="125"/>
      <c r="P457" s="125"/>
      <c r="Q457" s="125"/>
      <c r="R457" s="125"/>
      <c r="S457" s="125"/>
      <c r="T457" s="125"/>
      <c r="U457" s="125"/>
      <c r="V457" s="125"/>
    </row>
    <row r="458">
      <c r="A458" s="122" t="s">
        <v>1413</v>
      </c>
      <c r="B458" s="122" t="s">
        <v>2310</v>
      </c>
      <c r="C458" s="125">
        <v>219540.0</v>
      </c>
      <c r="D458" s="125">
        <v>219540.0</v>
      </c>
      <c r="E458" s="125">
        <v>46.0</v>
      </c>
      <c r="F458" s="125">
        <v>0.0</v>
      </c>
      <c r="G458" s="125">
        <v>156263.0</v>
      </c>
      <c r="H458" s="125">
        <v>63277.0</v>
      </c>
      <c r="I458" s="125" t="s">
        <v>2941</v>
      </c>
      <c r="J458" s="125">
        <v>76544.0</v>
      </c>
      <c r="K458" s="125">
        <v>7338.0</v>
      </c>
      <c r="L458" s="125">
        <v>1921.0</v>
      </c>
      <c r="M458" s="125">
        <v>62508.0</v>
      </c>
      <c r="N458" s="125">
        <v>-7952.0</v>
      </c>
      <c r="O458" s="125"/>
      <c r="P458" s="125"/>
      <c r="Q458" s="125"/>
      <c r="R458" s="125"/>
      <c r="S458" s="125"/>
      <c r="T458" s="125"/>
      <c r="U458" s="125"/>
      <c r="V458" s="125"/>
    </row>
    <row r="459">
      <c r="A459" s="122" t="s">
        <v>1419</v>
      </c>
      <c r="B459" s="122" t="s">
        <v>2942</v>
      </c>
      <c r="C459" s="125">
        <v>21980.0</v>
      </c>
      <c r="D459" s="125">
        <v>21980.0</v>
      </c>
      <c r="E459" s="125">
        <v>2.0</v>
      </c>
      <c r="F459" s="125">
        <v>0.0</v>
      </c>
      <c r="G459" s="125">
        <v>16287.0</v>
      </c>
      <c r="H459" s="125">
        <v>5693.0</v>
      </c>
      <c r="I459" s="125" t="s">
        <v>2943</v>
      </c>
      <c r="J459" s="125">
        <v>7978.0</v>
      </c>
      <c r="K459" s="125">
        <v>2972.0</v>
      </c>
      <c r="L459" s="125">
        <v>0.0</v>
      </c>
      <c r="M459" s="125">
        <v>3297.0</v>
      </c>
      <c r="N459" s="125">
        <v>-2040.0</v>
      </c>
      <c r="O459" s="125"/>
      <c r="P459" s="125"/>
      <c r="Q459" s="125"/>
      <c r="R459" s="125"/>
      <c r="S459" s="125"/>
      <c r="T459" s="125"/>
      <c r="U459" s="125"/>
      <c r="V459" s="125"/>
    </row>
    <row r="460">
      <c r="A460" s="122" t="s">
        <v>1410</v>
      </c>
      <c r="B460" s="122" t="s">
        <v>2944</v>
      </c>
      <c r="C460" s="125">
        <v>1656105.0</v>
      </c>
      <c r="D460" s="125">
        <v>1656105.0</v>
      </c>
      <c r="E460" s="125">
        <v>70.0</v>
      </c>
      <c r="F460" s="125">
        <v>0.0</v>
      </c>
      <c r="G460" s="125">
        <v>905059.0</v>
      </c>
      <c r="H460" s="125">
        <v>751046.0</v>
      </c>
      <c r="I460" s="125" t="s">
        <v>2945</v>
      </c>
      <c r="J460" s="125">
        <v>446343.0</v>
      </c>
      <c r="K460" s="125">
        <v>67540.0</v>
      </c>
      <c r="L460" s="125">
        <v>3068.0</v>
      </c>
      <c r="M460" s="125">
        <v>249298.0</v>
      </c>
      <c r="N460" s="125">
        <v>-138810.0</v>
      </c>
      <c r="O460" s="125"/>
      <c r="P460" s="125"/>
      <c r="Q460" s="125"/>
      <c r="R460" s="125"/>
      <c r="S460" s="125"/>
      <c r="T460" s="125"/>
      <c r="U460" s="125"/>
      <c r="V460" s="125"/>
    </row>
    <row r="461">
      <c r="A461" s="122" t="s">
        <v>1416</v>
      </c>
      <c r="B461" s="122" t="s">
        <v>2314</v>
      </c>
      <c r="C461" s="125">
        <v>1091004.0</v>
      </c>
      <c r="D461" s="125">
        <v>1091004.0</v>
      </c>
      <c r="E461" s="125">
        <v>149.0</v>
      </c>
      <c r="F461" s="125">
        <v>0.0</v>
      </c>
      <c r="G461" s="125">
        <v>866722.0</v>
      </c>
      <c r="H461" s="125">
        <v>224282.0</v>
      </c>
      <c r="I461" s="125" t="s">
        <v>2946</v>
      </c>
      <c r="J461" s="125">
        <v>504787.0</v>
      </c>
      <c r="K461" s="125">
        <v>59470.0</v>
      </c>
      <c r="L461" s="125">
        <v>10921.0</v>
      </c>
      <c r="M461" s="125">
        <v>256998.0</v>
      </c>
      <c r="N461" s="125">
        <v>-34546.0</v>
      </c>
      <c r="O461" s="125"/>
      <c r="P461" s="125"/>
      <c r="Q461" s="125"/>
      <c r="R461" s="125"/>
      <c r="S461" s="125"/>
      <c r="T461" s="125"/>
      <c r="U461" s="125"/>
      <c r="V461" s="125"/>
    </row>
    <row r="462">
      <c r="A462" s="122" t="s">
        <v>1422</v>
      </c>
      <c r="B462" s="122" t="s">
        <v>2315</v>
      </c>
      <c r="C462" s="125">
        <v>3635285.0</v>
      </c>
      <c r="D462" s="125">
        <v>3635285.0</v>
      </c>
      <c r="E462" s="125">
        <v>38.0</v>
      </c>
      <c r="F462" s="125">
        <v>0.0</v>
      </c>
      <c r="G462" s="125">
        <v>3134349.0</v>
      </c>
      <c r="H462" s="125">
        <v>500936.0</v>
      </c>
      <c r="I462" s="125" t="s">
        <v>2947</v>
      </c>
      <c r="J462" s="125">
        <v>1982536.0</v>
      </c>
      <c r="K462" s="125">
        <v>155118.0</v>
      </c>
      <c r="L462" s="125">
        <v>8400.0</v>
      </c>
      <c r="M462" s="125">
        <v>516947.0</v>
      </c>
      <c r="N462" s="125">
        <v>-471348.0</v>
      </c>
      <c r="O462" s="125"/>
      <c r="P462" s="125"/>
      <c r="Q462" s="125"/>
      <c r="R462" s="125"/>
      <c r="S462" s="125"/>
      <c r="T462" s="125"/>
      <c r="U462" s="125"/>
      <c r="V462" s="125"/>
    </row>
    <row r="463">
      <c r="A463" s="122" t="s">
        <v>2316</v>
      </c>
      <c r="B463" s="122" t="s">
        <v>2317</v>
      </c>
      <c r="C463" s="125">
        <v>0.0</v>
      </c>
      <c r="D463" s="125">
        <v>0.0</v>
      </c>
      <c r="E463" s="125">
        <v>0.0</v>
      </c>
      <c r="F463" s="125">
        <v>0.0</v>
      </c>
      <c r="G463" s="125">
        <v>0.0</v>
      </c>
      <c r="H463" s="125">
        <v>0.0</v>
      </c>
      <c r="I463" s="125">
        <v>0.0</v>
      </c>
      <c r="J463" s="125">
        <v>0.0</v>
      </c>
      <c r="K463" s="125">
        <v>0.0</v>
      </c>
      <c r="L463" s="125">
        <v>0.0</v>
      </c>
      <c r="M463" s="125">
        <v>0.0</v>
      </c>
      <c r="N463" s="125">
        <v>0.0</v>
      </c>
      <c r="O463" s="125"/>
      <c r="P463" s="125"/>
      <c r="Q463" s="125"/>
      <c r="R463" s="125"/>
      <c r="S463" s="125"/>
      <c r="T463" s="125"/>
      <c r="U463" s="125"/>
      <c r="V463" s="125"/>
    </row>
    <row r="464">
      <c r="A464" s="122" t="s">
        <v>2318</v>
      </c>
      <c r="B464" s="122" t="s">
        <v>2319</v>
      </c>
      <c r="C464" s="125">
        <v>0.0</v>
      </c>
      <c r="D464" s="125">
        <v>0.0</v>
      </c>
      <c r="E464" s="125">
        <v>0.0</v>
      </c>
      <c r="F464" s="125">
        <v>0.0</v>
      </c>
      <c r="G464" s="125">
        <v>0.0</v>
      </c>
      <c r="H464" s="125">
        <v>0.0</v>
      </c>
      <c r="I464" s="125">
        <v>0.0</v>
      </c>
      <c r="J464" s="125">
        <v>0.0</v>
      </c>
      <c r="K464" s="125">
        <v>0.0</v>
      </c>
      <c r="L464" s="125">
        <v>0.0</v>
      </c>
      <c r="M464" s="125">
        <v>0.0</v>
      </c>
      <c r="N464" s="125">
        <v>0.0</v>
      </c>
      <c r="O464" s="125"/>
      <c r="P464" s="125"/>
      <c r="Q464" s="125"/>
      <c r="R464" s="125"/>
      <c r="S464" s="125"/>
      <c r="T464" s="125"/>
      <c r="U464" s="125"/>
      <c r="V464" s="125"/>
    </row>
    <row r="465">
      <c r="A465" s="122" t="s">
        <v>2320</v>
      </c>
      <c r="B465" s="122" t="s">
        <v>2327</v>
      </c>
      <c r="C465" s="125">
        <v>0.0</v>
      </c>
      <c r="D465" s="125">
        <v>0.0</v>
      </c>
      <c r="E465" s="125">
        <v>0.0</v>
      </c>
      <c r="F465" s="125">
        <v>0.0</v>
      </c>
      <c r="G465" s="125">
        <v>0.0</v>
      </c>
      <c r="H465" s="125">
        <v>0.0</v>
      </c>
      <c r="I465" s="125">
        <v>0.0</v>
      </c>
      <c r="J465" s="125">
        <v>0.0</v>
      </c>
      <c r="K465" s="125">
        <v>0.0</v>
      </c>
      <c r="L465" s="125">
        <v>0.0</v>
      </c>
      <c r="M465" s="125">
        <v>0.0</v>
      </c>
      <c r="N465" s="125">
        <v>0.0</v>
      </c>
      <c r="O465" s="125"/>
      <c r="P465" s="125"/>
      <c r="Q465" s="125"/>
      <c r="R465" s="125"/>
      <c r="S465" s="125"/>
      <c r="T465" s="125"/>
      <c r="U465" s="125"/>
      <c r="V465" s="125"/>
    </row>
    <row r="466">
      <c r="A466" s="122" t="s">
        <v>1428</v>
      </c>
      <c r="B466" s="122" t="s">
        <v>2948</v>
      </c>
      <c r="C466" s="125">
        <v>375534.0</v>
      </c>
      <c r="D466" s="125">
        <v>372534.0</v>
      </c>
      <c r="E466" s="125">
        <v>21.0</v>
      </c>
      <c r="F466" s="125">
        <v>3000.0</v>
      </c>
      <c r="G466" s="125">
        <v>308151.0</v>
      </c>
      <c r="H466" s="125">
        <v>67383.0</v>
      </c>
      <c r="I466" s="125" t="s">
        <v>2949</v>
      </c>
      <c r="J466" s="125">
        <v>167055.0</v>
      </c>
      <c r="K466" s="125">
        <v>79024.0</v>
      </c>
      <c r="L466" s="125">
        <v>1788.0</v>
      </c>
      <c r="M466" s="125">
        <v>51310.0</v>
      </c>
      <c r="N466" s="125">
        <v>-8974.0</v>
      </c>
      <c r="O466" s="125"/>
      <c r="P466" s="125"/>
      <c r="Q466" s="125"/>
      <c r="R466" s="125"/>
      <c r="S466" s="125"/>
      <c r="T466" s="125"/>
      <c r="U466" s="125"/>
      <c r="V466" s="125"/>
    </row>
    <row r="467">
      <c r="A467" s="122" t="s">
        <v>1425</v>
      </c>
      <c r="B467" s="122" t="s">
        <v>2950</v>
      </c>
      <c r="C467" s="125">
        <v>2084580.0</v>
      </c>
      <c r="D467" s="125">
        <v>2084580.0</v>
      </c>
      <c r="E467" s="125">
        <v>142.0</v>
      </c>
      <c r="F467" s="125">
        <v>0.0</v>
      </c>
      <c r="G467" s="125">
        <v>1199956.0</v>
      </c>
      <c r="H467" s="125">
        <v>884624.0</v>
      </c>
      <c r="I467" s="125" t="s">
        <v>2951</v>
      </c>
      <c r="J467" s="125">
        <v>578650.0</v>
      </c>
      <c r="K467" s="125">
        <v>232373.0</v>
      </c>
      <c r="L467" s="125">
        <v>5084.0</v>
      </c>
      <c r="M467" s="125">
        <v>338217.0</v>
      </c>
      <c r="N467" s="125">
        <v>-45632.0</v>
      </c>
      <c r="O467" s="125"/>
      <c r="P467" s="125"/>
      <c r="Q467" s="125"/>
      <c r="R467" s="125"/>
      <c r="S467" s="125"/>
      <c r="T467" s="125"/>
      <c r="U467" s="125"/>
      <c r="V467" s="125"/>
    </row>
    <row r="468">
      <c r="A468" s="122" t="s">
        <v>2324</v>
      </c>
      <c r="B468" s="122" t="s">
        <v>2329</v>
      </c>
      <c r="C468" s="125">
        <v>0.0</v>
      </c>
      <c r="D468" s="125">
        <v>0.0</v>
      </c>
      <c r="E468" s="125">
        <v>0.0</v>
      </c>
      <c r="F468" s="125">
        <v>0.0</v>
      </c>
      <c r="G468" s="125">
        <v>0.0</v>
      </c>
      <c r="H468" s="125">
        <v>0.0</v>
      </c>
      <c r="I468" s="125">
        <v>0.0</v>
      </c>
      <c r="J468" s="125">
        <v>0.0</v>
      </c>
      <c r="K468" s="125">
        <v>0.0</v>
      </c>
      <c r="L468" s="125">
        <v>0.0</v>
      </c>
      <c r="M468" s="125">
        <v>0.0</v>
      </c>
      <c r="N468" s="125">
        <v>0.0</v>
      </c>
      <c r="O468" s="125"/>
      <c r="P468" s="125"/>
      <c r="Q468" s="125"/>
      <c r="R468" s="125"/>
      <c r="S468" s="125"/>
      <c r="T468" s="125"/>
      <c r="U468" s="125"/>
      <c r="V468" s="125"/>
    </row>
    <row r="469">
      <c r="A469" s="122" t="s">
        <v>1530</v>
      </c>
      <c r="B469" s="122" t="s">
        <v>2952</v>
      </c>
      <c r="C469" s="125">
        <v>1.7958534E7</v>
      </c>
      <c r="D469" s="125">
        <v>1.7958534E7</v>
      </c>
      <c r="E469" s="125">
        <v>910.0</v>
      </c>
      <c r="F469" s="125">
        <v>0.0</v>
      </c>
      <c r="G469" s="125">
        <v>1.4652307E7</v>
      </c>
      <c r="H469" s="125">
        <v>3306227.0</v>
      </c>
      <c r="I469" s="125" t="s">
        <v>2953</v>
      </c>
      <c r="J469" s="125">
        <v>1.0169614E7</v>
      </c>
      <c r="K469" s="125">
        <v>619003.0</v>
      </c>
      <c r="L469" s="125">
        <v>5431.0</v>
      </c>
      <c r="M469" s="125">
        <v>3620371.0</v>
      </c>
      <c r="N469" s="125">
        <v>-237888.0</v>
      </c>
      <c r="O469" s="125"/>
      <c r="P469" s="125"/>
      <c r="Q469" s="125"/>
      <c r="R469" s="125"/>
      <c r="S469" s="125"/>
      <c r="T469" s="125"/>
      <c r="U469" s="125"/>
      <c r="V469" s="125"/>
    </row>
    <row r="470">
      <c r="A470" s="122" t="s">
        <v>2326</v>
      </c>
      <c r="B470" s="122" t="s">
        <v>2327</v>
      </c>
      <c r="C470" s="125">
        <v>1374860.0</v>
      </c>
      <c r="D470" s="125">
        <v>1374860.0</v>
      </c>
      <c r="E470" s="125">
        <v>14.0</v>
      </c>
      <c r="F470" s="125">
        <v>0.0</v>
      </c>
      <c r="G470" s="125">
        <v>1007564.0</v>
      </c>
      <c r="H470" s="125">
        <v>367296.0</v>
      </c>
      <c r="I470" s="125" t="s">
        <v>2954</v>
      </c>
      <c r="J470" s="125">
        <v>550979.0</v>
      </c>
      <c r="K470" s="125">
        <v>71780.0</v>
      </c>
      <c r="L470" s="125">
        <v>5140.0</v>
      </c>
      <c r="M470" s="125">
        <v>207682.0</v>
      </c>
      <c r="N470" s="125">
        <v>-171983.0</v>
      </c>
      <c r="O470" s="125"/>
      <c r="P470" s="125"/>
      <c r="Q470" s="125"/>
      <c r="R470" s="125"/>
      <c r="S470" s="125"/>
      <c r="T470" s="125"/>
      <c r="U470" s="125"/>
      <c r="V470" s="125"/>
    </row>
    <row r="471">
      <c r="A471" s="122" t="s">
        <v>1404</v>
      </c>
      <c r="B471" s="122" t="s">
        <v>2328</v>
      </c>
      <c r="C471" s="125">
        <v>1453018.0</v>
      </c>
      <c r="D471" s="125">
        <v>1451018.0</v>
      </c>
      <c r="E471" s="125">
        <v>60.0</v>
      </c>
      <c r="F471" s="125">
        <v>2000.0</v>
      </c>
      <c r="G471" s="125">
        <v>1015249.0</v>
      </c>
      <c r="H471" s="125">
        <v>437769.0</v>
      </c>
      <c r="I471" s="125" t="s">
        <v>2727</v>
      </c>
      <c r="J471" s="125">
        <v>593820.0</v>
      </c>
      <c r="K471" s="125">
        <v>84031.0</v>
      </c>
      <c r="L471" s="125">
        <v>0.0</v>
      </c>
      <c r="M471" s="125">
        <v>259539.0</v>
      </c>
      <c r="N471" s="125">
        <v>-77859.0</v>
      </c>
      <c r="O471" s="125"/>
      <c r="P471" s="125"/>
      <c r="Q471" s="125"/>
      <c r="R471" s="125"/>
      <c r="S471" s="125"/>
      <c r="T471" s="125"/>
      <c r="U471" s="125"/>
      <c r="V471" s="125"/>
    </row>
    <row r="472">
      <c r="A472" s="122" t="s">
        <v>1431</v>
      </c>
      <c r="B472" s="122" t="s">
        <v>2329</v>
      </c>
      <c r="C472" s="125">
        <v>294950.0</v>
      </c>
      <c r="D472" s="125">
        <v>294950.0</v>
      </c>
      <c r="E472" s="125">
        <v>5.0</v>
      </c>
      <c r="F472" s="125">
        <v>0.0</v>
      </c>
      <c r="G472" s="125">
        <v>255511.0</v>
      </c>
      <c r="H472" s="125">
        <v>39439.0</v>
      </c>
      <c r="I472" s="125" t="s">
        <v>2955</v>
      </c>
      <c r="J472" s="125">
        <v>96010.0</v>
      </c>
      <c r="K472" s="125">
        <v>95996.0</v>
      </c>
      <c r="L472" s="125">
        <v>0.0</v>
      </c>
      <c r="M472" s="125">
        <v>43494.0</v>
      </c>
      <c r="N472" s="125">
        <v>-20011.0</v>
      </c>
      <c r="O472" s="125"/>
      <c r="P472" s="125"/>
      <c r="Q472" s="125"/>
      <c r="R472" s="125"/>
      <c r="S472" s="125"/>
      <c r="T472" s="125"/>
      <c r="U472" s="125"/>
      <c r="V472" s="125"/>
    </row>
    <row r="473">
      <c r="A473" s="122" t="s">
        <v>1440</v>
      </c>
      <c r="B473" s="122" t="s">
        <v>2956</v>
      </c>
      <c r="C473" s="125">
        <v>2294423.0</v>
      </c>
      <c r="D473" s="125">
        <v>2294423.0</v>
      </c>
      <c r="E473" s="125">
        <v>139.0</v>
      </c>
      <c r="F473" s="125">
        <v>0.0</v>
      </c>
      <c r="G473" s="125">
        <v>1558197.0</v>
      </c>
      <c r="H473" s="125">
        <v>736226.0</v>
      </c>
      <c r="I473" s="125" t="s">
        <v>2772</v>
      </c>
      <c r="J473" s="125">
        <v>830180.0</v>
      </c>
      <c r="K473" s="125">
        <v>200700.0</v>
      </c>
      <c r="L473" s="125">
        <v>661.0</v>
      </c>
      <c r="M473" s="125">
        <v>494502.0</v>
      </c>
      <c r="N473" s="125">
        <v>-32154.0</v>
      </c>
      <c r="O473" s="125"/>
      <c r="P473" s="125"/>
      <c r="Q473" s="125"/>
      <c r="R473" s="125"/>
      <c r="S473" s="125"/>
      <c r="T473" s="125"/>
      <c r="U473" s="125"/>
      <c r="V473" s="125"/>
    </row>
    <row r="474">
      <c r="A474" s="122" t="s">
        <v>1443</v>
      </c>
      <c r="B474" s="122" t="s">
        <v>2957</v>
      </c>
      <c r="C474" s="125">
        <v>2027413.0</v>
      </c>
      <c r="D474" s="125">
        <v>2027413.0</v>
      </c>
      <c r="E474" s="125">
        <v>112.0</v>
      </c>
      <c r="F474" s="125">
        <v>0.0</v>
      </c>
      <c r="G474" s="125">
        <v>1463651.0</v>
      </c>
      <c r="H474" s="125">
        <v>563762.0</v>
      </c>
      <c r="I474" s="125" t="s">
        <v>2958</v>
      </c>
      <c r="J474" s="125">
        <v>769540.0</v>
      </c>
      <c r="K474" s="125">
        <v>242094.0</v>
      </c>
      <c r="L474" s="125">
        <v>2545.0</v>
      </c>
      <c r="M474" s="125">
        <v>431770.0</v>
      </c>
      <c r="N474" s="125">
        <v>-17702.0</v>
      </c>
      <c r="O474" s="125"/>
      <c r="P474" s="125"/>
      <c r="Q474" s="125"/>
      <c r="R474" s="125"/>
      <c r="S474" s="125"/>
      <c r="T474" s="125"/>
      <c r="U474" s="125"/>
      <c r="V474" s="125"/>
    </row>
    <row r="475">
      <c r="A475" s="122" t="s">
        <v>2332</v>
      </c>
      <c r="B475" s="122" t="s">
        <v>2333</v>
      </c>
      <c r="C475" s="125">
        <v>411710.0</v>
      </c>
      <c r="D475" s="125">
        <v>411710.0</v>
      </c>
      <c r="E475" s="125">
        <v>29.0</v>
      </c>
      <c r="F475" s="125">
        <v>0.0</v>
      </c>
      <c r="G475" s="125">
        <v>292514.0</v>
      </c>
      <c r="H475" s="125">
        <v>119196.0</v>
      </c>
      <c r="I475" s="125" t="s">
        <v>2959</v>
      </c>
      <c r="J475" s="125">
        <v>190498.0</v>
      </c>
      <c r="K475" s="125">
        <v>8674.0</v>
      </c>
      <c r="L475" s="125">
        <v>348.0</v>
      </c>
      <c r="M475" s="125">
        <v>81744.0</v>
      </c>
      <c r="N475" s="125">
        <v>-11250.0</v>
      </c>
      <c r="O475" s="125"/>
      <c r="P475" s="125"/>
      <c r="Q475" s="125"/>
      <c r="R475" s="125"/>
      <c r="S475" s="125"/>
      <c r="T475" s="125"/>
      <c r="U475" s="125"/>
      <c r="V475" s="125"/>
    </row>
    <row r="476">
      <c r="A476" s="122" t="s">
        <v>1434</v>
      </c>
      <c r="B476" s="122" t="s">
        <v>2960</v>
      </c>
      <c r="C476" s="125">
        <v>1578966.0</v>
      </c>
      <c r="D476" s="125">
        <v>1578966.0</v>
      </c>
      <c r="E476" s="125">
        <v>31.0</v>
      </c>
      <c r="F476" s="125">
        <v>0.0</v>
      </c>
      <c r="G476" s="125">
        <v>1190403.0</v>
      </c>
      <c r="H476" s="125">
        <v>388563.0</v>
      </c>
      <c r="I476" s="125" t="s">
        <v>2961</v>
      </c>
      <c r="J476" s="125">
        <v>771745.0</v>
      </c>
      <c r="K476" s="125">
        <v>52761.0</v>
      </c>
      <c r="L476" s="125">
        <v>431.0</v>
      </c>
      <c r="M476" s="125">
        <v>241857.0</v>
      </c>
      <c r="N476" s="125">
        <v>-123609.0</v>
      </c>
      <c r="O476" s="125"/>
      <c r="P476" s="125"/>
      <c r="Q476" s="125"/>
      <c r="R476" s="125"/>
      <c r="S476" s="125"/>
      <c r="T476" s="125"/>
      <c r="U476" s="125"/>
      <c r="V476" s="125"/>
    </row>
    <row r="477">
      <c r="A477" s="122" t="s">
        <v>2335</v>
      </c>
      <c r="B477" s="122" t="s">
        <v>2336</v>
      </c>
      <c r="C477" s="125">
        <v>775260.0</v>
      </c>
      <c r="D477" s="125">
        <v>775260.0</v>
      </c>
      <c r="E477" s="125">
        <v>39.0</v>
      </c>
      <c r="F477" s="125">
        <v>0.0</v>
      </c>
      <c r="G477" s="125">
        <v>585911.0</v>
      </c>
      <c r="H477" s="125">
        <v>189349.0</v>
      </c>
      <c r="I477" s="125" t="s">
        <v>2962</v>
      </c>
      <c r="J477" s="125">
        <v>380640.0</v>
      </c>
      <c r="K477" s="125">
        <v>42325.0</v>
      </c>
      <c r="L477" s="125">
        <v>416.0</v>
      </c>
      <c r="M477" s="125">
        <v>149327.0</v>
      </c>
      <c r="N477" s="125">
        <v>-13203.0</v>
      </c>
      <c r="O477" s="125"/>
      <c r="P477" s="125"/>
      <c r="Q477" s="125"/>
      <c r="R477" s="125"/>
      <c r="S477" s="125"/>
      <c r="T477" s="125"/>
      <c r="U477" s="125"/>
      <c r="V477" s="125"/>
    </row>
    <row r="478">
      <c r="A478" s="122" t="s">
        <v>1437</v>
      </c>
      <c r="B478" s="122" t="s">
        <v>2963</v>
      </c>
      <c r="C478" s="125">
        <v>3.0725344E7</v>
      </c>
      <c r="D478" s="125">
        <v>3.0685344E7</v>
      </c>
      <c r="E478" s="125">
        <v>182.0</v>
      </c>
      <c r="F478" s="125">
        <v>40000.0</v>
      </c>
      <c r="G478" s="125">
        <v>1.8507066E7</v>
      </c>
      <c r="H478" s="125">
        <v>1.2218278E7</v>
      </c>
      <c r="I478" s="125" t="s">
        <v>2964</v>
      </c>
      <c r="J478" s="125">
        <v>1.146145E7</v>
      </c>
      <c r="K478" s="125">
        <v>707315.0</v>
      </c>
      <c r="L478" s="125">
        <v>0.0</v>
      </c>
      <c r="M478" s="125">
        <v>4585649.0</v>
      </c>
      <c r="N478" s="125">
        <v>-1752652.0</v>
      </c>
      <c r="O478" s="125"/>
      <c r="P478" s="125"/>
      <c r="Q478" s="125"/>
      <c r="R478" s="125"/>
      <c r="S478" s="125"/>
      <c r="T478" s="125"/>
      <c r="U478" s="125"/>
      <c r="V478" s="125"/>
    </row>
    <row r="479">
      <c r="A479" s="122" t="s">
        <v>1357</v>
      </c>
      <c r="B479" s="122" t="s">
        <v>2965</v>
      </c>
      <c r="C479" s="125">
        <v>506305.0</v>
      </c>
      <c r="D479" s="125">
        <v>506305.0</v>
      </c>
      <c r="E479" s="125">
        <v>27.0</v>
      </c>
      <c r="F479" s="125">
        <v>0.0</v>
      </c>
      <c r="G479" s="125">
        <v>358171.0</v>
      </c>
      <c r="H479" s="125">
        <v>148134.0</v>
      </c>
      <c r="I479" s="125" t="s">
        <v>2966</v>
      </c>
      <c r="J479" s="125">
        <v>201375.0</v>
      </c>
      <c r="K479" s="125">
        <v>52397.0</v>
      </c>
      <c r="L479" s="125">
        <v>794.0</v>
      </c>
      <c r="M479" s="125">
        <v>87819.0</v>
      </c>
      <c r="N479" s="125">
        <v>-15786.0</v>
      </c>
      <c r="O479" s="125"/>
      <c r="P479" s="125"/>
      <c r="Q479" s="125"/>
      <c r="R479" s="125"/>
      <c r="S479" s="125"/>
      <c r="T479" s="125"/>
      <c r="U479" s="125"/>
      <c r="V479" s="125"/>
    </row>
    <row r="480">
      <c r="A480" s="122" t="s">
        <v>1491</v>
      </c>
      <c r="B480" s="122" t="s">
        <v>2337</v>
      </c>
      <c r="C480" s="125">
        <v>2512047.0</v>
      </c>
      <c r="D480" s="125">
        <v>2508047.0</v>
      </c>
      <c r="E480" s="125">
        <v>187.0</v>
      </c>
      <c r="F480" s="125">
        <v>4000.0</v>
      </c>
      <c r="G480" s="125">
        <v>1666334.0</v>
      </c>
      <c r="H480" s="125">
        <v>845713.0</v>
      </c>
      <c r="I480" s="125" t="s">
        <v>2967</v>
      </c>
      <c r="J480" s="125">
        <v>874225.0</v>
      </c>
      <c r="K480" s="125">
        <v>292804.0</v>
      </c>
      <c r="L480" s="125">
        <v>6033.0</v>
      </c>
      <c r="M480" s="125">
        <v>435244.0</v>
      </c>
      <c r="N480" s="125">
        <v>-58028.0</v>
      </c>
      <c r="O480" s="125"/>
      <c r="P480" s="125"/>
      <c r="Q480" s="125"/>
      <c r="R480" s="125"/>
      <c r="S480" s="125"/>
      <c r="T480" s="125"/>
      <c r="U480" s="125"/>
      <c r="V480" s="125"/>
    </row>
    <row r="481">
      <c r="A481" s="122" t="s">
        <v>1455</v>
      </c>
      <c r="B481" s="122" t="s">
        <v>2338</v>
      </c>
      <c r="C481" s="125">
        <v>3479270.0</v>
      </c>
      <c r="D481" s="125">
        <v>3479270.0</v>
      </c>
      <c r="E481" s="125">
        <v>193.0</v>
      </c>
      <c r="F481" s="125">
        <v>0.0</v>
      </c>
      <c r="G481" s="125">
        <v>2371718.0</v>
      </c>
      <c r="H481" s="125">
        <v>1107552.0</v>
      </c>
      <c r="I481" s="125" t="s">
        <v>2968</v>
      </c>
      <c r="J481" s="125">
        <v>1524790.0</v>
      </c>
      <c r="K481" s="125">
        <v>116988.0</v>
      </c>
      <c r="L481" s="125">
        <v>1356.0</v>
      </c>
      <c r="M481" s="125">
        <v>677474.0</v>
      </c>
      <c r="N481" s="125">
        <v>-51110.0</v>
      </c>
      <c r="O481" s="125"/>
      <c r="P481" s="125"/>
      <c r="Q481" s="125"/>
      <c r="R481" s="125"/>
      <c r="S481" s="125"/>
      <c r="T481" s="125"/>
      <c r="U481" s="125"/>
      <c r="V481" s="125"/>
    </row>
    <row r="482">
      <c r="A482" s="122" t="s">
        <v>1500</v>
      </c>
      <c r="B482" s="122" t="s">
        <v>2339</v>
      </c>
      <c r="C482" s="125">
        <v>3955118.0</v>
      </c>
      <c r="D482" s="125">
        <v>3955118.0</v>
      </c>
      <c r="E482" s="125">
        <v>65.0</v>
      </c>
      <c r="F482" s="125">
        <v>0.0</v>
      </c>
      <c r="G482" s="125">
        <v>2883499.0</v>
      </c>
      <c r="H482" s="125">
        <v>1071619.0</v>
      </c>
      <c r="I482" s="125" t="s">
        <v>2969</v>
      </c>
      <c r="J482" s="125">
        <v>1635335.0</v>
      </c>
      <c r="K482" s="125">
        <v>285099.0</v>
      </c>
      <c r="L482" s="125">
        <v>1248.0</v>
      </c>
      <c r="M482" s="125">
        <v>557493.0</v>
      </c>
      <c r="N482" s="125">
        <v>-404324.0</v>
      </c>
      <c r="O482" s="125"/>
      <c r="P482" s="125"/>
      <c r="Q482" s="125"/>
      <c r="R482" s="125"/>
      <c r="S482" s="125"/>
      <c r="T482" s="125"/>
      <c r="U482" s="125"/>
      <c r="V482" s="125"/>
    </row>
    <row r="483">
      <c r="A483" s="122" t="s">
        <v>1497</v>
      </c>
      <c r="B483" s="122" t="s">
        <v>2340</v>
      </c>
      <c r="C483" s="125">
        <v>125010.0</v>
      </c>
      <c r="D483" s="125">
        <v>125010.0</v>
      </c>
      <c r="E483" s="125">
        <v>103.0</v>
      </c>
      <c r="F483" s="125">
        <v>0.0</v>
      </c>
      <c r="G483" s="125">
        <v>115296.0</v>
      </c>
      <c r="H483" s="125">
        <v>9714.0</v>
      </c>
      <c r="I483" s="125" t="s">
        <v>2970</v>
      </c>
      <c r="J483" s="125">
        <v>60461.0</v>
      </c>
      <c r="K483" s="125">
        <v>7895.0</v>
      </c>
      <c r="L483" s="125">
        <v>11472.0</v>
      </c>
      <c r="M483" s="125">
        <v>35226.0</v>
      </c>
      <c r="N483" s="125">
        <v>-242.0</v>
      </c>
      <c r="O483" s="125"/>
      <c r="P483" s="125"/>
      <c r="Q483" s="125"/>
      <c r="R483" s="125"/>
      <c r="S483" s="125"/>
      <c r="T483" s="125"/>
      <c r="U483" s="125"/>
      <c r="V483" s="125"/>
    </row>
    <row r="484">
      <c r="A484" s="122" t="s">
        <v>1485</v>
      </c>
      <c r="B484" s="122" t="s">
        <v>2341</v>
      </c>
      <c r="C484" s="125">
        <v>5376195.0</v>
      </c>
      <c r="D484" s="125">
        <v>5376195.0</v>
      </c>
      <c r="E484" s="125">
        <v>293.0</v>
      </c>
      <c r="F484" s="125">
        <v>0.0</v>
      </c>
      <c r="G484" s="125">
        <v>3314415.0</v>
      </c>
      <c r="H484" s="125">
        <v>2061780.0</v>
      </c>
      <c r="I484" s="125" t="s">
        <v>2971</v>
      </c>
      <c r="J484" s="125">
        <v>1757491.0</v>
      </c>
      <c r="K484" s="125">
        <v>416261.0</v>
      </c>
      <c r="L484" s="125">
        <v>8928.0</v>
      </c>
      <c r="M484" s="125">
        <v>1080303.0</v>
      </c>
      <c r="N484" s="125">
        <v>-51432.0</v>
      </c>
      <c r="O484" s="125"/>
      <c r="P484" s="125"/>
      <c r="Q484" s="125"/>
      <c r="R484" s="125"/>
      <c r="S484" s="125"/>
      <c r="T484" s="125"/>
      <c r="U484" s="125"/>
      <c r="V484" s="125"/>
    </row>
    <row r="485">
      <c r="A485" s="122" t="s">
        <v>1488</v>
      </c>
      <c r="B485" s="122" t="s">
        <v>2342</v>
      </c>
      <c r="C485" s="125">
        <v>5800220.0</v>
      </c>
      <c r="D485" s="125">
        <v>5792220.0</v>
      </c>
      <c r="E485" s="125">
        <v>297.0</v>
      </c>
      <c r="F485" s="125">
        <v>8000.0</v>
      </c>
      <c r="G485" s="125">
        <v>3326294.0</v>
      </c>
      <c r="H485" s="125">
        <v>2473926.0</v>
      </c>
      <c r="I485" s="125" t="s">
        <v>2972</v>
      </c>
      <c r="J485" s="125">
        <v>1780515.0</v>
      </c>
      <c r="K485" s="125">
        <v>330284.0</v>
      </c>
      <c r="L485" s="125">
        <v>6236.0</v>
      </c>
      <c r="M485" s="125">
        <v>1147577.0</v>
      </c>
      <c r="N485" s="125">
        <v>-61682.0</v>
      </c>
      <c r="O485" s="125"/>
      <c r="P485" s="125"/>
      <c r="Q485" s="125"/>
      <c r="R485" s="125"/>
      <c r="S485" s="125"/>
      <c r="T485" s="125"/>
      <c r="U485" s="125"/>
      <c r="V485" s="125"/>
    </row>
    <row r="486">
      <c r="A486" s="122" t="s">
        <v>1452</v>
      </c>
      <c r="B486" s="122" t="s">
        <v>2343</v>
      </c>
      <c r="C486" s="125">
        <v>2317242.0</v>
      </c>
      <c r="D486" s="125">
        <v>2287242.0</v>
      </c>
      <c r="E486" s="125">
        <v>18.0</v>
      </c>
      <c r="F486" s="125">
        <v>30000.0</v>
      </c>
      <c r="G486" s="125">
        <v>1365185.0</v>
      </c>
      <c r="H486" s="125">
        <v>952057.0</v>
      </c>
      <c r="I486" s="125" t="s">
        <v>2973</v>
      </c>
      <c r="J486" s="125">
        <v>789462.0</v>
      </c>
      <c r="K486" s="125">
        <v>65570.0</v>
      </c>
      <c r="L486" s="125">
        <v>5380.0</v>
      </c>
      <c r="M486" s="125">
        <v>394611.0</v>
      </c>
      <c r="N486" s="125">
        <v>-110162.0</v>
      </c>
      <c r="O486" s="125"/>
      <c r="P486" s="125"/>
      <c r="Q486" s="125"/>
      <c r="R486" s="125"/>
      <c r="S486" s="125"/>
      <c r="T486" s="125"/>
      <c r="U486" s="125"/>
      <c r="V486" s="125"/>
    </row>
    <row r="487">
      <c r="A487" s="122" t="s">
        <v>1482</v>
      </c>
      <c r="B487" s="122" t="s">
        <v>2974</v>
      </c>
      <c r="C487" s="125">
        <v>4694181.0</v>
      </c>
      <c r="D487" s="125">
        <v>4694181.0</v>
      </c>
      <c r="E487" s="125">
        <v>371.0</v>
      </c>
      <c r="F487" s="125">
        <v>0.0</v>
      </c>
      <c r="G487" s="125">
        <v>2771995.0</v>
      </c>
      <c r="H487" s="125">
        <v>1922186.0</v>
      </c>
      <c r="I487" s="125" t="s">
        <v>2975</v>
      </c>
      <c r="J487" s="125">
        <v>1586025.0</v>
      </c>
      <c r="K487" s="125">
        <v>158620.0</v>
      </c>
      <c r="L487" s="125">
        <v>1882.0</v>
      </c>
      <c r="M487" s="125">
        <v>922536.0</v>
      </c>
      <c r="N487" s="125">
        <v>-102932.0</v>
      </c>
      <c r="O487" s="125"/>
      <c r="P487" s="125"/>
      <c r="Q487" s="125"/>
      <c r="R487" s="125"/>
      <c r="S487" s="125"/>
      <c r="T487" s="125"/>
      <c r="U487" s="125"/>
      <c r="V487" s="125"/>
    </row>
    <row r="488">
      <c r="A488" s="122" t="s">
        <v>1536</v>
      </c>
      <c r="B488" s="122" t="s">
        <v>2976</v>
      </c>
      <c r="C488" s="125">
        <v>8066270.0</v>
      </c>
      <c r="D488" s="125">
        <v>8066270.0</v>
      </c>
      <c r="E488" s="125">
        <v>473.0</v>
      </c>
      <c r="F488" s="125">
        <v>0.0</v>
      </c>
      <c r="G488" s="125">
        <v>5183641.0</v>
      </c>
      <c r="H488" s="125">
        <v>2882629.0</v>
      </c>
      <c r="I488" s="125" t="s">
        <v>2977</v>
      </c>
      <c r="J488" s="125">
        <v>3037755.0</v>
      </c>
      <c r="K488" s="125">
        <v>342849.0</v>
      </c>
      <c r="L488" s="125">
        <v>4094.0</v>
      </c>
      <c r="M488" s="125">
        <v>1619429.0</v>
      </c>
      <c r="N488" s="125">
        <v>-179514.0</v>
      </c>
      <c r="O488" s="125"/>
      <c r="P488" s="125"/>
      <c r="Q488" s="125"/>
      <c r="R488" s="125"/>
      <c r="S488" s="125"/>
      <c r="T488" s="125"/>
      <c r="U488" s="125"/>
      <c r="V488" s="125"/>
    </row>
    <row r="489">
      <c r="A489" s="122" t="s">
        <v>2346</v>
      </c>
      <c r="B489" s="122" t="s">
        <v>1933</v>
      </c>
      <c r="C489" s="125">
        <v>24990.0</v>
      </c>
      <c r="D489" s="125">
        <v>24990.0</v>
      </c>
      <c r="E489" s="125">
        <v>1.0</v>
      </c>
      <c r="F489" s="125">
        <v>0.0</v>
      </c>
      <c r="G489" s="125">
        <v>8338.0</v>
      </c>
      <c r="H489" s="125">
        <v>16652.0</v>
      </c>
      <c r="I489" s="125" t="s">
        <v>2978</v>
      </c>
      <c r="J489" s="125">
        <v>0.0</v>
      </c>
      <c r="K489" s="125">
        <v>1899.0</v>
      </c>
      <c r="L489" s="125">
        <v>0.0</v>
      </c>
      <c r="M489" s="125">
        <v>3749.0</v>
      </c>
      <c r="N489" s="125">
        <v>-2690.0</v>
      </c>
      <c r="O489" s="125"/>
      <c r="P489" s="125"/>
      <c r="Q489" s="125"/>
      <c r="R489" s="125"/>
      <c r="S489" s="125"/>
      <c r="T489" s="125"/>
      <c r="U489" s="125"/>
      <c r="V489" s="125"/>
    </row>
    <row r="490">
      <c r="A490" s="122" t="s">
        <v>1533</v>
      </c>
      <c r="B490" s="122" t="s">
        <v>2979</v>
      </c>
      <c r="C490" s="125">
        <v>1399730.0</v>
      </c>
      <c r="D490" s="125">
        <v>1399730.0</v>
      </c>
      <c r="E490" s="125">
        <v>27.0</v>
      </c>
      <c r="F490" s="125">
        <v>0.0</v>
      </c>
      <c r="G490" s="125">
        <v>1047471.0</v>
      </c>
      <c r="H490" s="125">
        <v>352259.0</v>
      </c>
      <c r="I490" s="125" t="s">
        <v>2861</v>
      </c>
      <c r="J490" s="125">
        <v>600129.0</v>
      </c>
      <c r="K490" s="125">
        <v>168875.0</v>
      </c>
      <c r="L490" s="125">
        <v>1076.0</v>
      </c>
      <c r="M490" s="125">
        <v>196573.0</v>
      </c>
      <c r="N490" s="125">
        <v>-80818.0</v>
      </c>
      <c r="O490" s="125"/>
      <c r="P490" s="125"/>
      <c r="Q490" s="125"/>
      <c r="R490" s="125"/>
      <c r="S490" s="125"/>
      <c r="T490" s="125"/>
      <c r="U490" s="125"/>
      <c r="V490" s="125"/>
    </row>
    <row r="491">
      <c r="A491" s="122" t="s">
        <v>1449</v>
      </c>
      <c r="B491" s="122" t="s">
        <v>2980</v>
      </c>
      <c r="C491" s="125">
        <v>6847996.0</v>
      </c>
      <c r="D491" s="125">
        <v>6847996.0</v>
      </c>
      <c r="E491" s="125">
        <v>138.0</v>
      </c>
      <c r="F491" s="125">
        <v>0.0</v>
      </c>
      <c r="G491" s="125">
        <v>4529999.0</v>
      </c>
      <c r="H491" s="125">
        <v>2317997.0</v>
      </c>
      <c r="I491" s="125" t="s">
        <v>2981</v>
      </c>
      <c r="J491" s="125">
        <v>2325724.0</v>
      </c>
      <c r="K491" s="125">
        <v>333523.0</v>
      </c>
      <c r="L491" s="125">
        <v>2734.0</v>
      </c>
      <c r="M491" s="125">
        <v>1193328.0</v>
      </c>
      <c r="N491" s="125">
        <v>-674690.0</v>
      </c>
      <c r="O491" s="125"/>
      <c r="P491" s="125"/>
      <c r="Q491" s="125"/>
      <c r="R491" s="125"/>
      <c r="S491" s="125"/>
      <c r="T491" s="125"/>
      <c r="U491" s="125"/>
      <c r="V491" s="125"/>
    </row>
    <row r="492">
      <c r="A492" s="122" t="s">
        <v>1446</v>
      </c>
      <c r="B492" s="122" t="s">
        <v>2982</v>
      </c>
      <c r="C492" s="125">
        <v>8186312.0</v>
      </c>
      <c r="D492" s="125">
        <v>8186312.0</v>
      </c>
      <c r="E492" s="125">
        <v>137.0</v>
      </c>
      <c r="F492" s="125">
        <v>0.0</v>
      </c>
      <c r="G492" s="125">
        <v>4918604.0</v>
      </c>
      <c r="H492" s="125">
        <v>3267708.0</v>
      </c>
      <c r="I492" s="125" t="s">
        <v>2983</v>
      </c>
      <c r="J492" s="125">
        <v>2401284.0</v>
      </c>
      <c r="K492" s="125">
        <v>309486.0</v>
      </c>
      <c r="L492" s="125">
        <v>554.0</v>
      </c>
      <c r="M492" s="125">
        <v>1371972.0</v>
      </c>
      <c r="N492" s="125">
        <v>-835308.0</v>
      </c>
      <c r="O492" s="125"/>
      <c r="P492" s="125"/>
      <c r="Q492" s="125"/>
      <c r="R492" s="125"/>
      <c r="S492" s="125"/>
      <c r="T492" s="125"/>
      <c r="U492" s="125"/>
      <c r="V492" s="125"/>
    </row>
    <row r="493">
      <c r="A493" s="122" t="s">
        <v>1503</v>
      </c>
      <c r="B493" s="122" t="s">
        <v>2984</v>
      </c>
      <c r="C493" s="125">
        <v>4859040.0</v>
      </c>
      <c r="D493" s="125">
        <v>4799040.0</v>
      </c>
      <c r="E493" s="125">
        <v>44.0</v>
      </c>
      <c r="F493" s="125">
        <v>60000.0</v>
      </c>
      <c r="G493" s="125">
        <v>2860447.0</v>
      </c>
      <c r="H493" s="125">
        <v>1998593.0</v>
      </c>
      <c r="I493" s="125" t="s">
        <v>2720</v>
      </c>
      <c r="J493" s="125">
        <v>1624392.0</v>
      </c>
      <c r="K493" s="125">
        <v>175544.0</v>
      </c>
      <c r="L493" s="125">
        <v>9940.0</v>
      </c>
      <c r="M493" s="125">
        <v>762500.0</v>
      </c>
      <c r="N493" s="125">
        <v>-288071.0</v>
      </c>
      <c r="O493" s="125"/>
      <c r="P493" s="125"/>
      <c r="Q493" s="125"/>
      <c r="R493" s="125"/>
      <c r="S493" s="125"/>
      <c r="T493" s="125"/>
      <c r="U493" s="125"/>
      <c r="V493" s="125"/>
    </row>
    <row r="494">
      <c r="A494" s="122" t="s">
        <v>1508</v>
      </c>
      <c r="B494" s="122" t="s">
        <v>2985</v>
      </c>
      <c r="C494" s="125">
        <v>2195654.0</v>
      </c>
      <c r="D494" s="125">
        <v>2195654.0</v>
      </c>
      <c r="E494" s="125">
        <v>22.0</v>
      </c>
      <c r="F494" s="125">
        <v>0.0</v>
      </c>
      <c r="G494" s="125">
        <v>1607200.0</v>
      </c>
      <c r="H494" s="125">
        <v>588454.0</v>
      </c>
      <c r="I494" s="125" t="s">
        <v>2986</v>
      </c>
      <c r="J494" s="125">
        <v>999922.0</v>
      </c>
      <c r="K494" s="125">
        <v>152189.0</v>
      </c>
      <c r="L494" s="125">
        <v>796.0</v>
      </c>
      <c r="M494" s="125">
        <v>346299.0</v>
      </c>
      <c r="N494" s="125">
        <v>-107994.0</v>
      </c>
      <c r="O494" s="125"/>
      <c r="P494" s="125"/>
      <c r="Q494" s="125"/>
      <c r="R494" s="125"/>
      <c r="S494" s="125"/>
      <c r="T494" s="125"/>
      <c r="U494" s="125"/>
      <c r="V494" s="125"/>
    </row>
    <row r="495">
      <c r="A495" s="122" t="s">
        <v>425</v>
      </c>
      <c r="B495" s="122" t="s">
        <v>2987</v>
      </c>
      <c r="C495" s="125">
        <v>1863530.0</v>
      </c>
      <c r="D495" s="125">
        <v>1863530.0</v>
      </c>
      <c r="E495" s="125">
        <v>38.0</v>
      </c>
      <c r="F495" s="125">
        <v>0.0</v>
      </c>
      <c r="G495" s="125">
        <v>1155330.0</v>
      </c>
      <c r="H495" s="125">
        <v>708200.0</v>
      </c>
      <c r="I495" s="125">
        <v>38.0</v>
      </c>
      <c r="J495" s="125">
        <v>583832.0</v>
      </c>
      <c r="K495" s="125">
        <v>132105.0</v>
      </c>
      <c r="L495" s="125">
        <v>23.0</v>
      </c>
      <c r="M495" s="125">
        <v>296657.0</v>
      </c>
      <c r="N495" s="125">
        <v>-142713.0</v>
      </c>
      <c r="O495" s="125"/>
      <c r="P495" s="125"/>
      <c r="Q495" s="125"/>
      <c r="R495" s="125"/>
      <c r="S495" s="125"/>
      <c r="T495" s="125"/>
      <c r="U495" s="125"/>
      <c r="V495" s="125"/>
    </row>
    <row r="496">
      <c r="A496" s="122" t="s">
        <v>1542</v>
      </c>
      <c r="B496" s="122" t="s">
        <v>2354</v>
      </c>
      <c r="C496" s="125">
        <v>1434960.0</v>
      </c>
      <c r="D496" s="125">
        <v>1434960.0</v>
      </c>
      <c r="E496" s="125">
        <v>104.0</v>
      </c>
      <c r="F496" s="125">
        <v>0.0</v>
      </c>
      <c r="G496" s="125">
        <v>883816.0</v>
      </c>
      <c r="H496" s="125">
        <v>551144.0</v>
      </c>
      <c r="I496" s="125" t="s">
        <v>2988</v>
      </c>
      <c r="J496" s="125">
        <v>491284.0</v>
      </c>
      <c r="K496" s="125">
        <v>60154.0</v>
      </c>
      <c r="L496" s="125">
        <v>4986.0</v>
      </c>
      <c r="M496" s="125">
        <v>311194.0</v>
      </c>
      <c r="N496" s="125">
        <v>-16198.0</v>
      </c>
      <c r="O496" s="125"/>
      <c r="P496" s="125"/>
      <c r="Q496" s="125"/>
      <c r="R496" s="125"/>
      <c r="S496" s="125"/>
      <c r="T496" s="125"/>
      <c r="U496" s="125"/>
      <c r="V496" s="125"/>
    </row>
    <row r="497">
      <c r="A497" s="122" t="s">
        <v>2371</v>
      </c>
      <c r="B497" s="122" t="s">
        <v>2372</v>
      </c>
      <c r="C497" s="125">
        <v>539870.0</v>
      </c>
      <c r="D497" s="125">
        <v>539870.0</v>
      </c>
      <c r="E497" s="125">
        <v>273.0</v>
      </c>
      <c r="F497" s="125">
        <v>0.0</v>
      </c>
      <c r="G497" s="125">
        <v>433960.0</v>
      </c>
      <c r="H497" s="125">
        <v>105910.0</v>
      </c>
      <c r="I497" s="125" t="s">
        <v>2989</v>
      </c>
      <c r="J497" s="125">
        <v>319956.0</v>
      </c>
      <c r="K497" s="125">
        <v>8804.0</v>
      </c>
      <c r="L497" s="125">
        <v>10057.0</v>
      </c>
      <c r="M497" s="125">
        <v>88951.0</v>
      </c>
      <c r="N497" s="125">
        <v>-6192.0</v>
      </c>
      <c r="O497" s="125"/>
      <c r="P497" s="125"/>
      <c r="Q497" s="125"/>
      <c r="R497" s="125"/>
      <c r="S497" s="125"/>
      <c r="T497" s="125"/>
      <c r="U497" s="125"/>
      <c r="V497" s="125"/>
    </row>
    <row r="498">
      <c r="A498" s="122" t="s">
        <v>2365</v>
      </c>
      <c r="B498" s="122" t="s">
        <v>2366</v>
      </c>
      <c r="C498" s="125">
        <v>503880.0</v>
      </c>
      <c r="D498" s="125">
        <v>503880.0</v>
      </c>
      <c r="E498" s="125">
        <v>12.0</v>
      </c>
      <c r="F498" s="125">
        <v>0.0</v>
      </c>
      <c r="G498" s="125">
        <v>624888.0</v>
      </c>
      <c r="H498" s="125">
        <v>-121008.0</v>
      </c>
      <c r="I498" s="125" t="s">
        <v>2990</v>
      </c>
      <c r="J498" s="125">
        <v>204768.0</v>
      </c>
      <c r="K498" s="125">
        <v>292343.0</v>
      </c>
      <c r="L498" s="125">
        <v>715.0</v>
      </c>
      <c r="M498" s="125">
        <v>80616.0</v>
      </c>
      <c r="N498" s="125">
        <v>-46446.0</v>
      </c>
      <c r="O498" s="125"/>
      <c r="P498" s="125"/>
      <c r="Q498" s="125"/>
      <c r="R498" s="125"/>
      <c r="S498" s="125"/>
      <c r="T498" s="125"/>
      <c r="U498" s="125"/>
      <c r="V498" s="125"/>
    </row>
    <row r="499">
      <c r="A499" s="122" t="s">
        <v>2367</v>
      </c>
      <c r="B499" s="122" t="s">
        <v>2368</v>
      </c>
      <c r="C499" s="125">
        <v>654440.0</v>
      </c>
      <c r="D499" s="125">
        <v>654440.0</v>
      </c>
      <c r="E499" s="125">
        <v>56.0</v>
      </c>
      <c r="F499" s="125">
        <v>0.0</v>
      </c>
      <c r="G499" s="125">
        <v>507284.0</v>
      </c>
      <c r="H499" s="125">
        <v>147156.0</v>
      </c>
      <c r="I499" s="125" t="s">
        <v>2991</v>
      </c>
      <c r="J499" s="125">
        <v>328720.0</v>
      </c>
      <c r="K499" s="125">
        <v>69089.0</v>
      </c>
      <c r="L499" s="125">
        <v>4033.0</v>
      </c>
      <c r="M499" s="125">
        <v>102442.0</v>
      </c>
      <c r="N499" s="125">
        <v>-3000.0</v>
      </c>
      <c r="O499" s="125"/>
      <c r="P499" s="125"/>
      <c r="Q499" s="125"/>
      <c r="R499" s="125"/>
      <c r="S499" s="125"/>
      <c r="T499" s="125"/>
      <c r="U499" s="125"/>
      <c r="V499" s="125"/>
    </row>
    <row r="500">
      <c r="A500" s="122" t="s">
        <v>522</v>
      </c>
      <c r="B500" s="122" t="s">
        <v>524</v>
      </c>
      <c r="C500" s="125">
        <v>9043480.0</v>
      </c>
      <c r="D500" s="125">
        <v>9043480.0</v>
      </c>
      <c r="E500" s="125">
        <v>822.0</v>
      </c>
      <c r="F500" s="125">
        <v>0.0</v>
      </c>
      <c r="G500" s="125">
        <v>5545899.0</v>
      </c>
      <c r="H500" s="125">
        <v>3497581.0</v>
      </c>
      <c r="I500" s="125" t="s">
        <v>2992</v>
      </c>
      <c r="J500" s="125">
        <v>2851194.0</v>
      </c>
      <c r="K500" s="125">
        <v>453301.0</v>
      </c>
      <c r="L500" s="125">
        <v>28982.0</v>
      </c>
      <c r="M500" s="125">
        <v>1968696.0</v>
      </c>
      <c r="N500" s="125">
        <v>-243726.0</v>
      </c>
      <c r="O500" s="125"/>
      <c r="P500" s="125"/>
      <c r="Q500" s="125"/>
      <c r="R500" s="125"/>
      <c r="S500" s="125"/>
      <c r="T500" s="125"/>
      <c r="U500" s="125"/>
      <c r="V500" s="125"/>
    </row>
    <row r="501">
      <c r="A501" s="122" t="s">
        <v>897</v>
      </c>
      <c r="B501" s="122" t="s">
        <v>899</v>
      </c>
      <c r="C501" s="125">
        <v>2703535.0</v>
      </c>
      <c r="D501" s="125">
        <v>2610535.0</v>
      </c>
      <c r="E501" s="125">
        <v>98.0</v>
      </c>
      <c r="F501" s="125">
        <v>93000.0</v>
      </c>
      <c r="G501" s="125">
        <v>1860217.0</v>
      </c>
      <c r="H501" s="125">
        <v>843318.0</v>
      </c>
      <c r="I501" s="125" t="s">
        <v>2993</v>
      </c>
      <c r="J501" s="125">
        <v>845444.0</v>
      </c>
      <c r="K501" s="125">
        <v>237857.0</v>
      </c>
      <c r="L501" s="125">
        <v>817.0</v>
      </c>
      <c r="M501" s="125">
        <v>509934.0</v>
      </c>
      <c r="N501" s="125">
        <v>-266165.0</v>
      </c>
      <c r="O501" s="125"/>
      <c r="P501" s="125"/>
      <c r="Q501" s="125"/>
      <c r="R501" s="125"/>
      <c r="S501" s="125"/>
      <c r="T501" s="125"/>
      <c r="U501" s="125"/>
      <c r="V501" s="125"/>
    </row>
    <row r="502">
      <c r="A502" s="122" t="s">
        <v>988</v>
      </c>
      <c r="B502" s="122" t="s">
        <v>990</v>
      </c>
      <c r="C502" s="125">
        <v>4649147.0</v>
      </c>
      <c r="D502" s="125">
        <v>4649147.0</v>
      </c>
      <c r="E502" s="125">
        <v>190.0</v>
      </c>
      <c r="F502" s="125">
        <v>0.0</v>
      </c>
      <c r="G502" s="125">
        <v>3194567.0</v>
      </c>
      <c r="H502" s="125">
        <v>1454580.0</v>
      </c>
      <c r="I502" s="125" t="s">
        <v>2994</v>
      </c>
      <c r="J502" s="125">
        <v>1811036.0</v>
      </c>
      <c r="K502" s="125">
        <v>188483.0</v>
      </c>
      <c r="L502" s="125">
        <v>1475.0</v>
      </c>
      <c r="M502" s="125">
        <v>689448.0</v>
      </c>
      <c r="N502" s="125">
        <v>-504125.0</v>
      </c>
      <c r="O502" s="125"/>
      <c r="P502" s="125"/>
      <c r="Q502" s="125"/>
      <c r="R502" s="125"/>
      <c r="S502" s="125"/>
      <c r="T502" s="125"/>
      <c r="U502" s="125"/>
      <c r="V502" s="125"/>
    </row>
    <row r="503">
      <c r="A503" s="122" t="s">
        <v>1560</v>
      </c>
      <c r="B503" s="122" t="s">
        <v>2995</v>
      </c>
      <c r="C503" s="125">
        <v>1083389.0</v>
      </c>
      <c r="D503" s="125">
        <v>1083389.0</v>
      </c>
      <c r="E503" s="125">
        <v>99.0</v>
      </c>
      <c r="F503" s="125">
        <v>0.0</v>
      </c>
      <c r="G503" s="125">
        <v>788651.0</v>
      </c>
      <c r="H503" s="125">
        <v>294738.0</v>
      </c>
      <c r="I503" s="125" t="s">
        <v>2996</v>
      </c>
      <c r="J503" s="125">
        <v>365112.0</v>
      </c>
      <c r="K503" s="125">
        <v>146191.0</v>
      </c>
      <c r="L503" s="125">
        <v>353.0</v>
      </c>
      <c r="M503" s="125">
        <v>252711.0</v>
      </c>
      <c r="N503" s="125">
        <v>-24284.0</v>
      </c>
      <c r="O503" s="125"/>
      <c r="P503" s="125"/>
      <c r="Q503" s="125"/>
      <c r="R503" s="125"/>
      <c r="S503" s="125"/>
      <c r="T503" s="125"/>
      <c r="U503" s="125"/>
      <c r="V503" s="125"/>
    </row>
    <row r="504">
      <c r="A504" s="122" t="s">
        <v>1563</v>
      </c>
      <c r="B504" s="122" t="s">
        <v>2997</v>
      </c>
      <c r="C504" s="125">
        <v>2083754.0</v>
      </c>
      <c r="D504" s="125">
        <v>2083754.0</v>
      </c>
      <c r="E504" s="125">
        <v>258.0</v>
      </c>
      <c r="F504" s="125">
        <v>0.0</v>
      </c>
      <c r="G504" s="125">
        <v>1104311.0</v>
      </c>
      <c r="H504" s="125">
        <v>979443.0</v>
      </c>
      <c r="I504" s="125">
        <v>47.0</v>
      </c>
      <c r="J504" s="125">
        <v>546444.0</v>
      </c>
      <c r="K504" s="125">
        <v>82346.0</v>
      </c>
      <c r="L504" s="125">
        <v>7821.0</v>
      </c>
      <c r="M504" s="125">
        <v>446368.0</v>
      </c>
      <c r="N504" s="125">
        <v>-21332.0</v>
      </c>
      <c r="O504" s="125"/>
      <c r="P504" s="125"/>
      <c r="Q504" s="125"/>
      <c r="R504" s="125"/>
      <c r="S504" s="125"/>
      <c r="T504" s="125"/>
      <c r="U504" s="125"/>
      <c r="V504" s="125"/>
    </row>
    <row r="505">
      <c r="A505" s="122" t="s">
        <v>1572</v>
      </c>
      <c r="B505" s="122" t="s">
        <v>2998</v>
      </c>
      <c r="C505" s="125">
        <v>906675.0</v>
      </c>
      <c r="D505" s="125">
        <v>906675.0</v>
      </c>
      <c r="E505" s="125">
        <v>131.0</v>
      </c>
      <c r="F505" s="125">
        <v>0.0</v>
      </c>
      <c r="G505" s="125">
        <v>672460.0</v>
      </c>
      <c r="H505" s="125">
        <v>234215.0</v>
      </c>
      <c r="I505" s="125" t="s">
        <v>2999</v>
      </c>
      <c r="J505" s="125">
        <v>340469.0</v>
      </c>
      <c r="K505" s="125">
        <v>73955.0</v>
      </c>
      <c r="L505" s="125">
        <v>1690.0</v>
      </c>
      <c r="M505" s="125">
        <v>234046.0</v>
      </c>
      <c r="N505" s="125">
        <v>-22300.0</v>
      </c>
      <c r="O505" s="125"/>
      <c r="P505" s="125"/>
      <c r="Q505" s="125"/>
      <c r="R505" s="125"/>
      <c r="S505" s="125"/>
      <c r="T505" s="125"/>
      <c r="U505" s="125"/>
      <c r="V505" s="125"/>
    </row>
    <row r="506">
      <c r="A506" s="122" t="s">
        <v>1575</v>
      </c>
      <c r="B506" s="122" t="s">
        <v>3000</v>
      </c>
      <c r="C506" s="125">
        <v>3353645.0</v>
      </c>
      <c r="D506" s="125">
        <v>3353645.0</v>
      </c>
      <c r="E506" s="125">
        <v>199.0</v>
      </c>
      <c r="F506" s="125">
        <v>0.0</v>
      </c>
      <c r="G506" s="125">
        <v>1888327.0</v>
      </c>
      <c r="H506" s="125">
        <v>1465318.0</v>
      </c>
      <c r="I506" s="125" t="s">
        <v>3001</v>
      </c>
      <c r="J506" s="125">
        <v>871819.0</v>
      </c>
      <c r="K506" s="125">
        <v>298854.0</v>
      </c>
      <c r="L506" s="125">
        <v>4386.0</v>
      </c>
      <c r="M506" s="125">
        <v>694966.0</v>
      </c>
      <c r="N506" s="125">
        <v>-18302.0</v>
      </c>
      <c r="O506" s="125"/>
      <c r="P506" s="125"/>
      <c r="Q506" s="125"/>
      <c r="R506" s="125"/>
      <c r="S506" s="125"/>
      <c r="T506" s="125"/>
      <c r="U506" s="125"/>
      <c r="V506" s="125"/>
    </row>
    <row r="507">
      <c r="A507" s="122" t="s">
        <v>730</v>
      </c>
      <c r="B507" s="122" t="s">
        <v>1903</v>
      </c>
      <c r="C507" s="125">
        <v>38990.0</v>
      </c>
      <c r="D507" s="125">
        <v>38990.0</v>
      </c>
      <c r="E507" s="125">
        <v>1.0</v>
      </c>
      <c r="F507" s="125">
        <v>0.0</v>
      </c>
      <c r="G507" s="125">
        <v>28379.0</v>
      </c>
      <c r="H507" s="125">
        <v>10611.0</v>
      </c>
      <c r="I507" s="125" t="s">
        <v>2996</v>
      </c>
      <c r="J507" s="125">
        <v>19151.0</v>
      </c>
      <c r="K507" s="125">
        <v>0.0</v>
      </c>
      <c r="L507" s="125">
        <v>0.0</v>
      </c>
      <c r="M507" s="125">
        <v>6238.0</v>
      </c>
      <c r="N507" s="125">
        <v>-2990.0</v>
      </c>
      <c r="O507" s="125"/>
      <c r="P507" s="125"/>
      <c r="Q507" s="125"/>
      <c r="R507" s="125"/>
      <c r="S507" s="125"/>
      <c r="T507" s="125"/>
      <c r="U507" s="125"/>
      <c r="V507" s="125"/>
    </row>
    <row r="508">
      <c r="A508" s="122" t="s">
        <v>1074</v>
      </c>
      <c r="B508" s="122" t="s">
        <v>3002</v>
      </c>
      <c r="C508" s="125">
        <v>4757910.0</v>
      </c>
      <c r="D508" s="125">
        <v>4757910.0</v>
      </c>
      <c r="E508" s="125">
        <v>259.0</v>
      </c>
      <c r="F508" s="125">
        <v>0.0</v>
      </c>
      <c r="G508" s="125">
        <v>2897500.0</v>
      </c>
      <c r="H508" s="125">
        <v>1860410.0</v>
      </c>
      <c r="I508" s="125" t="s">
        <v>3003</v>
      </c>
      <c r="J508" s="125">
        <v>1593193.0</v>
      </c>
      <c r="K508" s="125">
        <v>275132.0</v>
      </c>
      <c r="L508" s="125">
        <v>0.0</v>
      </c>
      <c r="M508" s="125">
        <v>946195.0</v>
      </c>
      <c r="N508" s="125">
        <v>-82980.0</v>
      </c>
      <c r="O508" s="125"/>
      <c r="P508" s="125"/>
      <c r="Q508" s="125"/>
      <c r="R508" s="125"/>
      <c r="S508" s="125"/>
      <c r="T508" s="125"/>
      <c r="U508" s="125"/>
      <c r="V508" s="125"/>
    </row>
    <row r="509">
      <c r="A509" s="122" t="s">
        <v>1578</v>
      </c>
      <c r="B509" s="122" t="s">
        <v>3004</v>
      </c>
      <c r="C509" s="125">
        <v>4509379.0</v>
      </c>
      <c r="D509" s="125">
        <v>4503379.0</v>
      </c>
      <c r="E509" s="125">
        <v>284.0</v>
      </c>
      <c r="F509" s="125">
        <v>6000.0</v>
      </c>
      <c r="G509" s="125">
        <v>3075074.0</v>
      </c>
      <c r="H509" s="125">
        <v>1434305.0</v>
      </c>
      <c r="I509" s="125" t="s">
        <v>3005</v>
      </c>
      <c r="J509" s="125">
        <v>1805104.0</v>
      </c>
      <c r="K509" s="125">
        <v>288677.0</v>
      </c>
      <c r="L509" s="125">
        <v>5455.0</v>
      </c>
      <c r="M509" s="125">
        <v>935293.0</v>
      </c>
      <c r="N509" s="125">
        <v>-40545.0</v>
      </c>
      <c r="O509" s="125"/>
      <c r="P509" s="125"/>
      <c r="Q509" s="125"/>
      <c r="R509" s="125"/>
      <c r="S509" s="125"/>
      <c r="T509" s="125"/>
      <c r="U509" s="125"/>
      <c r="V509" s="125"/>
    </row>
    <row r="510">
      <c r="A510" s="122" t="s">
        <v>1545</v>
      </c>
      <c r="B510" s="122" t="s">
        <v>3006</v>
      </c>
      <c r="C510" s="125">
        <v>8255109.0</v>
      </c>
      <c r="D510" s="125">
        <v>8255109.0</v>
      </c>
      <c r="E510" s="125">
        <v>222.0</v>
      </c>
      <c r="F510" s="125">
        <v>0.0</v>
      </c>
      <c r="G510" s="125">
        <v>5752874.0</v>
      </c>
      <c r="H510" s="125">
        <v>2502235.0</v>
      </c>
      <c r="I510" s="125" t="s">
        <v>3007</v>
      </c>
      <c r="J510" s="125">
        <v>3164894.0</v>
      </c>
      <c r="K510" s="125">
        <v>500362.0</v>
      </c>
      <c r="L510" s="125">
        <v>8177.0</v>
      </c>
      <c r="M510" s="125">
        <v>1155331.0</v>
      </c>
      <c r="N510" s="125">
        <v>-924110.0</v>
      </c>
      <c r="O510" s="125"/>
      <c r="P510" s="125"/>
      <c r="Q510" s="125"/>
      <c r="R510" s="125"/>
      <c r="S510" s="125"/>
      <c r="T510" s="125"/>
      <c r="U510" s="125"/>
      <c r="V510" s="125"/>
    </row>
    <row r="511">
      <c r="A511" s="122" t="s">
        <v>1557</v>
      </c>
      <c r="B511" s="122" t="s">
        <v>3008</v>
      </c>
      <c r="C511" s="125">
        <v>1887949.0</v>
      </c>
      <c r="D511" s="125">
        <v>1887949.0</v>
      </c>
      <c r="E511" s="125">
        <v>102.0</v>
      </c>
      <c r="F511" s="125">
        <v>0.0</v>
      </c>
      <c r="G511" s="125">
        <v>1347775.0</v>
      </c>
      <c r="H511" s="125">
        <v>540174.0</v>
      </c>
      <c r="I511" s="125" t="s">
        <v>3009</v>
      </c>
      <c r="J511" s="125">
        <v>656778.0</v>
      </c>
      <c r="K511" s="125">
        <v>267337.0</v>
      </c>
      <c r="L511" s="125">
        <v>0.0</v>
      </c>
      <c r="M511" s="125">
        <v>378178.0</v>
      </c>
      <c r="N511" s="125">
        <v>-45482.0</v>
      </c>
      <c r="O511" s="125"/>
      <c r="P511" s="125"/>
      <c r="Q511" s="125"/>
      <c r="R511" s="125"/>
      <c r="S511" s="125"/>
      <c r="T511" s="125"/>
      <c r="U511" s="125"/>
      <c r="V511" s="125"/>
    </row>
    <row r="512">
      <c r="A512" s="122" t="s">
        <v>1551</v>
      </c>
      <c r="B512" s="122" t="s">
        <v>3010</v>
      </c>
      <c r="C512" s="125">
        <v>2134229.0</v>
      </c>
      <c r="D512" s="125">
        <v>2134229.0</v>
      </c>
      <c r="E512" s="125">
        <v>196.0</v>
      </c>
      <c r="F512" s="125">
        <v>0.0</v>
      </c>
      <c r="G512" s="125">
        <v>1531476.0</v>
      </c>
      <c r="H512" s="125">
        <v>602753.0</v>
      </c>
      <c r="I512" s="125" t="s">
        <v>3011</v>
      </c>
      <c r="J512" s="125">
        <v>834960.0</v>
      </c>
      <c r="K512" s="125">
        <v>197692.0</v>
      </c>
      <c r="L512" s="125">
        <v>463.0</v>
      </c>
      <c r="M512" s="125">
        <v>475822.0</v>
      </c>
      <c r="N512" s="125">
        <v>-22539.0</v>
      </c>
      <c r="O512" s="125"/>
      <c r="P512" s="125"/>
      <c r="Q512" s="125"/>
      <c r="R512" s="125"/>
      <c r="S512" s="125"/>
      <c r="T512" s="125"/>
      <c r="U512" s="125"/>
      <c r="V512" s="125"/>
    </row>
    <row r="513">
      <c r="A513" s="122" t="s">
        <v>1569</v>
      </c>
      <c r="B513" s="122" t="s">
        <v>3012</v>
      </c>
      <c r="C513" s="125">
        <v>976144.0</v>
      </c>
      <c r="D513" s="125">
        <v>976144.0</v>
      </c>
      <c r="E513" s="125">
        <v>108.0</v>
      </c>
      <c r="F513" s="125">
        <v>0.0</v>
      </c>
      <c r="G513" s="125">
        <v>659407.0</v>
      </c>
      <c r="H513" s="125">
        <v>316737.0</v>
      </c>
      <c r="I513" s="125" t="s">
        <v>3013</v>
      </c>
      <c r="J513" s="125">
        <v>339876.0</v>
      </c>
      <c r="K513" s="125">
        <v>103762.0</v>
      </c>
      <c r="L513" s="125">
        <v>1856.0</v>
      </c>
      <c r="M513" s="125">
        <v>195892.0</v>
      </c>
      <c r="N513" s="125">
        <v>-18021.0</v>
      </c>
      <c r="O513" s="125"/>
      <c r="P513" s="125"/>
      <c r="Q513" s="125"/>
      <c r="R513" s="125"/>
      <c r="S513" s="125"/>
      <c r="T513" s="125"/>
      <c r="U513" s="125"/>
      <c r="V513" s="125"/>
    </row>
    <row r="514">
      <c r="A514" s="122" t="s">
        <v>2369</v>
      </c>
      <c r="B514" s="122" t="s">
        <v>2370</v>
      </c>
      <c r="C514" s="125">
        <v>272530.0</v>
      </c>
      <c r="D514" s="125">
        <v>272530.0</v>
      </c>
      <c r="E514" s="125">
        <v>47.0</v>
      </c>
      <c r="F514" s="125">
        <v>0.0</v>
      </c>
      <c r="G514" s="125">
        <v>216489.0</v>
      </c>
      <c r="H514" s="125">
        <v>56041.0</v>
      </c>
      <c r="I514" s="125" t="s">
        <v>2946</v>
      </c>
      <c r="J514" s="125">
        <v>137945.0</v>
      </c>
      <c r="K514" s="125">
        <v>32638.0</v>
      </c>
      <c r="L514" s="125">
        <v>2532.0</v>
      </c>
      <c r="M514" s="125">
        <v>41294.0</v>
      </c>
      <c r="N514" s="125">
        <v>-2080.0</v>
      </c>
      <c r="O514" s="125"/>
      <c r="P514" s="125"/>
      <c r="Q514" s="125"/>
      <c r="R514" s="125"/>
      <c r="S514" s="125"/>
      <c r="T514" s="125"/>
      <c r="U514" s="125"/>
      <c r="V514" s="125"/>
    </row>
    <row r="515">
      <c r="A515" s="122" t="s">
        <v>1593</v>
      </c>
      <c r="B515" s="122" t="s">
        <v>2373</v>
      </c>
      <c r="C515" s="125">
        <v>3163532.0</v>
      </c>
      <c r="D515" s="125">
        <v>3155532.0</v>
      </c>
      <c r="E515" s="125">
        <v>104.0</v>
      </c>
      <c r="F515" s="125">
        <v>8000.0</v>
      </c>
      <c r="G515" s="125">
        <v>2280707.0</v>
      </c>
      <c r="H515" s="125">
        <v>882825.0</v>
      </c>
      <c r="I515" s="125" t="s">
        <v>3014</v>
      </c>
      <c r="J515" s="125">
        <v>1005748.0</v>
      </c>
      <c r="K515" s="125">
        <v>313580.0</v>
      </c>
      <c r="L515" s="125">
        <v>3916.0</v>
      </c>
      <c r="M515" s="125">
        <v>471826.0</v>
      </c>
      <c r="N515" s="125">
        <v>-485637.0</v>
      </c>
      <c r="O515" s="125"/>
      <c r="P515" s="125"/>
      <c r="Q515" s="125"/>
      <c r="R515" s="125"/>
      <c r="S515" s="125"/>
      <c r="T515" s="125"/>
      <c r="U515" s="125"/>
      <c r="V515" s="125"/>
    </row>
    <row r="516">
      <c r="A516" s="122" t="s">
        <v>52</v>
      </c>
      <c r="B516" s="122" t="s">
        <v>2374</v>
      </c>
      <c r="C516" s="125">
        <v>9642582.0</v>
      </c>
      <c r="D516" s="125">
        <v>9509582.0</v>
      </c>
      <c r="E516" s="125">
        <v>48.0</v>
      </c>
      <c r="F516" s="125">
        <v>133000.0</v>
      </c>
      <c r="G516" s="125">
        <v>6392765.0</v>
      </c>
      <c r="H516" s="125">
        <v>3249817.0</v>
      </c>
      <c r="I516" s="125" t="s">
        <v>3015</v>
      </c>
      <c r="J516" s="125">
        <v>3995088.0</v>
      </c>
      <c r="K516" s="125">
        <v>477181.0</v>
      </c>
      <c r="L516" s="125">
        <v>0.0</v>
      </c>
      <c r="M516" s="125">
        <v>1446406.0</v>
      </c>
      <c r="N516" s="125">
        <v>-474090.0</v>
      </c>
      <c r="O516" s="125"/>
      <c r="P516" s="125"/>
      <c r="Q516" s="125"/>
      <c r="R516" s="125"/>
      <c r="S516" s="125"/>
      <c r="T516" s="125"/>
      <c r="U516" s="125"/>
      <c r="V516" s="125"/>
    </row>
    <row r="517">
      <c r="A517" s="122" t="s">
        <v>53</v>
      </c>
      <c r="B517" s="122" t="s">
        <v>2375</v>
      </c>
      <c r="C517" s="125">
        <v>6872464.0</v>
      </c>
      <c r="D517" s="125">
        <v>6862464.0</v>
      </c>
      <c r="E517" s="125">
        <v>45.0</v>
      </c>
      <c r="F517" s="125">
        <v>10000.0</v>
      </c>
      <c r="G517" s="125">
        <v>4684304.0</v>
      </c>
      <c r="H517" s="125">
        <v>2188160.0</v>
      </c>
      <c r="I517" s="125" t="s">
        <v>3016</v>
      </c>
      <c r="J517" s="125">
        <v>2662515.0</v>
      </c>
      <c r="K517" s="125">
        <v>354200.0</v>
      </c>
      <c r="L517" s="125">
        <v>0.0</v>
      </c>
      <c r="M517" s="125">
        <v>1029510.0</v>
      </c>
      <c r="N517" s="125">
        <v>-638079.0</v>
      </c>
      <c r="O517" s="125"/>
      <c r="P517" s="125"/>
      <c r="Q517" s="125"/>
      <c r="R517" s="125"/>
      <c r="S517" s="125"/>
      <c r="T517" s="125"/>
      <c r="U517" s="125"/>
      <c r="V517" s="125"/>
    </row>
    <row r="518">
      <c r="A518" s="122" t="s">
        <v>1590</v>
      </c>
      <c r="B518" s="122" t="s">
        <v>3017</v>
      </c>
      <c r="C518" s="125">
        <v>769860.0</v>
      </c>
      <c r="D518" s="125">
        <v>769860.0</v>
      </c>
      <c r="E518" s="125">
        <v>114.0</v>
      </c>
      <c r="F518" s="125">
        <v>0.0</v>
      </c>
      <c r="G518" s="125">
        <v>534932.0</v>
      </c>
      <c r="H518" s="125">
        <v>234928.0</v>
      </c>
      <c r="I518" s="125" t="s">
        <v>3018</v>
      </c>
      <c r="J518" s="125">
        <v>193882.0</v>
      </c>
      <c r="K518" s="125">
        <v>134994.0</v>
      </c>
      <c r="L518" s="125">
        <v>5179.0</v>
      </c>
      <c r="M518" s="125">
        <v>187522.0</v>
      </c>
      <c r="N518" s="125">
        <v>-13355.0</v>
      </c>
      <c r="O518" s="125"/>
      <c r="P518" s="125"/>
      <c r="Q518" s="125"/>
      <c r="R518" s="125"/>
      <c r="S518" s="125"/>
      <c r="T518" s="125"/>
      <c r="U518" s="125"/>
      <c r="V518" s="125"/>
    </row>
    <row r="519">
      <c r="A519" s="122" t="s">
        <v>1315</v>
      </c>
      <c r="B519" s="122" t="s">
        <v>3019</v>
      </c>
      <c r="C519" s="125">
        <v>2797080.0</v>
      </c>
      <c r="D519" s="125">
        <v>2789080.0</v>
      </c>
      <c r="E519" s="125">
        <v>192.0</v>
      </c>
      <c r="F519" s="125">
        <v>8000.0</v>
      </c>
      <c r="G519" s="125">
        <v>1900056.0</v>
      </c>
      <c r="H519" s="125">
        <v>897024.0</v>
      </c>
      <c r="I519" s="125" t="s">
        <v>3020</v>
      </c>
      <c r="J519" s="125">
        <v>1011456.0</v>
      </c>
      <c r="K519" s="125">
        <v>219337.0</v>
      </c>
      <c r="L519" s="125">
        <v>2107.0</v>
      </c>
      <c r="M519" s="125">
        <v>615358.0</v>
      </c>
      <c r="N519" s="125">
        <v>-51798.0</v>
      </c>
      <c r="O519" s="125"/>
      <c r="P519" s="125"/>
      <c r="Q519" s="125"/>
      <c r="R519" s="125"/>
      <c r="S519" s="125"/>
      <c r="T519" s="125"/>
      <c r="U519" s="125"/>
      <c r="V519" s="125"/>
    </row>
    <row r="520">
      <c r="A520" s="122" t="s">
        <v>1276</v>
      </c>
      <c r="B520" s="122" t="s">
        <v>3021</v>
      </c>
      <c r="C520" s="125">
        <v>1362259.0</v>
      </c>
      <c r="D520" s="125">
        <v>1362259.0</v>
      </c>
      <c r="E520" s="125">
        <v>69.0</v>
      </c>
      <c r="F520" s="125">
        <v>0.0</v>
      </c>
      <c r="G520" s="125">
        <v>916059.0</v>
      </c>
      <c r="H520" s="125">
        <v>446200.0</v>
      </c>
      <c r="I520" s="125" t="s">
        <v>3022</v>
      </c>
      <c r="J520" s="125">
        <v>455786.0</v>
      </c>
      <c r="K520" s="125">
        <v>156356.0</v>
      </c>
      <c r="L520" s="125">
        <v>4976.0</v>
      </c>
      <c r="M520" s="125">
        <v>278352.0</v>
      </c>
      <c r="N520" s="125">
        <v>-20589.0</v>
      </c>
      <c r="O520" s="125"/>
      <c r="P520" s="125"/>
      <c r="Q520" s="125"/>
      <c r="R520" s="125"/>
      <c r="S520" s="125"/>
      <c r="T520" s="125"/>
      <c r="U520" s="125"/>
      <c r="V520" s="125"/>
    </row>
    <row r="521">
      <c r="A521" s="122" t="s">
        <v>2377</v>
      </c>
      <c r="B521" s="122" t="s">
        <v>2378</v>
      </c>
      <c r="C521" s="125">
        <v>0.0</v>
      </c>
      <c r="D521" s="125">
        <v>0.0</v>
      </c>
      <c r="E521" s="125">
        <v>0.0</v>
      </c>
      <c r="F521" s="125">
        <v>0.0</v>
      </c>
      <c r="G521" s="125">
        <v>13570.0</v>
      </c>
      <c r="H521" s="125">
        <v>-13570.0</v>
      </c>
      <c r="I521" s="125">
        <v>0.0</v>
      </c>
      <c r="J521" s="125">
        <v>0.0</v>
      </c>
      <c r="K521" s="125">
        <v>13570.0</v>
      </c>
      <c r="L521" s="125">
        <v>0.0</v>
      </c>
      <c r="M521" s="125">
        <v>0.0</v>
      </c>
      <c r="N521" s="125">
        <v>0.0</v>
      </c>
      <c r="O521" s="125"/>
      <c r="P521" s="125"/>
      <c r="Q521" s="125"/>
      <c r="R521" s="125"/>
      <c r="S521" s="125"/>
      <c r="T521" s="125"/>
      <c r="U521" s="125"/>
      <c r="V521" s="125"/>
    </row>
    <row r="522">
      <c r="A522" s="122" t="s">
        <v>51</v>
      </c>
      <c r="B522" s="122" t="s">
        <v>3023</v>
      </c>
      <c r="C522" s="125">
        <v>1.2465874E7</v>
      </c>
      <c r="D522" s="125">
        <v>1.2425874E7</v>
      </c>
      <c r="E522" s="125">
        <v>45.0</v>
      </c>
      <c r="F522" s="125">
        <v>40000.0</v>
      </c>
      <c r="G522" s="125">
        <v>7850552.0</v>
      </c>
      <c r="H522" s="125">
        <v>4615322.0</v>
      </c>
      <c r="I522" s="125" t="s">
        <v>3024</v>
      </c>
      <c r="J522" s="125">
        <v>5735610.0</v>
      </c>
      <c r="K522" s="125">
        <v>398630.0</v>
      </c>
      <c r="L522" s="125">
        <v>6320.0</v>
      </c>
      <c r="M522" s="125">
        <v>1371237.0</v>
      </c>
      <c r="N522" s="125">
        <v>-338755.0</v>
      </c>
      <c r="O522" s="125"/>
      <c r="P522" s="125"/>
      <c r="Q522" s="125"/>
      <c r="R522" s="125"/>
      <c r="S522" s="125"/>
      <c r="T522" s="125"/>
      <c r="U522" s="125"/>
      <c r="V522" s="125"/>
    </row>
    <row r="523">
      <c r="A523" s="122" t="s">
        <v>50</v>
      </c>
      <c r="B523" s="122" t="s">
        <v>2380</v>
      </c>
      <c r="C523" s="125">
        <v>7181449.0</v>
      </c>
      <c r="D523" s="125">
        <v>6101449.0</v>
      </c>
      <c r="E523" s="125">
        <v>52.0</v>
      </c>
      <c r="F523" s="125">
        <v>1080000.0</v>
      </c>
      <c r="G523" s="125">
        <v>5029291.0</v>
      </c>
      <c r="H523" s="125">
        <v>2152158.0</v>
      </c>
      <c r="I523" s="125" t="s">
        <v>2665</v>
      </c>
      <c r="J523" s="125">
        <v>3849040.0</v>
      </c>
      <c r="K523" s="125">
        <v>226088.0</v>
      </c>
      <c r="L523" s="125">
        <v>1940.0</v>
      </c>
      <c r="M523" s="125">
        <v>789963.0</v>
      </c>
      <c r="N523" s="125">
        <v>-162260.0</v>
      </c>
      <c r="O523" s="125"/>
      <c r="P523" s="125"/>
      <c r="Q523" s="125"/>
      <c r="R523" s="125"/>
      <c r="S523" s="125"/>
      <c r="T523" s="125"/>
      <c r="U523" s="125"/>
      <c r="V523" s="125"/>
    </row>
    <row r="524">
      <c r="A524" s="122" t="s">
        <v>1566</v>
      </c>
      <c r="B524" s="122" t="s">
        <v>3025</v>
      </c>
      <c r="C524" s="125">
        <v>3462740.0</v>
      </c>
      <c r="D524" s="125">
        <v>3462740.0</v>
      </c>
      <c r="E524" s="125">
        <v>128.0</v>
      </c>
      <c r="F524" s="125">
        <v>0.0</v>
      </c>
      <c r="G524" s="125">
        <v>2704389.0</v>
      </c>
      <c r="H524" s="125">
        <v>758351.0</v>
      </c>
      <c r="I524" s="125" t="s">
        <v>3026</v>
      </c>
      <c r="J524" s="125">
        <v>1164288.0</v>
      </c>
      <c r="K524" s="125">
        <v>744490.0</v>
      </c>
      <c r="L524" s="125">
        <v>1973.0</v>
      </c>
      <c r="M524" s="125">
        <v>449959.0</v>
      </c>
      <c r="N524" s="125">
        <v>-343679.0</v>
      </c>
      <c r="O524" s="125"/>
      <c r="P524" s="125"/>
      <c r="Q524" s="125"/>
      <c r="R524" s="125"/>
      <c r="S524" s="125"/>
      <c r="T524" s="125"/>
      <c r="U524" s="125"/>
      <c r="V524" s="125"/>
    </row>
    <row r="525">
      <c r="A525" s="122" t="s">
        <v>663</v>
      </c>
      <c r="B525" s="122" t="s">
        <v>3027</v>
      </c>
      <c r="C525" s="125">
        <v>6574133.0</v>
      </c>
      <c r="D525" s="125">
        <v>6574133.0</v>
      </c>
      <c r="E525" s="125">
        <v>184.0</v>
      </c>
      <c r="F525" s="125">
        <v>0.0</v>
      </c>
      <c r="G525" s="125">
        <v>4920691.0</v>
      </c>
      <c r="H525" s="125">
        <v>1653442.0</v>
      </c>
      <c r="I525" s="125" t="s">
        <v>3028</v>
      </c>
      <c r="J525" s="125">
        <v>2797536.0</v>
      </c>
      <c r="K525" s="125">
        <v>690360.0</v>
      </c>
      <c r="L525" s="125">
        <v>2712.0</v>
      </c>
      <c r="M525" s="125">
        <v>790116.0</v>
      </c>
      <c r="N525" s="125">
        <v>-639967.0</v>
      </c>
      <c r="O525" s="125"/>
      <c r="P525" s="125"/>
      <c r="Q525" s="125"/>
      <c r="R525" s="125"/>
      <c r="S525" s="125"/>
      <c r="T525" s="125"/>
      <c r="U525" s="125"/>
      <c r="V525" s="125"/>
    </row>
    <row r="526">
      <c r="A526" s="122" t="s">
        <v>420</v>
      </c>
      <c r="B526" s="122" t="s">
        <v>2381</v>
      </c>
      <c r="C526" s="125">
        <v>1377866.0</v>
      </c>
      <c r="D526" s="125">
        <v>1367866.0</v>
      </c>
      <c r="E526" s="125">
        <v>6.0</v>
      </c>
      <c r="F526" s="125">
        <v>10000.0</v>
      </c>
      <c r="G526" s="125">
        <v>961426.0</v>
      </c>
      <c r="H526" s="125">
        <v>416440.0</v>
      </c>
      <c r="I526" s="125" t="s">
        <v>3029</v>
      </c>
      <c r="J526" s="125">
        <v>434046.0</v>
      </c>
      <c r="K526" s="125">
        <v>296182.0</v>
      </c>
      <c r="L526" s="125">
        <v>0.0</v>
      </c>
      <c r="M526" s="125">
        <v>218458.0</v>
      </c>
      <c r="N526" s="125">
        <v>-12740.0</v>
      </c>
      <c r="O526" s="125"/>
      <c r="P526" s="125"/>
      <c r="Q526" s="125"/>
      <c r="R526" s="125"/>
      <c r="S526" s="125"/>
      <c r="T526" s="125"/>
      <c r="U526" s="125"/>
      <c r="V526" s="125"/>
    </row>
    <row r="527">
      <c r="A527" s="122" t="s">
        <v>422</v>
      </c>
      <c r="B527" s="122" t="s">
        <v>2382</v>
      </c>
      <c r="C527" s="125">
        <v>2290591.0</v>
      </c>
      <c r="D527" s="125">
        <v>2270591.0</v>
      </c>
      <c r="E527" s="125">
        <v>10.0</v>
      </c>
      <c r="F527" s="125">
        <v>20000.0</v>
      </c>
      <c r="G527" s="125">
        <v>1455909.0</v>
      </c>
      <c r="H527" s="125">
        <v>834682.0</v>
      </c>
      <c r="I527" s="125" t="s">
        <v>3030</v>
      </c>
      <c r="J527" s="125">
        <v>623440.0</v>
      </c>
      <c r="K527" s="125">
        <v>411067.0</v>
      </c>
      <c r="L527" s="125">
        <v>1151.0</v>
      </c>
      <c r="M527" s="125">
        <v>361853.0</v>
      </c>
      <c r="N527" s="125">
        <v>-58398.0</v>
      </c>
      <c r="O527" s="125"/>
      <c r="P527" s="125"/>
      <c r="Q527" s="125"/>
      <c r="R527" s="125"/>
      <c r="S527" s="125"/>
      <c r="T527" s="125"/>
      <c r="U527" s="125"/>
      <c r="V527" s="125"/>
    </row>
    <row r="528">
      <c r="A528" s="122" t="s">
        <v>419</v>
      </c>
      <c r="B528" s="122" t="s">
        <v>2384</v>
      </c>
      <c r="C528" s="125">
        <v>1.4825965E7</v>
      </c>
      <c r="D528" s="125">
        <v>1.4764965E7</v>
      </c>
      <c r="E528" s="125">
        <v>243.0</v>
      </c>
      <c r="F528" s="125">
        <v>61000.0</v>
      </c>
      <c r="G528" s="125">
        <v>9162165.0</v>
      </c>
      <c r="H528" s="125">
        <v>5663800.0</v>
      </c>
      <c r="I528" s="125" t="s">
        <v>3031</v>
      </c>
      <c r="J528" s="125">
        <v>4568643.0</v>
      </c>
      <c r="K528" s="125">
        <v>846520.0</v>
      </c>
      <c r="L528" s="125">
        <v>39380.0</v>
      </c>
      <c r="M528" s="125">
        <v>2349850.0</v>
      </c>
      <c r="N528" s="125">
        <v>-1357772.0</v>
      </c>
      <c r="O528" s="125"/>
      <c r="P528" s="125"/>
      <c r="Q528" s="125"/>
      <c r="R528" s="125"/>
      <c r="S528" s="125"/>
      <c r="T528" s="125"/>
      <c r="U528" s="125"/>
      <c r="V528" s="125"/>
    </row>
    <row r="529">
      <c r="A529" s="122" t="s">
        <v>120</v>
      </c>
      <c r="B529" s="122" t="s">
        <v>2385</v>
      </c>
      <c r="C529" s="125">
        <v>2024579.0</v>
      </c>
      <c r="D529" s="125">
        <v>2024579.0</v>
      </c>
      <c r="E529" s="125">
        <v>22.0</v>
      </c>
      <c r="F529" s="125">
        <v>0.0</v>
      </c>
      <c r="G529" s="125">
        <v>1432479.0</v>
      </c>
      <c r="H529" s="125">
        <v>592100.0</v>
      </c>
      <c r="I529" s="125" t="s">
        <v>3032</v>
      </c>
      <c r="J529" s="125">
        <v>786236.0</v>
      </c>
      <c r="K529" s="125">
        <v>222671.0</v>
      </c>
      <c r="L529" s="125">
        <v>477.0</v>
      </c>
      <c r="M529" s="125">
        <v>322040.0</v>
      </c>
      <c r="N529" s="125">
        <v>-101055.0</v>
      </c>
      <c r="O529" s="125"/>
      <c r="P529" s="125"/>
      <c r="Q529" s="125"/>
      <c r="R529" s="125"/>
      <c r="S529" s="125"/>
      <c r="T529" s="125"/>
      <c r="U529" s="125"/>
      <c r="V529" s="125"/>
    </row>
    <row r="530">
      <c r="A530" s="122" t="s">
        <v>2512</v>
      </c>
      <c r="B530" s="122" t="s">
        <v>2513</v>
      </c>
      <c r="C530" s="125">
        <v>0.0</v>
      </c>
      <c r="D530" s="125">
        <v>0.0</v>
      </c>
      <c r="E530" s="125">
        <v>0.0</v>
      </c>
      <c r="F530" s="125">
        <v>0.0</v>
      </c>
      <c r="G530" s="125">
        <v>0.0</v>
      </c>
      <c r="H530" s="125">
        <v>0.0</v>
      </c>
      <c r="I530" s="125">
        <v>0.0</v>
      </c>
      <c r="J530" s="125">
        <v>0.0</v>
      </c>
      <c r="K530" s="125">
        <v>0.0</v>
      </c>
      <c r="L530" s="125">
        <v>0.0</v>
      </c>
      <c r="M530" s="125">
        <v>0.0</v>
      </c>
      <c r="N530" s="125">
        <v>0.0</v>
      </c>
      <c r="O530" s="125"/>
      <c r="P530" s="125"/>
      <c r="Q530" s="125"/>
      <c r="R530" s="125"/>
      <c r="S530" s="125"/>
      <c r="T530" s="125"/>
      <c r="U530" s="125"/>
      <c r="V530" s="125"/>
    </row>
    <row r="531">
      <c r="A531" s="122" t="s">
        <v>41</v>
      </c>
      <c r="B531" s="122" t="s">
        <v>2386</v>
      </c>
      <c r="C531" s="125">
        <v>8441720.0</v>
      </c>
      <c r="D531" s="125">
        <v>8441720.0</v>
      </c>
      <c r="E531" s="125">
        <v>89.0</v>
      </c>
      <c r="F531" s="125">
        <v>0.0</v>
      </c>
      <c r="G531" s="125">
        <v>4612666.0</v>
      </c>
      <c r="H531" s="125">
        <v>3829054.0</v>
      </c>
      <c r="I531" s="125" t="s">
        <v>3033</v>
      </c>
      <c r="J531" s="125">
        <v>2492267.0</v>
      </c>
      <c r="K531" s="125">
        <v>350114.0</v>
      </c>
      <c r="L531" s="125">
        <v>17180.0</v>
      </c>
      <c r="M531" s="125">
        <v>1265336.0</v>
      </c>
      <c r="N531" s="125">
        <v>-487769.0</v>
      </c>
      <c r="O531" s="125"/>
      <c r="P531" s="125"/>
      <c r="Q531" s="125"/>
      <c r="R531" s="125"/>
      <c r="S531" s="125"/>
      <c r="T531" s="125"/>
      <c r="U531" s="125"/>
      <c r="V531" s="125"/>
    </row>
    <row r="532">
      <c r="A532" s="122" t="s">
        <v>80</v>
      </c>
      <c r="B532" s="122" t="s">
        <v>2387</v>
      </c>
      <c r="C532" s="125">
        <v>3751120.0</v>
      </c>
      <c r="D532" s="125">
        <v>3751120.0</v>
      </c>
      <c r="E532" s="125">
        <v>188.0</v>
      </c>
      <c r="F532" s="125">
        <v>0.0</v>
      </c>
      <c r="G532" s="125">
        <v>2506912.0</v>
      </c>
      <c r="H532" s="125">
        <v>1244208.0</v>
      </c>
      <c r="I532" s="125" t="s">
        <v>3034</v>
      </c>
      <c r="J532" s="125">
        <v>1198876.0</v>
      </c>
      <c r="K532" s="125">
        <v>182886.0</v>
      </c>
      <c r="L532" s="125">
        <v>35820.0</v>
      </c>
      <c r="M532" s="125">
        <v>681966.0</v>
      </c>
      <c r="N532" s="125">
        <v>-407364.0</v>
      </c>
      <c r="O532" s="125"/>
      <c r="P532" s="125"/>
      <c r="Q532" s="125"/>
      <c r="R532" s="125"/>
      <c r="S532" s="125"/>
      <c r="T532" s="125"/>
      <c r="U532" s="125"/>
      <c r="V532" s="125"/>
    </row>
    <row r="533">
      <c r="A533" s="122" t="s">
        <v>2598</v>
      </c>
      <c r="B533" s="122" t="s">
        <v>2599</v>
      </c>
      <c r="C533" s="125">
        <v>0.0</v>
      </c>
      <c r="D533" s="125">
        <v>0.0</v>
      </c>
      <c r="E533" s="125">
        <v>0.0</v>
      </c>
      <c r="F533" s="125">
        <v>0.0</v>
      </c>
      <c r="G533" s="125">
        <v>0.0</v>
      </c>
      <c r="H533" s="125">
        <v>0.0</v>
      </c>
      <c r="I533" s="125">
        <v>0.0</v>
      </c>
      <c r="J533" s="125">
        <v>0.0</v>
      </c>
      <c r="K533" s="125">
        <v>0.0</v>
      </c>
      <c r="L533" s="125">
        <v>0.0</v>
      </c>
      <c r="M533" s="125">
        <v>0.0</v>
      </c>
      <c r="N533" s="125">
        <v>0.0</v>
      </c>
      <c r="O533" s="125"/>
      <c r="P533" s="125"/>
      <c r="Q533" s="125"/>
      <c r="R533" s="125"/>
      <c r="S533" s="125"/>
      <c r="T533" s="125"/>
      <c r="U533" s="125"/>
      <c r="V533" s="125"/>
    </row>
    <row r="534">
      <c r="A534" s="122" t="s">
        <v>42</v>
      </c>
      <c r="B534" s="122" t="s">
        <v>3035</v>
      </c>
      <c r="C534" s="125">
        <v>1.4482263E7</v>
      </c>
      <c r="D534" s="125">
        <v>1.3972263E7</v>
      </c>
      <c r="E534" s="125">
        <v>37.0</v>
      </c>
      <c r="F534" s="125">
        <v>510000.0</v>
      </c>
      <c r="G534" s="125">
        <v>8636736.0</v>
      </c>
      <c r="H534" s="125">
        <v>5845527.0</v>
      </c>
      <c r="I534" s="125" t="s">
        <v>3036</v>
      </c>
      <c r="J534" s="125">
        <v>5668178.0</v>
      </c>
      <c r="K534" s="125">
        <v>468160.0</v>
      </c>
      <c r="L534" s="125">
        <v>4940.0</v>
      </c>
      <c r="M534" s="125">
        <v>2244426.0</v>
      </c>
      <c r="N534" s="125">
        <v>-251032.0</v>
      </c>
      <c r="O534" s="125"/>
      <c r="P534" s="125"/>
      <c r="Q534" s="125"/>
      <c r="R534" s="125"/>
      <c r="S534" s="125"/>
      <c r="T534" s="125"/>
      <c r="U534" s="125"/>
      <c r="V534" s="125"/>
    </row>
    <row r="535">
      <c r="A535" s="122" t="s">
        <v>82</v>
      </c>
      <c r="B535" s="122" t="s">
        <v>2388</v>
      </c>
      <c r="C535" s="125">
        <v>1603790.0</v>
      </c>
      <c r="D535" s="125">
        <v>1603790.0</v>
      </c>
      <c r="E535" s="125">
        <v>23.0</v>
      </c>
      <c r="F535" s="125">
        <v>0.0</v>
      </c>
      <c r="G535" s="125">
        <v>1319069.0</v>
      </c>
      <c r="H535" s="125">
        <v>284721.0</v>
      </c>
      <c r="I535" s="125" t="s">
        <v>2789</v>
      </c>
      <c r="J535" s="125">
        <v>680938.0</v>
      </c>
      <c r="K535" s="125">
        <v>292544.0</v>
      </c>
      <c r="L535" s="125">
        <v>482.0</v>
      </c>
      <c r="M535" s="125">
        <v>208499.0</v>
      </c>
      <c r="N535" s="125">
        <v>-136606.0</v>
      </c>
      <c r="O535" s="125"/>
      <c r="P535" s="125"/>
      <c r="Q535" s="125"/>
      <c r="R535" s="125"/>
      <c r="S535" s="125"/>
      <c r="T535" s="125"/>
      <c r="U535" s="125"/>
      <c r="V535" s="125"/>
    </row>
    <row r="536">
      <c r="A536" s="122" t="s">
        <v>470</v>
      </c>
      <c r="B536" s="122" t="s">
        <v>1860</v>
      </c>
      <c r="C536" s="125">
        <v>5932240.0</v>
      </c>
      <c r="D536" s="125">
        <v>5932240.0</v>
      </c>
      <c r="E536" s="125">
        <v>996.0</v>
      </c>
      <c r="F536" s="125">
        <v>0.0</v>
      </c>
      <c r="G536" s="125">
        <v>4434230.0</v>
      </c>
      <c r="H536" s="125">
        <v>1498010.0</v>
      </c>
      <c r="I536" s="125" t="s">
        <v>3037</v>
      </c>
      <c r="J536" s="125">
        <v>2128959.0</v>
      </c>
      <c r="K536" s="125">
        <v>227061.0</v>
      </c>
      <c r="L536" s="125">
        <v>11391.0</v>
      </c>
      <c r="M536" s="125">
        <v>1397447.0</v>
      </c>
      <c r="N536" s="125">
        <v>-669372.0</v>
      </c>
      <c r="O536" s="125"/>
      <c r="P536" s="125"/>
      <c r="Q536" s="125"/>
      <c r="R536" s="125"/>
      <c r="S536" s="125"/>
      <c r="T536" s="125"/>
      <c r="U536" s="125"/>
      <c r="V536" s="125"/>
    </row>
    <row r="537">
      <c r="A537" s="122" t="s">
        <v>86</v>
      </c>
      <c r="B537" s="122" t="s">
        <v>2390</v>
      </c>
      <c r="C537" s="125">
        <v>304910.0</v>
      </c>
      <c r="D537" s="125">
        <v>304910.0</v>
      </c>
      <c r="E537" s="125">
        <v>9.0</v>
      </c>
      <c r="F537" s="125">
        <v>0.0</v>
      </c>
      <c r="G537" s="125">
        <v>218685.0</v>
      </c>
      <c r="H537" s="125">
        <v>86225.0</v>
      </c>
      <c r="I537" s="125" t="s">
        <v>3038</v>
      </c>
      <c r="J537" s="125">
        <v>92628.0</v>
      </c>
      <c r="K537" s="125">
        <v>50110.0</v>
      </c>
      <c r="L537" s="125">
        <v>474.0</v>
      </c>
      <c r="M537" s="125">
        <v>39641.0</v>
      </c>
      <c r="N537" s="125">
        <v>-35832.0</v>
      </c>
      <c r="O537" s="125"/>
      <c r="P537" s="125"/>
      <c r="Q537" s="125"/>
      <c r="R537" s="125"/>
      <c r="S537" s="125"/>
      <c r="T537" s="125"/>
      <c r="U537" s="125"/>
      <c r="V537" s="125"/>
    </row>
    <row r="538">
      <c r="A538" s="122" t="s">
        <v>85</v>
      </c>
      <c r="B538" s="122" t="s">
        <v>2391</v>
      </c>
      <c r="C538" s="125">
        <v>647004.0</v>
      </c>
      <c r="D538" s="125">
        <v>647004.0</v>
      </c>
      <c r="E538" s="125">
        <v>16.0</v>
      </c>
      <c r="F538" s="125">
        <v>0.0</v>
      </c>
      <c r="G538" s="125">
        <v>426552.0</v>
      </c>
      <c r="H538" s="125">
        <v>220452.0</v>
      </c>
      <c r="I538" s="125" t="s">
        <v>3039</v>
      </c>
      <c r="J538" s="125">
        <v>254336.0</v>
      </c>
      <c r="K538" s="125">
        <v>20501.0</v>
      </c>
      <c r="L538" s="125">
        <v>307.0</v>
      </c>
      <c r="M538" s="125">
        <v>91009.0</v>
      </c>
      <c r="N538" s="125">
        <v>-60399.0</v>
      </c>
      <c r="O538" s="125"/>
      <c r="P538" s="125"/>
      <c r="Q538" s="125"/>
      <c r="R538" s="125"/>
      <c r="S538" s="125"/>
      <c r="T538" s="125"/>
      <c r="U538" s="125"/>
      <c r="V538" s="125"/>
    </row>
    <row r="539">
      <c r="A539" s="122" t="s">
        <v>44</v>
      </c>
      <c r="B539" s="122" t="s">
        <v>2392</v>
      </c>
      <c r="C539" s="125">
        <v>0.0</v>
      </c>
      <c r="D539" s="125">
        <v>0.0</v>
      </c>
      <c r="E539" s="125">
        <v>0.0</v>
      </c>
      <c r="F539" s="125">
        <v>0.0</v>
      </c>
      <c r="G539" s="125">
        <v>17633.0</v>
      </c>
      <c r="H539" s="125">
        <v>-17633.0</v>
      </c>
      <c r="I539" s="125">
        <v>0.0</v>
      </c>
      <c r="J539" s="125">
        <v>0.0</v>
      </c>
      <c r="K539" s="125">
        <v>17633.0</v>
      </c>
      <c r="L539" s="125">
        <v>0.0</v>
      </c>
      <c r="M539" s="125">
        <v>0.0</v>
      </c>
      <c r="N539" s="125">
        <v>0.0</v>
      </c>
      <c r="O539" s="125"/>
      <c r="P539" s="125"/>
      <c r="Q539" s="125"/>
      <c r="R539" s="125"/>
      <c r="S539" s="125"/>
      <c r="T539" s="125"/>
      <c r="U539" s="125"/>
      <c r="V539" s="125"/>
    </row>
    <row r="540">
      <c r="A540" s="122" t="s">
        <v>45</v>
      </c>
      <c r="B540" s="122" t="s">
        <v>2393</v>
      </c>
      <c r="C540" s="125">
        <v>1670146.0</v>
      </c>
      <c r="D540" s="125">
        <v>1670146.0</v>
      </c>
      <c r="E540" s="125">
        <v>9.0</v>
      </c>
      <c r="F540" s="125">
        <v>0.0</v>
      </c>
      <c r="G540" s="125">
        <v>1057240.0</v>
      </c>
      <c r="H540" s="125">
        <v>612906.0</v>
      </c>
      <c r="I540" s="125" t="s">
        <v>3040</v>
      </c>
      <c r="J540" s="125">
        <v>609615.0</v>
      </c>
      <c r="K540" s="125">
        <v>74465.0</v>
      </c>
      <c r="L540" s="125">
        <v>0.0</v>
      </c>
      <c r="M540" s="125">
        <v>247823.0</v>
      </c>
      <c r="N540" s="125">
        <v>-125337.0</v>
      </c>
      <c r="O540" s="125"/>
      <c r="P540" s="125"/>
      <c r="Q540" s="125"/>
      <c r="R540" s="125"/>
      <c r="S540" s="125"/>
      <c r="T540" s="125"/>
      <c r="U540" s="125"/>
      <c r="V540" s="125"/>
    </row>
    <row r="541">
      <c r="A541" s="122" t="s">
        <v>43</v>
      </c>
      <c r="B541" s="122" t="s">
        <v>2394</v>
      </c>
      <c r="C541" s="125">
        <v>2912565.0</v>
      </c>
      <c r="D541" s="125">
        <v>2912565.0</v>
      </c>
      <c r="E541" s="125">
        <v>24.0</v>
      </c>
      <c r="F541" s="125">
        <v>0.0</v>
      </c>
      <c r="G541" s="125">
        <v>1891763.0</v>
      </c>
      <c r="H541" s="125">
        <v>1020802.0</v>
      </c>
      <c r="I541" s="125" t="s">
        <v>2641</v>
      </c>
      <c r="J541" s="125">
        <v>1123944.0</v>
      </c>
      <c r="K541" s="125">
        <v>105765.0</v>
      </c>
      <c r="L541" s="125">
        <v>4400.0</v>
      </c>
      <c r="M541" s="125">
        <v>435535.0</v>
      </c>
      <c r="N541" s="125">
        <v>-222119.0</v>
      </c>
      <c r="O541" s="125"/>
      <c r="P541" s="125"/>
      <c r="Q541" s="125"/>
      <c r="R541" s="125"/>
      <c r="S541" s="125"/>
      <c r="T541" s="125"/>
      <c r="U541" s="125"/>
      <c r="V541" s="125"/>
    </row>
    <row r="542">
      <c r="A542" s="122" t="s">
        <v>84</v>
      </c>
      <c r="B542" s="122" t="s">
        <v>2395</v>
      </c>
      <c r="C542" s="125">
        <v>1295365.0</v>
      </c>
      <c r="D542" s="125">
        <v>1280365.0</v>
      </c>
      <c r="E542" s="125">
        <v>20.0</v>
      </c>
      <c r="F542" s="125">
        <v>15000.0</v>
      </c>
      <c r="G542" s="125">
        <v>980999.0</v>
      </c>
      <c r="H542" s="125">
        <v>314366.0</v>
      </c>
      <c r="I542" s="125" t="s">
        <v>2930</v>
      </c>
      <c r="J542" s="125">
        <v>543040.0</v>
      </c>
      <c r="K542" s="125">
        <v>154678.0</v>
      </c>
      <c r="L542" s="125">
        <v>755.0</v>
      </c>
      <c r="M542" s="125">
        <v>186949.0</v>
      </c>
      <c r="N542" s="125">
        <v>-95577.0</v>
      </c>
      <c r="O542" s="125"/>
      <c r="P542" s="125"/>
      <c r="Q542" s="125"/>
      <c r="R542" s="125"/>
      <c r="S542" s="125"/>
      <c r="T542" s="125"/>
      <c r="U542" s="125"/>
      <c r="V542" s="125"/>
    </row>
    <row r="543">
      <c r="A543" s="122" t="s">
        <v>115</v>
      </c>
      <c r="B543" s="122" t="s">
        <v>3041</v>
      </c>
      <c r="C543" s="125">
        <v>570510.0</v>
      </c>
      <c r="D543" s="125">
        <v>570510.0</v>
      </c>
      <c r="E543" s="125">
        <v>14.0</v>
      </c>
      <c r="F543" s="125">
        <v>0.0</v>
      </c>
      <c r="G543" s="125">
        <v>415484.0</v>
      </c>
      <c r="H543" s="125">
        <v>155026.0</v>
      </c>
      <c r="I543" s="125" t="s">
        <v>3042</v>
      </c>
      <c r="J543" s="125">
        <v>177506.0</v>
      </c>
      <c r="K543" s="125">
        <v>56574.0</v>
      </c>
      <c r="L543" s="125">
        <v>197.0</v>
      </c>
      <c r="M543" s="125">
        <v>85574.0</v>
      </c>
      <c r="N543" s="125">
        <v>-95633.0</v>
      </c>
      <c r="O543" s="125"/>
      <c r="P543" s="125"/>
      <c r="Q543" s="125"/>
      <c r="R543" s="125"/>
      <c r="S543" s="125"/>
      <c r="T543" s="125"/>
      <c r="U543" s="125"/>
      <c r="V543" s="125"/>
    </row>
    <row r="544">
      <c r="A544" s="122" t="s">
        <v>114</v>
      </c>
      <c r="B544" s="122" t="s">
        <v>3043</v>
      </c>
      <c r="C544" s="125">
        <v>597262.0</v>
      </c>
      <c r="D544" s="125">
        <v>597262.0</v>
      </c>
      <c r="E544" s="125">
        <v>35.0</v>
      </c>
      <c r="F544" s="125">
        <v>0.0</v>
      </c>
      <c r="G544" s="125">
        <v>453452.0</v>
      </c>
      <c r="H544" s="125">
        <v>143810.0</v>
      </c>
      <c r="I544" s="125" t="s">
        <v>3044</v>
      </c>
      <c r="J544" s="125">
        <v>231490.0</v>
      </c>
      <c r="K544" s="125">
        <v>88307.0</v>
      </c>
      <c r="L544" s="125">
        <v>387.0</v>
      </c>
      <c r="M544" s="125">
        <v>114590.0</v>
      </c>
      <c r="N544" s="125">
        <v>-18678.0</v>
      </c>
      <c r="O544" s="125"/>
      <c r="P544" s="125"/>
      <c r="Q544" s="125"/>
      <c r="R544" s="125"/>
      <c r="S544" s="125"/>
      <c r="T544" s="125"/>
      <c r="U544" s="125"/>
      <c r="V544" s="125"/>
    </row>
    <row r="545">
      <c r="A545" s="122" t="s">
        <v>49</v>
      </c>
      <c r="B545" s="122" t="s">
        <v>3045</v>
      </c>
      <c r="C545" s="125">
        <v>296768.0</v>
      </c>
      <c r="D545" s="125">
        <v>296768.0</v>
      </c>
      <c r="E545" s="125">
        <v>16.0</v>
      </c>
      <c r="F545" s="125">
        <v>0.0</v>
      </c>
      <c r="G545" s="125">
        <v>217324.0</v>
      </c>
      <c r="H545" s="125">
        <v>79444.0</v>
      </c>
      <c r="I545" s="125" t="s">
        <v>3046</v>
      </c>
      <c r="J545" s="125">
        <v>106640.0</v>
      </c>
      <c r="K545" s="125">
        <v>47226.0</v>
      </c>
      <c r="L545" s="125">
        <v>1110.0</v>
      </c>
      <c r="M545" s="125">
        <v>57693.0</v>
      </c>
      <c r="N545" s="125">
        <v>-4655.0</v>
      </c>
      <c r="O545" s="125"/>
      <c r="P545" s="125"/>
      <c r="Q545" s="125"/>
      <c r="R545" s="125"/>
      <c r="S545" s="125"/>
      <c r="T545" s="125"/>
      <c r="U545" s="125"/>
      <c r="V545" s="125"/>
    </row>
    <row r="546">
      <c r="A546" s="122" t="s">
        <v>117</v>
      </c>
      <c r="B546" s="122" t="s">
        <v>3047</v>
      </c>
      <c r="C546" s="125">
        <v>293550.0</v>
      </c>
      <c r="D546" s="125">
        <v>293550.0</v>
      </c>
      <c r="E546" s="125">
        <v>4.0</v>
      </c>
      <c r="F546" s="125">
        <v>0.0</v>
      </c>
      <c r="G546" s="125">
        <v>197318.0</v>
      </c>
      <c r="H546" s="125">
        <v>96232.0</v>
      </c>
      <c r="I546" s="125" t="s">
        <v>3048</v>
      </c>
      <c r="J546" s="125">
        <v>85080.0</v>
      </c>
      <c r="K546" s="125">
        <v>31486.0</v>
      </c>
      <c r="L546" s="125">
        <v>120.0</v>
      </c>
      <c r="M546" s="125">
        <v>44032.0</v>
      </c>
      <c r="N546" s="125">
        <v>-36600.0</v>
      </c>
      <c r="O546" s="125"/>
      <c r="P546" s="125"/>
      <c r="Q546" s="125"/>
      <c r="R546" s="125"/>
      <c r="S546" s="125"/>
      <c r="T546" s="125"/>
      <c r="U546" s="125"/>
      <c r="V546" s="125"/>
    </row>
    <row r="547">
      <c r="A547" s="122" t="s">
        <v>118</v>
      </c>
      <c r="B547" s="122" t="s">
        <v>3049</v>
      </c>
      <c r="C547" s="125">
        <v>89990.0</v>
      </c>
      <c r="D547" s="125">
        <v>89990.0</v>
      </c>
      <c r="E547" s="125">
        <v>1.0</v>
      </c>
      <c r="F547" s="125">
        <v>0.0</v>
      </c>
      <c r="G547" s="125">
        <v>54290.0</v>
      </c>
      <c r="H547" s="125">
        <v>35700.0</v>
      </c>
      <c r="I547" s="125" t="s">
        <v>3050</v>
      </c>
      <c r="J547" s="125">
        <v>33313.0</v>
      </c>
      <c r="K547" s="125">
        <v>2888.0</v>
      </c>
      <c r="L547" s="125">
        <v>0.0</v>
      </c>
      <c r="M547" s="125">
        <v>13499.0</v>
      </c>
      <c r="N547" s="125">
        <v>-4590.0</v>
      </c>
      <c r="O547" s="125"/>
      <c r="P547" s="125"/>
      <c r="Q547" s="125"/>
      <c r="R547" s="125"/>
      <c r="S547" s="125"/>
      <c r="T547" s="125"/>
      <c r="U547" s="125"/>
      <c r="V547" s="125"/>
    </row>
    <row r="548">
      <c r="A548" s="122" t="s">
        <v>47</v>
      </c>
      <c r="B548" s="122" t="s">
        <v>3051</v>
      </c>
      <c r="C548" s="125">
        <v>1177168.0</v>
      </c>
      <c r="D548" s="125">
        <v>1171168.0</v>
      </c>
      <c r="E548" s="125">
        <v>40.0</v>
      </c>
      <c r="F548" s="125">
        <v>6000.0</v>
      </c>
      <c r="G548" s="125">
        <v>881824.0</v>
      </c>
      <c r="H548" s="125">
        <v>295344.0</v>
      </c>
      <c r="I548" s="125" t="s">
        <v>3052</v>
      </c>
      <c r="J548" s="125">
        <v>306280.0</v>
      </c>
      <c r="K548" s="125">
        <v>275122.0</v>
      </c>
      <c r="L548" s="125">
        <v>1686.0</v>
      </c>
      <c r="M548" s="125">
        <v>173433.0</v>
      </c>
      <c r="N548" s="125">
        <v>-125303.0</v>
      </c>
      <c r="O548" s="125"/>
      <c r="P548" s="125"/>
      <c r="Q548" s="125"/>
      <c r="R548" s="125"/>
      <c r="S548" s="125"/>
      <c r="T548" s="125"/>
      <c r="U548" s="125"/>
      <c r="V548" s="125"/>
    </row>
    <row r="549">
      <c r="A549" s="122" t="s">
        <v>116</v>
      </c>
      <c r="B549" s="122" t="s">
        <v>3053</v>
      </c>
      <c r="C549" s="125">
        <v>215872.0</v>
      </c>
      <c r="D549" s="125">
        <v>215872.0</v>
      </c>
      <c r="E549" s="125">
        <v>4.0</v>
      </c>
      <c r="F549" s="125">
        <v>0.0</v>
      </c>
      <c r="G549" s="125">
        <v>146137.0</v>
      </c>
      <c r="H549" s="125">
        <v>69735.0</v>
      </c>
      <c r="I549" s="125" t="s">
        <v>3054</v>
      </c>
      <c r="J549" s="125">
        <v>72792.0</v>
      </c>
      <c r="K549" s="125">
        <v>7237.0</v>
      </c>
      <c r="L549" s="125">
        <v>128.0</v>
      </c>
      <c r="M549" s="125">
        <v>32380.0</v>
      </c>
      <c r="N549" s="125">
        <v>-33600.0</v>
      </c>
      <c r="O549" s="125"/>
      <c r="P549" s="125"/>
      <c r="Q549" s="125"/>
      <c r="R549" s="125"/>
      <c r="S549" s="125"/>
      <c r="T549" s="125"/>
      <c r="U549" s="125"/>
      <c r="V549" s="125"/>
    </row>
    <row r="550">
      <c r="A550" s="122" t="s">
        <v>46</v>
      </c>
      <c r="B550" s="122" t="s">
        <v>3055</v>
      </c>
      <c r="C550" s="125">
        <v>706679.0</v>
      </c>
      <c r="D550" s="125">
        <v>703679.0</v>
      </c>
      <c r="E550" s="125">
        <v>26.0</v>
      </c>
      <c r="F550" s="125">
        <v>3000.0</v>
      </c>
      <c r="G550" s="125">
        <v>533926.0</v>
      </c>
      <c r="H550" s="125">
        <v>172753.0</v>
      </c>
      <c r="I550" s="125" t="s">
        <v>3056</v>
      </c>
      <c r="J550" s="125">
        <v>199082.0</v>
      </c>
      <c r="K550" s="125">
        <v>156599.0</v>
      </c>
      <c r="L550" s="125">
        <v>1792.0</v>
      </c>
      <c r="M550" s="125">
        <v>105320.0</v>
      </c>
      <c r="N550" s="125">
        <v>-71133.0</v>
      </c>
      <c r="O550" s="125"/>
      <c r="P550" s="125"/>
      <c r="Q550" s="125"/>
      <c r="R550" s="125"/>
      <c r="S550" s="125"/>
      <c r="T550" s="125"/>
      <c r="U550" s="125"/>
      <c r="V550" s="125"/>
    </row>
    <row r="551">
      <c r="A551" s="122" t="s">
        <v>95</v>
      </c>
      <c r="B551" s="122" t="s">
        <v>3057</v>
      </c>
      <c r="C551" s="125">
        <v>3647810.0</v>
      </c>
      <c r="D551" s="125">
        <v>3647810.0</v>
      </c>
      <c r="E551" s="125">
        <v>215.0</v>
      </c>
      <c r="F551" s="125">
        <v>0.0</v>
      </c>
      <c r="G551" s="125">
        <v>2475998.0</v>
      </c>
      <c r="H551" s="125">
        <v>1171812.0</v>
      </c>
      <c r="I551" s="125" t="s">
        <v>3058</v>
      </c>
      <c r="J551" s="125">
        <v>1272370.0</v>
      </c>
      <c r="K551" s="125">
        <v>416268.0</v>
      </c>
      <c r="L551" s="125">
        <v>832.0</v>
      </c>
      <c r="M551" s="125">
        <v>759072.0</v>
      </c>
      <c r="N551" s="125">
        <v>-27456.0</v>
      </c>
      <c r="O551" s="125"/>
      <c r="P551" s="125"/>
      <c r="Q551" s="125"/>
      <c r="R551" s="125"/>
      <c r="S551" s="125"/>
      <c r="T551" s="125"/>
      <c r="U551" s="125"/>
      <c r="V551" s="125"/>
    </row>
    <row r="552">
      <c r="A552" s="122" t="s">
        <v>2396</v>
      </c>
      <c r="B552" s="122" t="s">
        <v>2397</v>
      </c>
      <c r="C552" s="125">
        <v>0.0</v>
      </c>
      <c r="D552" s="125">
        <v>0.0</v>
      </c>
      <c r="E552" s="125">
        <v>0.0</v>
      </c>
      <c r="F552" s="125">
        <v>0.0</v>
      </c>
      <c r="G552" s="125">
        <v>0.0</v>
      </c>
      <c r="H552" s="125">
        <v>0.0</v>
      </c>
      <c r="I552" s="125">
        <v>0.0</v>
      </c>
      <c r="J552" s="125">
        <v>0.0</v>
      </c>
      <c r="K552" s="125">
        <v>0.0</v>
      </c>
      <c r="L552" s="125">
        <v>0.0</v>
      </c>
      <c r="M552" s="125">
        <v>0.0</v>
      </c>
      <c r="N552" s="125">
        <v>0.0</v>
      </c>
      <c r="O552" s="125"/>
      <c r="P552" s="125"/>
      <c r="Q552" s="125"/>
      <c r="R552" s="125"/>
      <c r="S552" s="125"/>
      <c r="T552" s="125"/>
      <c r="U552" s="125"/>
      <c r="V552" s="125"/>
    </row>
    <row r="553">
      <c r="A553" s="122" t="s">
        <v>2398</v>
      </c>
      <c r="B553" s="122" t="s">
        <v>2399</v>
      </c>
      <c r="C553" s="125">
        <v>0.0</v>
      </c>
      <c r="D553" s="125">
        <v>0.0</v>
      </c>
      <c r="E553" s="125">
        <v>0.0</v>
      </c>
      <c r="F553" s="125">
        <v>0.0</v>
      </c>
      <c r="G553" s="125">
        <v>0.0</v>
      </c>
      <c r="H553" s="125">
        <v>0.0</v>
      </c>
      <c r="I553" s="125">
        <v>0.0</v>
      </c>
      <c r="J553" s="125">
        <v>0.0</v>
      </c>
      <c r="K553" s="125">
        <v>0.0</v>
      </c>
      <c r="L553" s="125">
        <v>0.0</v>
      </c>
      <c r="M553" s="125">
        <v>0.0</v>
      </c>
      <c r="N553" s="125">
        <v>0.0</v>
      </c>
      <c r="O553" s="125"/>
      <c r="P553" s="125"/>
      <c r="Q553" s="125"/>
      <c r="R553" s="125"/>
      <c r="S553" s="125"/>
      <c r="T553" s="125"/>
      <c r="U553" s="125"/>
      <c r="V553" s="125"/>
    </row>
    <row r="554">
      <c r="A554" s="122" t="s">
        <v>2400</v>
      </c>
      <c r="B554" s="122" t="s">
        <v>2401</v>
      </c>
      <c r="C554" s="125">
        <v>0.0</v>
      </c>
      <c r="D554" s="125">
        <v>0.0</v>
      </c>
      <c r="E554" s="125">
        <v>0.0</v>
      </c>
      <c r="F554" s="125">
        <v>0.0</v>
      </c>
      <c r="G554" s="125">
        <v>0.0</v>
      </c>
      <c r="H554" s="125">
        <v>0.0</v>
      </c>
      <c r="I554" s="125">
        <v>0.0</v>
      </c>
      <c r="J554" s="125">
        <v>0.0</v>
      </c>
      <c r="K554" s="125">
        <v>0.0</v>
      </c>
      <c r="L554" s="125">
        <v>0.0</v>
      </c>
      <c r="M554" s="125">
        <v>0.0</v>
      </c>
      <c r="N554" s="125">
        <v>0.0</v>
      </c>
      <c r="O554" s="125"/>
      <c r="P554" s="125"/>
      <c r="Q554" s="125"/>
      <c r="R554" s="125"/>
      <c r="S554" s="125"/>
      <c r="T554" s="125"/>
      <c r="U554" s="125"/>
      <c r="V554" s="125"/>
    </row>
    <row r="555">
      <c r="A555" s="122" t="s">
        <v>2225</v>
      </c>
      <c r="B555" s="122" t="s">
        <v>2226</v>
      </c>
      <c r="C555" s="125">
        <v>34990.0</v>
      </c>
      <c r="D555" s="125">
        <v>34990.0</v>
      </c>
      <c r="E555" s="125">
        <v>1.0</v>
      </c>
      <c r="F555" s="125">
        <v>0.0</v>
      </c>
      <c r="G555" s="125">
        <v>19235.0</v>
      </c>
      <c r="H555" s="125">
        <v>15755.0</v>
      </c>
      <c r="I555" s="125" t="s">
        <v>3059</v>
      </c>
      <c r="J555" s="125">
        <v>0.0</v>
      </c>
      <c r="K555" s="125">
        <v>9405.0</v>
      </c>
      <c r="L555" s="125">
        <v>0.0</v>
      </c>
      <c r="M555" s="125">
        <v>6998.0</v>
      </c>
      <c r="N555" s="125">
        <v>-2832.0</v>
      </c>
      <c r="O555" s="125"/>
      <c r="P555" s="125"/>
      <c r="Q555" s="125"/>
      <c r="R555" s="125"/>
      <c r="S555" s="125"/>
      <c r="T555" s="125"/>
      <c r="U555" s="125"/>
      <c r="V555" s="125"/>
    </row>
    <row r="556">
      <c r="A556" s="122" t="s">
        <v>2402</v>
      </c>
      <c r="B556" s="122" t="s">
        <v>2268</v>
      </c>
      <c r="C556" s="125">
        <v>0.0</v>
      </c>
      <c r="D556" s="125">
        <v>0.0</v>
      </c>
      <c r="E556" s="125">
        <v>0.0</v>
      </c>
      <c r="F556" s="125">
        <v>0.0</v>
      </c>
      <c r="G556" s="125">
        <v>0.0</v>
      </c>
      <c r="H556" s="125">
        <v>0.0</v>
      </c>
      <c r="I556" s="125">
        <v>0.0</v>
      </c>
      <c r="J556" s="125">
        <v>0.0</v>
      </c>
      <c r="K556" s="125">
        <v>0.0</v>
      </c>
      <c r="L556" s="125">
        <v>0.0</v>
      </c>
      <c r="M556" s="125">
        <v>0.0</v>
      </c>
      <c r="N556" s="125">
        <v>0.0</v>
      </c>
      <c r="O556" s="125"/>
      <c r="P556" s="125"/>
      <c r="Q556" s="125"/>
      <c r="R556" s="125"/>
      <c r="S556" s="125"/>
      <c r="T556" s="125"/>
      <c r="U556" s="125"/>
      <c r="V556" s="125"/>
    </row>
    <row r="557">
      <c r="A557" s="122" t="s">
        <v>2403</v>
      </c>
      <c r="B557" s="122" t="s">
        <v>2404</v>
      </c>
      <c r="C557" s="125">
        <v>0.0</v>
      </c>
      <c r="D557" s="125">
        <v>0.0</v>
      </c>
      <c r="E557" s="125">
        <v>0.0</v>
      </c>
      <c r="F557" s="125">
        <v>0.0</v>
      </c>
      <c r="G557" s="125">
        <v>0.0</v>
      </c>
      <c r="H557" s="125">
        <v>0.0</v>
      </c>
      <c r="I557" s="125">
        <v>0.0</v>
      </c>
      <c r="J557" s="125">
        <v>0.0</v>
      </c>
      <c r="K557" s="125">
        <v>0.0</v>
      </c>
      <c r="L557" s="125">
        <v>0.0</v>
      </c>
      <c r="M557" s="125">
        <v>0.0</v>
      </c>
      <c r="N557" s="125">
        <v>0.0</v>
      </c>
      <c r="O557" s="125"/>
      <c r="P557" s="125"/>
      <c r="Q557" s="125"/>
      <c r="R557" s="125"/>
      <c r="S557" s="125"/>
      <c r="T557" s="125"/>
      <c r="U557" s="125"/>
      <c r="V557" s="125"/>
    </row>
    <row r="558">
      <c r="A558" s="122" t="s">
        <v>2405</v>
      </c>
      <c r="B558" s="122" t="s">
        <v>2406</v>
      </c>
      <c r="C558" s="125">
        <v>0.0</v>
      </c>
      <c r="D558" s="125">
        <v>0.0</v>
      </c>
      <c r="E558" s="125">
        <v>0.0</v>
      </c>
      <c r="F558" s="125">
        <v>0.0</v>
      </c>
      <c r="G558" s="125">
        <v>0.0</v>
      </c>
      <c r="H558" s="125">
        <v>0.0</v>
      </c>
      <c r="I558" s="125">
        <v>0.0</v>
      </c>
      <c r="J558" s="125">
        <v>0.0</v>
      </c>
      <c r="K558" s="125">
        <v>0.0</v>
      </c>
      <c r="L558" s="125">
        <v>0.0</v>
      </c>
      <c r="M558" s="125">
        <v>0.0</v>
      </c>
      <c r="N558" s="125">
        <v>0.0</v>
      </c>
      <c r="O558" s="125"/>
      <c r="P558" s="125"/>
      <c r="Q558" s="125"/>
      <c r="R558" s="125"/>
      <c r="S558" s="125"/>
      <c r="T558" s="125"/>
      <c r="U558" s="125"/>
      <c r="V558" s="125"/>
    </row>
    <row r="559">
      <c r="A559" s="122" t="s">
        <v>2407</v>
      </c>
      <c r="B559" s="122" t="s">
        <v>2408</v>
      </c>
      <c r="C559" s="125">
        <v>0.0</v>
      </c>
      <c r="D559" s="125">
        <v>0.0</v>
      </c>
      <c r="E559" s="125">
        <v>0.0</v>
      </c>
      <c r="F559" s="125">
        <v>0.0</v>
      </c>
      <c r="G559" s="125">
        <v>0.0</v>
      </c>
      <c r="H559" s="125">
        <v>0.0</v>
      </c>
      <c r="I559" s="125">
        <v>0.0</v>
      </c>
      <c r="J559" s="125">
        <v>0.0</v>
      </c>
      <c r="K559" s="125">
        <v>0.0</v>
      </c>
      <c r="L559" s="125">
        <v>0.0</v>
      </c>
      <c r="M559" s="125">
        <v>0.0</v>
      </c>
      <c r="N559" s="125">
        <v>0.0</v>
      </c>
      <c r="O559" s="125"/>
      <c r="P559" s="125"/>
      <c r="Q559" s="125"/>
      <c r="R559" s="125"/>
      <c r="S559" s="125"/>
      <c r="T559" s="125"/>
      <c r="U559" s="125"/>
      <c r="V559" s="125"/>
    </row>
    <row r="560">
      <c r="A560" s="122" t="s">
        <v>2409</v>
      </c>
      <c r="B560" s="122" t="s">
        <v>2410</v>
      </c>
      <c r="C560" s="125">
        <v>0.0</v>
      </c>
      <c r="D560" s="125">
        <v>0.0</v>
      </c>
      <c r="E560" s="125">
        <v>0.0</v>
      </c>
      <c r="F560" s="125">
        <v>0.0</v>
      </c>
      <c r="G560" s="125">
        <v>0.0</v>
      </c>
      <c r="H560" s="125">
        <v>0.0</v>
      </c>
      <c r="I560" s="125">
        <v>0.0</v>
      </c>
      <c r="J560" s="125">
        <v>0.0</v>
      </c>
      <c r="K560" s="125">
        <v>0.0</v>
      </c>
      <c r="L560" s="125">
        <v>0.0</v>
      </c>
      <c r="M560" s="125">
        <v>0.0</v>
      </c>
      <c r="N560" s="125">
        <v>0.0</v>
      </c>
      <c r="O560" s="125"/>
      <c r="P560" s="125"/>
      <c r="Q560" s="125"/>
      <c r="R560" s="125"/>
      <c r="S560" s="125"/>
      <c r="T560" s="125"/>
      <c r="U560" s="125"/>
      <c r="V560" s="125"/>
    </row>
    <row r="561">
      <c r="A561" s="122" t="s">
        <v>2411</v>
      </c>
      <c r="B561" s="122" t="s">
        <v>2412</v>
      </c>
      <c r="C561" s="125">
        <v>0.0</v>
      </c>
      <c r="D561" s="125">
        <v>0.0</v>
      </c>
      <c r="E561" s="125">
        <v>0.0</v>
      </c>
      <c r="F561" s="125">
        <v>0.0</v>
      </c>
      <c r="G561" s="125">
        <v>0.0</v>
      </c>
      <c r="H561" s="125">
        <v>0.0</v>
      </c>
      <c r="I561" s="125">
        <v>0.0</v>
      </c>
      <c r="J561" s="125">
        <v>0.0</v>
      </c>
      <c r="K561" s="125">
        <v>0.0</v>
      </c>
      <c r="L561" s="125">
        <v>0.0</v>
      </c>
      <c r="M561" s="125">
        <v>0.0</v>
      </c>
      <c r="N561" s="125">
        <v>0.0</v>
      </c>
      <c r="O561" s="125"/>
      <c r="P561" s="125"/>
      <c r="Q561" s="125"/>
      <c r="R561" s="125"/>
      <c r="S561" s="125"/>
      <c r="T561" s="125"/>
      <c r="U561" s="125"/>
      <c r="V561" s="125"/>
    </row>
    <row r="562">
      <c r="A562" s="122" t="s">
        <v>2413</v>
      </c>
      <c r="B562" s="122" t="s">
        <v>2414</v>
      </c>
      <c r="C562" s="125">
        <v>0.0</v>
      </c>
      <c r="D562" s="125">
        <v>0.0</v>
      </c>
      <c r="E562" s="125">
        <v>0.0</v>
      </c>
      <c r="F562" s="125">
        <v>0.0</v>
      </c>
      <c r="G562" s="125">
        <v>0.0</v>
      </c>
      <c r="H562" s="125">
        <v>0.0</v>
      </c>
      <c r="I562" s="125">
        <v>0.0</v>
      </c>
      <c r="J562" s="125">
        <v>0.0</v>
      </c>
      <c r="K562" s="125">
        <v>0.0</v>
      </c>
      <c r="L562" s="125">
        <v>0.0</v>
      </c>
      <c r="M562" s="125">
        <v>0.0</v>
      </c>
      <c r="N562" s="125">
        <v>0.0</v>
      </c>
      <c r="O562" s="125"/>
      <c r="P562" s="125"/>
      <c r="Q562" s="125"/>
      <c r="R562" s="125"/>
      <c r="S562" s="125"/>
      <c r="T562" s="125"/>
      <c r="U562" s="125"/>
      <c r="V562" s="125"/>
    </row>
    <row r="563">
      <c r="A563" s="122" t="s">
        <v>2415</v>
      </c>
      <c r="B563" s="122" t="s">
        <v>2416</v>
      </c>
      <c r="C563" s="125">
        <v>0.0</v>
      </c>
      <c r="D563" s="125">
        <v>0.0</v>
      </c>
      <c r="E563" s="125">
        <v>0.0</v>
      </c>
      <c r="F563" s="125">
        <v>0.0</v>
      </c>
      <c r="G563" s="125">
        <v>0.0</v>
      </c>
      <c r="H563" s="125">
        <v>0.0</v>
      </c>
      <c r="I563" s="125">
        <v>0.0</v>
      </c>
      <c r="J563" s="125">
        <v>0.0</v>
      </c>
      <c r="K563" s="125">
        <v>0.0</v>
      </c>
      <c r="L563" s="125">
        <v>0.0</v>
      </c>
      <c r="M563" s="125">
        <v>0.0</v>
      </c>
      <c r="N563" s="125">
        <v>0.0</v>
      </c>
      <c r="O563" s="125"/>
      <c r="P563" s="125"/>
      <c r="Q563" s="125"/>
      <c r="R563" s="125"/>
      <c r="S563" s="125"/>
      <c r="T563" s="125"/>
      <c r="U563" s="125"/>
      <c r="V563" s="125"/>
    </row>
    <row r="564">
      <c r="A564" s="122" t="s">
        <v>2417</v>
      </c>
      <c r="B564" s="122" t="s">
        <v>2418</v>
      </c>
      <c r="C564" s="125">
        <v>0.0</v>
      </c>
      <c r="D564" s="125">
        <v>0.0</v>
      </c>
      <c r="E564" s="125">
        <v>0.0</v>
      </c>
      <c r="F564" s="125">
        <v>0.0</v>
      </c>
      <c r="G564" s="125">
        <v>0.0</v>
      </c>
      <c r="H564" s="125">
        <v>0.0</v>
      </c>
      <c r="I564" s="125">
        <v>0.0</v>
      </c>
      <c r="J564" s="125">
        <v>0.0</v>
      </c>
      <c r="K564" s="125">
        <v>0.0</v>
      </c>
      <c r="L564" s="125">
        <v>0.0</v>
      </c>
      <c r="M564" s="125">
        <v>0.0</v>
      </c>
      <c r="N564" s="125">
        <v>0.0</v>
      </c>
      <c r="O564" s="125"/>
      <c r="P564" s="125"/>
      <c r="Q564" s="125"/>
      <c r="R564" s="125"/>
      <c r="S564" s="125"/>
      <c r="T564" s="125"/>
      <c r="U564" s="125"/>
      <c r="V564" s="125"/>
    </row>
    <row r="565">
      <c r="A565" s="122" t="s">
        <v>2419</v>
      </c>
      <c r="B565" s="122" t="s">
        <v>2418</v>
      </c>
      <c r="C565" s="125">
        <v>0.0</v>
      </c>
      <c r="D565" s="125">
        <v>0.0</v>
      </c>
      <c r="E565" s="125">
        <v>0.0</v>
      </c>
      <c r="F565" s="125">
        <v>0.0</v>
      </c>
      <c r="G565" s="125">
        <v>0.0</v>
      </c>
      <c r="H565" s="125">
        <v>0.0</v>
      </c>
      <c r="I565" s="125">
        <v>0.0</v>
      </c>
      <c r="J565" s="125">
        <v>0.0</v>
      </c>
      <c r="K565" s="125">
        <v>0.0</v>
      </c>
      <c r="L565" s="125">
        <v>0.0</v>
      </c>
      <c r="M565" s="125">
        <v>0.0</v>
      </c>
      <c r="N565" s="125">
        <v>0.0</v>
      </c>
      <c r="O565" s="125"/>
      <c r="P565" s="125"/>
      <c r="Q565" s="125"/>
      <c r="R565" s="125"/>
      <c r="S565" s="125"/>
      <c r="T565" s="125"/>
      <c r="U565" s="125"/>
      <c r="V565" s="125"/>
    </row>
    <row r="566">
      <c r="A566" s="122" t="s">
        <v>2420</v>
      </c>
      <c r="B566" s="122" t="s">
        <v>2418</v>
      </c>
      <c r="C566" s="125">
        <v>0.0</v>
      </c>
      <c r="D566" s="125">
        <v>0.0</v>
      </c>
      <c r="E566" s="125">
        <v>0.0</v>
      </c>
      <c r="F566" s="125">
        <v>0.0</v>
      </c>
      <c r="G566" s="125">
        <v>0.0</v>
      </c>
      <c r="H566" s="125">
        <v>0.0</v>
      </c>
      <c r="I566" s="125">
        <v>0.0</v>
      </c>
      <c r="J566" s="125">
        <v>0.0</v>
      </c>
      <c r="K566" s="125">
        <v>0.0</v>
      </c>
      <c r="L566" s="125">
        <v>0.0</v>
      </c>
      <c r="M566" s="125">
        <v>0.0</v>
      </c>
      <c r="N566" s="125">
        <v>0.0</v>
      </c>
      <c r="O566" s="125"/>
      <c r="P566" s="125"/>
      <c r="Q566" s="125"/>
      <c r="R566" s="125"/>
      <c r="S566" s="125"/>
      <c r="T566" s="125"/>
      <c r="U566" s="125"/>
      <c r="V566" s="125"/>
    </row>
    <row r="567">
      <c r="A567" s="122" t="s">
        <v>2421</v>
      </c>
      <c r="B567" s="122" t="s">
        <v>2418</v>
      </c>
      <c r="C567" s="125">
        <v>0.0</v>
      </c>
      <c r="D567" s="125">
        <v>0.0</v>
      </c>
      <c r="E567" s="125">
        <v>0.0</v>
      </c>
      <c r="F567" s="125">
        <v>0.0</v>
      </c>
      <c r="G567" s="125">
        <v>0.0</v>
      </c>
      <c r="H567" s="125">
        <v>0.0</v>
      </c>
      <c r="I567" s="125">
        <v>0.0</v>
      </c>
      <c r="J567" s="125">
        <v>0.0</v>
      </c>
      <c r="K567" s="125">
        <v>0.0</v>
      </c>
      <c r="L567" s="125">
        <v>0.0</v>
      </c>
      <c r="M567" s="125">
        <v>0.0</v>
      </c>
      <c r="N567" s="125">
        <v>0.0</v>
      </c>
      <c r="O567" s="125"/>
      <c r="P567" s="125"/>
      <c r="Q567" s="125"/>
      <c r="R567" s="125"/>
      <c r="S567" s="125"/>
      <c r="T567" s="125"/>
      <c r="U567" s="125"/>
      <c r="V567" s="125"/>
    </row>
    <row r="568">
      <c r="A568" s="122" t="s">
        <v>2422</v>
      </c>
      <c r="B568" s="122" t="s">
        <v>2418</v>
      </c>
      <c r="C568" s="125">
        <v>0.0</v>
      </c>
      <c r="D568" s="125">
        <v>0.0</v>
      </c>
      <c r="E568" s="125">
        <v>0.0</v>
      </c>
      <c r="F568" s="125">
        <v>0.0</v>
      </c>
      <c r="G568" s="125">
        <v>0.0</v>
      </c>
      <c r="H568" s="125">
        <v>0.0</v>
      </c>
      <c r="I568" s="125">
        <v>0.0</v>
      </c>
      <c r="J568" s="125">
        <v>0.0</v>
      </c>
      <c r="K568" s="125">
        <v>0.0</v>
      </c>
      <c r="L568" s="125">
        <v>0.0</v>
      </c>
      <c r="M568" s="125">
        <v>0.0</v>
      </c>
      <c r="N568" s="125">
        <v>0.0</v>
      </c>
      <c r="O568" s="125"/>
      <c r="P568" s="125"/>
      <c r="Q568" s="125"/>
      <c r="R568" s="125"/>
      <c r="S568" s="125"/>
      <c r="T568" s="125"/>
      <c r="U568" s="125"/>
      <c r="V568" s="125"/>
    </row>
    <row r="569">
      <c r="A569" s="122" t="s">
        <v>2423</v>
      </c>
      <c r="B569" s="122" t="s">
        <v>2424</v>
      </c>
      <c r="C569" s="125">
        <v>0.0</v>
      </c>
      <c r="D569" s="125">
        <v>0.0</v>
      </c>
      <c r="E569" s="125">
        <v>0.0</v>
      </c>
      <c r="F569" s="125">
        <v>0.0</v>
      </c>
      <c r="G569" s="125">
        <v>0.0</v>
      </c>
      <c r="H569" s="125">
        <v>0.0</v>
      </c>
      <c r="I569" s="125">
        <v>0.0</v>
      </c>
      <c r="J569" s="125">
        <v>0.0</v>
      </c>
      <c r="K569" s="125">
        <v>0.0</v>
      </c>
      <c r="L569" s="125">
        <v>0.0</v>
      </c>
      <c r="M569" s="125">
        <v>0.0</v>
      </c>
      <c r="N569" s="125">
        <v>0.0</v>
      </c>
      <c r="O569" s="125"/>
      <c r="P569" s="125"/>
      <c r="Q569" s="125"/>
      <c r="R569" s="125"/>
      <c r="S569" s="125"/>
      <c r="T569" s="125"/>
      <c r="U569" s="125"/>
      <c r="V569" s="125"/>
    </row>
    <row r="570">
      <c r="A570" s="122" t="s">
        <v>2425</v>
      </c>
      <c r="B570" s="122" t="s">
        <v>2426</v>
      </c>
      <c r="C570" s="125">
        <v>0.0</v>
      </c>
      <c r="D570" s="125">
        <v>0.0</v>
      </c>
      <c r="E570" s="125">
        <v>0.0</v>
      </c>
      <c r="F570" s="125">
        <v>0.0</v>
      </c>
      <c r="G570" s="125">
        <v>0.0</v>
      </c>
      <c r="H570" s="125">
        <v>0.0</v>
      </c>
      <c r="I570" s="125">
        <v>0.0</v>
      </c>
      <c r="J570" s="125">
        <v>0.0</v>
      </c>
      <c r="K570" s="125">
        <v>0.0</v>
      </c>
      <c r="L570" s="125">
        <v>0.0</v>
      </c>
      <c r="M570" s="125">
        <v>0.0</v>
      </c>
      <c r="N570" s="125">
        <v>0.0</v>
      </c>
      <c r="O570" s="125"/>
      <c r="P570" s="125"/>
      <c r="Q570" s="125"/>
      <c r="R570" s="125"/>
      <c r="S570" s="125"/>
      <c r="T570" s="125"/>
      <c r="U570" s="125"/>
      <c r="V570" s="125"/>
    </row>
    <row r="571">
      <c r="A571" s="122" t="s">
        <v>2427</v>
      </c>
      <c r="B571" s="122" t="s">
        <v>2428</v>
      </c>
      <c r="C571" s="125">
        <v>0.0</v>
      </c>
      <c r="D571" s="125">
        <v>0.0</v>
      </c>
      <c r="E571" s="125">
        <v>0.0</v>
      </c>
      <c r="F571" s="125">
        <v>0.0</v>
      </c>
      <c r="G571" s="125">
        <v>0.0</v>
      </c>
      <c r="H571" s="125">
        <v>0.0</v>
      </c>
      <c r="I571" s="125">
        <v>0.0</v>
      </c>
      <c r="J571" s="125">
        <v>0.0</v>
      </c>
      <c r="K571" s="125">
        <v>0.0</v>
      </c>
      <c r="L571" s="125">
        <v>0.0</v>
      </c>
      <c r="M571" s="125">
        <v>0.0</v>
      </c>
      <c r="N571" s="125">
        <v>0.0</v>
      </c>
      <c r="O571" s="125"/>
      <c r="P571" s="125"/>
      <c r="Q571" s="125"/>
      <c r="R571" s="125"/>
      <c r="S571" s="125"/>
      <c r="T571" s="125"/>
      <c r="U571" s="125"/>
      <c r="V571" s="125"/>
    </row>
    <row r="572">
      <c r="A572" s="122" t="s">
        <v>2429</v>
      </c>
      <c r="B572" s="122" t="s">
        <v>2430</v>
      </c>
      <c r="C572" s="125">
        <v>0.0</v>
      </c>
      <c r="D572" s="125">
        <v>0.0</v>
      </c>
      <c r="E572" s="125">
        <v>0.0</v>
      </c>
      <c r="F572" s="125">
        <v>0.0</v>
      </c>
      <c r="G572" s="125">
        <v>0.0</v>
      </c>
      <c r="H572" s="125">
        <v>0.0</v>
      </c>
      <c r="I572" s="125">
        <v>0.0</v>
      </c>
      <c r="J572" s="125">
        <v>0.0</v>
      </c>
      <c r="K572" s="125">
        <v>0.0</v>
      </c>
      <c r="L572" s="125">
        <v>0.0</v>
      </c>
      <c r="M572" s="125">
        <v>0.0</v>
      </c>
      <c r="N572" s="125">
        <v>0.0</v>
      </c>
      <c r="O572" s="125"/>
      <c r="P572" s="125"/>
      <c r="Q572" s="125"/>
      <c r="R572" s="125"/>
      <c r="S572" s="125"/>
      <c r="T572" s="125"/>
      <c r="U572" s="125"/>
      <c r="V572" s="125"/>
    </row>
    <row r="573">
      <c r="A573" s="122" t="s">
        <v>2101</v>
      </c>
      <c r="B573" s="122" t="s">
        <v>2102</v>
      </c>
      <c r="C573" s="125">
        <v>0.0</v>
      </c>
      <c r="D573" s="125">
        <v>0.0</v>
      </c>
      <c r="E573" s="125">
        <v>0.0</v>
      </c>
      <c r="F573" s="125">
        <v>0.0</v>
      </c>
      <c r="G573" s="125">
        <v>0.0</v>
      </c>
      <c r="H573" s="125">
        <v>0.0</v>
      </c>
      <c r="I573" s="125">
        <v>0.0</v>
      </c>
      <c r="J573" s="125">
        <v>0.0</v>
      </c>
      <c r="K573" s="125">
        <v>0.0</v>
      </c>
      <c r="L573" s="125">
        <v>0.0</v>
      </c>
      <c r="M573" s="125">
        <v>0.0</v>
      </c>
      <c r="N573" s="125">
        <v>0.0</v>
      </c>
      <c r="O573" s="125"/>
      <c r="P573" s="125"/>
      <c r="Q573" s="125"/>
      <c r="R573" s="125"/>
      <c r="S573" s="125"/>
      <c r="T573" s="125"/>
      <c r="U573" s="125"/>
      <c r="V573" s="125"/>
    </row>
    <row r="574">
      <c r="A574" s="122" t="s">
        <v>2431</v>
      </c>
      <c r="B574" s="122" t="s">
        <v>2432</v>
      </c>
      <c r="C574" s="125">
        <v>0.0</v>
      </c>
      <c r="D574" s="125">
        <v>0.0</v>
      </c>
      <c r="E574" s="125">
        <v>0.0</v>
      </c>
      <c r="F574" s="125">
        <v>0.0</v>
      </c>
      <c r="G574" s="125">
        <v>0.0</v>
      </c>
      <c r="H574" s="125">
        <v>0.0</v>
      </c>
      <c r="I574" s="125">
        <v>0.0</v>
      </c>
      <c r="J574" s="125">
        <v>0.0</v>
      </c>
      <c r="K574" s="125">
        <v>0.0</v>
      </c>
      <c r="L574" s="125">
        <v>0.0</v>
      </c>
      <c r="M574" s="125">
        <v>0.0</v>
      </c>
      <c r="N574" s="125">
        <v>0.0</v>
      </c>
      <c r="O574" s="125"/>
      <c r="P574" s="125"/>
      <c r="Q574" s="125"/>
      <c r="R574" s="125"/>
      <c r="S574" s="125"/>
      <c r="T574" s="125"/>
      <c r="U574" s="125"/>
      <c r="V574" s="125"/>
    </row>
    <row r="575">
      <c r="A575" s="122" t="s">
        <v>2433</v>
      </c>
      <c r="B575" s="122" t="s">
        <v>2434</v>
      </c>
      <c r="C575" s="125">
        <v>0.0</v>
      </c>
      <c r="D575" s="125">
        <v>0.0</v>
      </c>
      <c r="E575" s="125">
        <v>0.0</v>
      </c>
      <c r="F575" s="125">
        <v>0.0</v>
      </c>
      <c r="G575" s="125">
        <v>0.0</v>
      </c>
      <c r="H575" s="125">
        <v>0.0</v>
      </c>
      <c r="I575" s="125">
        <v>0.0</v>
      </c>
      <c r="J575" s="125">
        <v>0.0</v>
      </c>
      <c r="K575" s="125">
        <v>0.0</v>
      </c>
      <c r="L575" s="125">
        <v>0.0</v>
      </c>
      <c r="M575" s="125">
        <v>0.0</v>
      </c>
      <c r="N575" s="125">
        <v>0.0</v>
      </c>
      <c r="O575" s="125"/>
      <c r="P575" s="125"/>
      <c r="Q575" s="125"/>
      <c r="R575" s="125"/>
      <c r="S575" s="125"/>
      <c r="T575" s="125"/>
      <c r="U575" s="125"/>
      <c r="V575" s="125"/>
    </row>
    <row r="576">
      <c r="A576" s="122" t="s">
        <v>2435</v>
      </c>
      <c r="B576" s="122" t="s">
        <v>2436</v>
      </c>
      <c r="C576" s="125">
        <v>0.0</v>
      </c>
      <c r="D576" s="125">
        <v>0.0</v>
      </c>
      <c r="E576" s="125">
        <v>0.0</v>
      </c>
      <c r="F576" s="125">
        <v>0.0</v>
      </c>
      <c r="G576" s="125">
        <v>0.0</v>
      </c>
      <c r="H576" s="125">
        <v>0.0</v>
      </c>
      <c r="I576" s="125">
        <v>0.0</v>
      </c>
      <c r="J576" s="125">
        <v>0.0</v>
      </c>
      <c r="K576" s="125">
        <v>0.0</v>
      </c>
      <c r="L576" s="125">
        <v>0.0</v>
      </c>
      <c r="M576" s="125">
        <v>0.0</v>
      </c>
      <c r="N576" s="125">
        <v>0.0</v>
      </c>
      <c r="O576" s="125"/>
      <c r="P576" s="125"/>
      <c r="Q576" s="125"/>
      <c r="R576" s="125"/>
      <c r="S576" s="125"/>
      <c r="T576" s="125"/>
      <c r="U576" s="125"/>
      <c r="V576" s="125"/>
    </row>
    <row r="577">
      <c r="A577" s="122" t="s">
        <v>2437</v>
      </c>
      <c r="B577" s="122" t="s">
        <v>2438</v>
      </c>
      <c r="C577" s="125">
        <v>0.0</v>
      </c>
      <c r="D577" s="125">
        <v>0.0</v>
      </c>
      <c r="E577" s="125">
        <v>0.0</v>
      </c>
      <c r="F577" s="125">
        <v>0.0</v>
      </c>
      <c r="G577" s="125">
        <v>0.0</v>
      </c>
      <c r="H577" s="125">
        <v>0.0</v>
      </c>
      <c r="I577" s="125">
        <v>0.0</v>
      </c>
      <c r="J577" s="125">
        <v>0.0</v>
      </c>
      <c r="K577" s="125">
        <v>0.0</v>
      </c>
      <c r="L577" s="125">
        <v>0.0</v>
      </c>
      <c r="M577" s="125">
        <v>0.0</v>
      </c>
      <c r="N577" s="125">
        <v>0.0</v>
      </c>
      <c r="O577" s="125"/>
      <c r="P577" s="125"/>
      <c r="Q577" s="125"/>
      <c r="R577" s="125"/>
      <c r="S577" s="125"/>
      <c r="T577" s="125"/>
      <c r="U577" s="125"/>
      <c r="V577" s="125"/>
    </row>
    <row r="578">
      <c r="A578" s="122" t="s">
        <v>2439</v>
      </c>
      <c r="B578" s="122" t="s">
        <v>2440</v>
      </c>
      <c r="C578" s="125">
        <v>0.0</v>
      </c>
      <c r="D578" s="125">
        <v>0.0</v>
      </c>
      <c r="E578" s="125">
        <v>0.0</v>
      </c>
      <c r="F578" s="125">
        <v>0.0</v>
      </c>
      <c r="G578" s="125">
        <v>0.0</v>
      </c>
      <c r="H578" s="125">
        <v>0.0</v>
      </c>
      <c r="I578" s="125">
        <v>0.0</v>
      </c>
      <c r="J578" s="125">
        <v>0.0</v>
      </c>
      <c r="K578" s="125">
        <v>0.0</v>
      </c>
      <c r="L578" s="125">
        <v>0.0</v>
      </c>
      <c r="M578" s="125">
        <v>0.0</v>
      </c>
      <c r="N578" s="125">
        <v>0.0</v>
      </c>
      <c r="O578" s="125"/>
      <c r="P578" s="125"/>
      <c r="Q578" s="125"/>
      <c r="R578" s="125"/>
      <c r="S578" s="125"/>
      <c r="T578" s="125"/>
      <c r="U578" s="125"/>
      <c r="V578" s="125"/>
    </row>
    <row r="579">
      <c r="A579" s="122" t="s">
        <v>2441</v>
      </c>
      <c r="B579" s="122" t="s">
        <v>2442</v>
      </c>
      <c r="C579" s="125">
        <v>0.0</v>
      </c>
      <c r="D579" s="125">
        <v>0.0</v>
      </c>
      <c r="E579" s="125">
        <v>0.0</v>
      </c>
      <c r="F579" s="125">
        <v>0.0</v>
      </c>
      <c r="G579" s="125">
        <v>0.0</v>
      </c>
      <c r="H579" s="125">
        <v>0.0</v>
      </c>
      <c r="I579" s="125">
        <v>0.0</v>
      </c>
      <c r="J579" s="125">
        <v>0.0</v>
      </c>
      <c r="K579" s="125">
        <v>0.0</v>
      </c>
      <c r="L579" s="125">
        <v>0.0</v>
      </c>
      <c r="M579" s="125">
        <v>0.0</v>
      </c>
      <c r="N579" s="125">
        <v>0.0</v>
      </c>
      <c r="O579" s="125"/>
      <c r="P579" s="125"/>
      <c r="Q579" s="125"/>
      <c r="R579" s="125"/>
      <c r="S579" s="125"/>
      <c r="T579" s="125"/>
      <c r="U579" s="125"/>
      <c r="V579" s="125"/>
    </row>
    <row r="580">
      <c r="A580" s="122" t="s">
        <v>2066</v>
      </c>
      <c r="B580" s="122" t="s">
        <v>2067</v>
      </c>
      <c r="C580" s="125">
        <v>0.0</v>
      </c>
      <c r="D580" s="125">
        <v>0.0</v>
      </c>
      <c r="E580" s="125">
        <v>0.0</v>
      </c>
      <c r="F580" s="125">
        <v>0.0</v>
      </c>
      <c r="G580" s="125">
        <v>0.0</v>
      </c>
      <c r="H580" s="125">
        <v>0.0</v>
      </c>
      <c r="I580" s="125">
        <v>0.0</v>
      </c>
      <c r="J580" s="125">
        <v>0.0</v>
      </c>
      <c r="K580" s="125">
        <v>0.0</v>
      </c>
      <c r="L580" s="125">
        <v>0.0</v>
      </c>
      <c r="M580" s="125">
        <v>0.0</v>
      </c>
      <c r="N580" s="125">
        <v>0.0</v>
      </c>
      <c r="O580" s="125"/>
      <c r="P580" s="125"/>
      <c r="Q580" s="125"/>
      <c r="R580" s="125"/>
      <c r="S580" s="125"/>
      <c r="T580" s="125"/>
      <c r="U580" s="125"/>
      <c r="V580" s="125"/>
    </row>
    <row r="581">
      <c r="A581" s="122" t="s">
        <v>2443</v>
      </c>
      <c r="B581" s="122" t="s">
        <v>2444</v>
      </c>
      <c r="C581" s="125">
        <v>0.0</v>
      </c>
      <c r="D581" s="125">
        <v>0.0</v>
      </c>
      <c r="E581" s="125">
        <v>0.0</v>
      </c>
      <c r="F581" s="125">
        <v>0.0</v>
      </c>
      <c r="G581" s="125">
        <v>0.0</v>
      </c>
      <c r="H581" s="125">
        <v>0.0</v>
      </c>
      <c r="I581" s="125">
        <v>0.0</v>
      </c>
      <c r="J581" s="125">
        <v>0.0</v>
      </c>
      <c r="K581" s="125">
        <v>0.0</v>
      </c>
      <c r="L581" s="125">
        <v>0.0</v>
      </c>
      <c r="M581" s="125">
        <v>0.0</v>
      </c>
      <c r="N581" s="125">
        <v>0.0</v>
      </c>
      <c r="O581" s="125"/>
      <c r="P581" s="125"/>
      <c r="Q581" s="125"/>
      <c r="R581" s="125"/>
      <c r="S581" s="125"/>
      <c r="T581" s="125"/>
      <c r="U581" s="125"/>
      <c r="V581" s="125"/>
    </row>
    <row r="582">
      <c r="A582" s="122" t="s">
        <v>2445</v>
      </c>
      <c r="B582" s="122" t="s">
        <v>2446</v>
      </c>
      <c r="C582" s="125">
        <v>0.0</v>
      </c>
      <c r="D582" s="125">
        <v>0.0</v>
      </c>
      <c r="E582" s="125">
        <v>0.0</v>
      </c>
      <c r="F582" s="125">
        <v>0.0</v>
      </c>
      <c r="G582" s="125">
        <v>0.0</v>
      </c>
      <c r="H582" s="125">
        <v>0.0</v>
      </c>
      <c r="I582" s="125">
        <v>0.0</v>
      </c>
      <c r="J582" s="125">
        <v>0.0</v>
      </c>
      <c r="K582" s="125">
        <v>0.0</v>
      </c>
      <c r="L582" s="125">
        <v>0.0</v>
      </c>
      <c r="M582" s="125">
        <v>0.0</v>
      </c>
      <c r="N582" s="125">
        <v>0.0</v>
      </c>
      <c r="O582" s="125"/>
      <c r="P582" s="125"/>
      <c r="Q582" s="125"/>
      <c r="R582" s="125"/>
      <c r="S582" s="125"/>
      <c r="T582" s="125"/>
      <c r="U582" s="125"/>
      <c r="V582" s="125"/>
    </row>
    <row r="583">
      <c r="A583" s="122" t="s">
        <v>2447</v>
      </c>
      <c r="B583" s="122" t="s">
        <v>2448</v>
      </c>
      <c r="C583" s="125">
        <v>0.0</v>
      </c>
      <c r="D583" s="125">
        <v>0.0</v>
      </c>
      <c r="E583" s="125">
        <v>0.0</v>
      </c>
      <c r="F583" s="125">
        <v>0.0</v>
      </c>
      <c r="G583" s="125">
        <v>0.0</v>
      </c>
      <c r="H583" s="125">
        <v>0.0</v>
      </c>
      <c r="I583" s="125">
        <v>0.0</v>
      </c>
      <c r="J583" s="125">
        <v>0.0</v>
      </c>
      <c r="K583" s="125">
        <v>0.0</v>
      </c>
      <c r="L583" s="125">
        <v>0.0</v>
      </c>
      <c r="M583" s="125">
        <v>0.0</v>
      </c>
      <c r="N583" s="125">
        <v>0.0</v>
      </c>
      <c r="O583" s="125"/>
      <c r="P583" s="125"/>
      <c r="Q583" s="125"/>
      <c r="R583" s="125"/>
      <c r="S583" s="125"/>
      <c r="T583" s="125"/>
      <c r="U583" s="125"/>
      <c r="V583" s="125"/>
    </row>
    <row r="584">
      <c r="A584" s="122" t="s">
        <v>2449</v>
      </c>
      <c r="B584" s="122" t="s">
        <v>2450</v>
      </c>
      <c r="C584" s="125">
        <v>0.0</v>
      </c>
      <c r="D584" s="125">
        <v>0.0</v>
      </c>
      <c r="E584" s="125">
        <v>0.0</v>
      </c>
      <c r="F584" s="125">
        <v>0.0</v>
      </c>
      <c r="G584" s="125">
        <v>0.0</v>
      </c>
      <c r="H584" s="125">
        <v>0.0</v>
      </c>
      <c r="I584" s="125">
        <v>0.0</v>
      </c>
      <c r="J584" s="125">
        <v>0.0</v>
      </c>
      <c r="K584" s="125">
        <v>0.0</v>
      </c>
      <c r="L584" s="125">
        <v>0.0</v>
      </c>
      <c r="M584" s="125">
        <v>0.0</v>
      </c>
      <c r="N584" s="125">
        <v>0.0</v>
      </c>
      <c r="O584" s="125"/>
      <c r="P584" s="125"/>
      <c r="Q584" s="125"/>
      <c r="R584" s="125"/>
      <c r="S584" s="125"/>
      <c r="T584" s="125"/>
      <c r="U584" s="125"/>
      <c r="V584" s="125"/>
    </row>
    <row r="585">
      <c r="A585" s="122" t="s">
        <v>2451</v>
      </c>
      <c r="B585" s="122" t="s">
        <v>2452</v>
      </c>
      <c r="C585" s="125">
        <v>0.0</v>
      </c>
      <c r="D585" s="125">
        <v>0.0</v>
      </c>
      <c r="E585" s="125">
        <v>0.0</v>
      </c>
      <c r="F585" s="125">
        <v>0.0</v>
      </c>
      <c r="G585" s="125">
        <v>0.0</v>
      </c>
      <c r="H585" s="125">
        <v>0.0</v>
      </c>
      <c r="I585" s="125">
        <v>0.0</v>
      </c>
      <c r="J585" s="125">
        <v>0.0</v>
      </c>
      <c r="K585" s="125">
        <v>0.0</v>
      </c>
      <c r="L585" s="125">
        <v>0.0</v>
      </c>
      <c r="M585" s="125">
        <v>0.0</v>
      </c>
      <c r="N585" s="125">
        <v>0.0</v>
      </c>
      <c r="O585" s="125"/>
      <c r="P585" s="125"/>
      <c r="Q585" s="125"/>
      <c r="R585" s="125"/>
      <c r="S585" s="125"/>
      <c r="T585" s="125"/>
      <c r="U585" s="125"/>
      <c r="V585" s="125"/>
    </row>
    <row r="586">
      <c r="A586" s="122" t="s">
        <v>620</v>
      </c>
      <c r="B586" s="122" t="s">
        <v>622</v>
      </c>
      <c r="C586" s="125">
        <v>0.0</v>
      </c>
      <c r="D586" s="125">
        <v>0.0</v>
      </c>
      <c r="E586" s="125">
        <v>0.0</v>
      </c>
      <c r="F586" s="125">
        <v>0.0</v>
      </c>
      <c r="G586" s="125">
        <v>0.0</v>
      </c>
      <c r="H586" s="125">
        <v>0.0</v>
      </c>
      <c r="I586" s="125">
        <v>0.0</v>
      </c>
      <c r="J586" s="125">
        <v>0.0</v>
      </c>
      <c r="K586" s="125">
        <v>0.0</v>
      </c>
      <c r="L586" s="125">
        <v>0.0</v>
      </c>
      <c r="M586" s="125">
        <v>0.0</v>
      </c>
      <c r="N586" s="125">
        <v>0.0</v>
      </c>
      <c r="O586" s="125"/>
      <c r="P586" s="125"/>
      <c r="Q586" s="125"/>
      <c r="R586" s="125"/>
      <c r="S586" s="125"/>
      <c r="T586" s="125"/>
      <c r="U586" s="125"/>
      <c r="V586" s="125"/>
    </row>
    <row r="587">
      <c r="A587" s="122" t="s">
        <v>2453</v>
      </c>
      <c r="B587" s="122" t="s">
        <v>2454</v>
      </c>
      <c r="C587" s="125">
        <v>0.0</v>
      </c>
      <c r="D587" s="125">
        <v>0.0</v>
      </c>
      <c r="E587" s="125">
        <v>0.0</v>
      </c>
      <c r="F587" s="125">
        <v>0.0</v>
      </c>
      <c r="G587" s="125">
        <v>0.0</v>
      </c>
      <c r="H587" s="125">
        <v>0.0</v>
      </c>
      <c r="I587" s="125">
        <v>0.0</v>
      </c>
      <c r="J587" s="125">
        <v>0.0</v>
      </c>
      <c r="K587" s="125">
        <v>0.0</v>
      </c>
      <c r="L587" s="125">
        <v>0.0</v>
      </c>
      <c r="M587" s="125">
        <v>0.0</v>
      </c>
      <c r="N587" s="125">
        <v>0.0</v>
      </c>
      <c r="O587" s="125"/>
      <c r="P587" s="125"/>
      <c r="Q587" s="125"/>
      <c r="R587" s="125"/>
      <c r="S587" s="125"/>
      <c r="T587" s="125"/>
      <c r="U587" s="125"/>
      <c r="V587" s="125"/>
    </row>
    <row r="588">
      <c r="A588" s="122" t="s">
        <v>2455</v>
      </c>
      <c r="B588" s="122" t="s">
        <v>2456</v>
      </c>
      <c r="C588" s="125">
        <v>0.0</v>
      </c>
      <c r="D588" s="125">
        <v>0.0</v>
      </c>
      <c r="E588" s="125">
        <v>0.0</v>
      </c>
      <c r="F588" s="125">
        <v>0.0</v>
      </c>
      <c r="G588" s="125">
        <v>0.0</v>
      </c>
      <c r="H588" s="125">
        <v>0.0</v>
      </c>
      <c r="I588" s="125">
        <v>0.0</v>
      </c>
      <c r="J588" s="125">
        <v>0.0</v>
      </c>
      <c r="K588" s="125">
        <v>0.0</v>
      </c>
      <c r="L588" s="125">
        <v>0.0</v>
      </c>
      <c r="M588" s="125">
        <v>0.0</v>
      </c>
      <c r="N588" s="125">
        <v>0.0</v>
      </c>
      <c r="O588" s="125"/>
      <c r="P588" s="125"/>
      <c r="Q588" s="125"/>
      <c r="R588" s="125"/>
      <c r="S588" s="125"/>
      <c r="T588" s="125"/>
      <c r="U588" s="125"/>
      <c r="V588" s="125"/>
    </row>
    <row r="589">
      <c r="A589" s="122" t="s">
        <v>2457</v>
      </c>
      <c r="B589" s="122" t="s">
        <v>2456</v>
      </c>
      <c r="C589" s="125">
        <v>0.0</v>
      </c>
      <c r="D589" s="125">
        <v>0.0</v>
      </c>
      <c r="E589" s="125">
        <v>0.0</v>
      </c>
      <c r="F589" s="125">
        <v>0.0</v>
      </c>
      <c r="G589" s="125">
        <v>0.0</v>
      </c>
      <c r="H589" s="125">
        <v>0.0</v>
      </c>
      <c r="I589" s="125">
        <v>0.0</v>
      </c>
      <c r="J589" s="125">
        <v>0.0</v>
      </c>
      <c r="K589" s="125">
        <v>0.0</v>
      </c>
      <c r="L589" s="125">
        <v>0.0</v>
      </c>
      <c r="M589" s="125">
        <v>0.0</v>
      </c>
      <c r="N589" s="125">
        <v>0.0</v>
      </c>
      <c r="O589" s="125"/>
      <c r="P589" s="125"/>
      <c r="Q589" s="125"/>
      <c r="R589" s="125"/>
      <c r="S589" s="125"/>
      <c r="T589" s="125"/>
      <c r="U589" s="125"/>
      <c r="V589" s="125"/>
    </row>
    <row r="590">
      <c r="A590" s="122" t="s">
        <v>2458</v>
      </c>
      <c r="B590" s="122" t="s">
        <v>2459</v>
      </c>
      <c r="C590" s="125">
        <v>0.0</v>
      </c>
      <c r="D590" s="125">
        <v>0.0</v>
      </c>
      <c r="E590" s="125">
        <v>0.0</v>
      </c>
      <c r="F590" s="125">
        <v>0.0</v>
      </c>
      <c r="G590" s="125">
        <v>0.0</v>
      </c>
      <c r="H590" s="125">
        <v>0.0</v>
      </c>
      <c r="I590" s="125">
        <v>0.0</v>
      </c>
      <c r="J590" s="125">
        <v>0.0</v>
      </c>
      <c r="K590" s="125">
        <v>0.0</v>
      </c>
      <c r="L590" s="125">
        <v>0.0</v>
      </c>
      <c r="M590" s="125">
        <v>0.0</v>
      </c>
      <c r="N590" s="125">
        <v>0.0</v>
      </c>
      <c r="O590" s="125"/>
      <c r="P590" s="125"/>
      <c r="Q590" s="125"/>
      <c r="R590" s="125"/>
      <c r="S590" s="125"/>
      <c r="T590" s="125"/>
      <c r="U590" s="125"/>
      <c r="V590" s="125"/>
    </row>
    <row r="591">
      <c r="A591" s="122" t="s">
        <v>2460</v>
      </c>
      <c r="B591" s="122" t="s">
        <v>2461</v>
      </c>
      <c r="C591" s="125">
        <v>0.0</v>
      </c>
      <c r="D591" s="125">
        <v>0.0</v>
      </c>
      <c r="E591" s="125">
        <v>0.0</v>
      </c>
      <c r="F591" s="125">
        <v>0.0</v>
      </c>
      <c r="G591" s="125">
        <v>0.0</v>
      </c>
      <c r="H591" s="125">
        <v>0.0</v>
      </c>
      <c r="I591" s="125">
        <v>0.0</v>
      </c>
      <c r="J591" s="125">
        <v>0.0</v>
      </c>
      <c r="K591" s="125">
        <v>0.0</v>
      </c>
      <c r="L591" s="125">
        <v>0.0</v>
      </c>
      <c r="M591" s="125">
        <v>0.0</v>
      </c>
      <c r="N591" s="125">
        <v>0.0</v>
      </c>
      <c r="O591" s="125"/>
      <c r="P591" s="125"/>
      <c r="Q591" s="125"/>
      <c r="R591" s="125"/>
      <c r="S591" s="125"/>
      <c r="T591" s="125"/>
      <c r="U591" s="125"/>
      <c r="V591" s="125"/>
    </row>
    <row r="592">
      <c r="A592" s="122" t="s">
        <v>2462</v>
      </c>
      <c r="B592" s="122" t="s">
        <v>2463</v>
      </c>
      <c r="C592" s="125">
        <v>0.0</v>
      </c>
      <c r="D592" s="125">
        <v>0.0</v>
      </c>
      <c r="E592" s="125">
        <v>0.0</v>
      </c>
      <c r="F592" s="125">
        <v>0.0</v>
      </c>
      <c r="G592" s="125">
        <v>0.0</v>
      </c>
      <c r="H592" s="125">
        <v>0.0</v>
      </c>
      <c r="I592" s="125">
        <v>0.0</v>
      </c>
      <c r="J592" s="125">
        <v>0.0</v>
      </c>
      <c r="K592" s="125">
        <v>0.0</v>
      </c>
      <c r="L592" s="125">
        <v>0.0</v>
      </c>
      <c r="M592" s="125">
        <v>0.0</v>
      </c>
      <c r="N592" s="125">
        <v>0.0</v>
      </c>
      <c r="O592" s="125"/>
      <c r="P592" s="125"/>
      <c r="Q592" s="125"/>
      <c r="R592" s="125"/>
      <c r="S592" s="125"/>
      <c r="T592" s="125"/>
      <c r="U592" s="125"/>
      <c r="V592" s="125"/>
    </row>
    <row r="593">
      <c r="A593" s="122" t="s">
        <v>2464</v>
      </c>
      <c r="B593" s="122" t="s">
        <v>2465</v>
      </c>
      <c r="C593" s="125">
        <v>0.0</v>
      </c>
      <c r="D593" s="125">
        <v>0.0</v>
      </c>
      <c r="E593" s="125">
        <v>0.0</v>
      </c>
      <c r="F593" s="125">
        <v>0.0</v>
      </c>
      <c r="G593" s="125">
        <v>0.0</v>
      </c>
      <c r="H593" s="125">
        <v>0.0</v>
      </c>
      <c r="I593" s="125">
        <v>0.0</v>
      </c>
      <c r="J593" s="125">
        <v>0.0</v>
      </c>
      <c r="K593" s="125">
        <v>0.0</v>
      </c>
      <c r="L593" s="125">
        <v>0.0</v>
      </c>
      <c r="M593" s="125">
        <v>0.0</v>
      </c>
      <c r="N593" s="125">
        <v>0.0</v>
      </c>
      <c r="O593" s="125"/>
      <c r="P593" s="125"/>
      <c r="Q593" s="125"/>
      <c r="R593" s="125"/>
      <c r="S593" s="125"/>
      <c r="T593" s="125"/>
      <c r="U593" s="125"/>
      <c r="V593" s="125"/>
    </row>
    <row r="594">
      <c r="A594" s="122" t="s">
        <v>2466</v>
      </c>
      <c r="B594" s="122" t="s">
        <v>2467</v>
      </c>
      <c r="C594" s="125">
        <v>0.0</v>
      </c>
      <c r="D594" s="125">
        <v>0.0</v>
      </c>
      <c r="E594" s="125">
        <v>0.0</v>
      </c>
      <c r="F594" s="125">
        <v>0.0</v>
      </c>
      <c r="G594" s="125">
        <v>0.0</v>
      </c>
      <c r="H594" s="125">
        <v>0.0</v>
      </c>
      <c r="I594" s="125">
        <v>0.0</v>
      </c>
      <c r="J594" s="125">
        <v>0.0</v>
      </c>
      <c r="K594" s="125">
        <v>0.0</v>
      </c>
      <c r="L594" s="125">
        <v>0.0</v>
      </c>
      <c r="M594" s="125">
        <v>0.0</v>
      </c>
      <c r="N594" s="125">
        <v>0.0</v>
      </c>
      <c r="O594" s="125"/>
      <c r="P594" s="125"/>
      <c r="Q594" s="125"/>
      <c r="R594" s="125"/>
      <c r="S594" s="125"/>
      <c r="T594" s="125"/>
      <c r="U594" s="125"/>
      <c r="V594" s="125"/>
    </row>
    <row r="595">
      <c r="A595" s="122" t="s">
        <v>2468</v>
      </c>
      <c r="B595" s="122" t="s">
        <v>2469</v>
      </c>
      <c r="C595" s="125">
        <v>0.0</v>
      </c>
      <c r="D595" s="125">
        <v>0.0</v>
      </c>
      <c r="E595" s="125">
        <v>0.0</v>
      </c>
      <c r="F595" s="125">
        <v>0.0</v>
      </c>
      <c r="G595" s="125">
        <v>0.0</v>
      </c>
      <c r="H595" s="125">
        <v>0.0</v>
      </c>
      <c r="I595" s="125">
        <v>0.0</v>
      </c>
      <c r="J595" s="125">
        <v>0.0</v>
      </c>
      <c r="K595" s="125">
        <v>0.0</v>
      </c>
      <c r="L595" s="125">
        <v>0.0</v>
      </c>
      <c r="M595" s="125">
        <v>0.0</v>
      </c>
      <c r="N595" s="125">
        <v>0.0</v>
      </c>
      <c r="O595" s="125"/>
      <c r="P595" s="125"/>
      <c r="Q595" s="125"/>
      <c r="R595" s="125"/>
      <c r="S595" s="125"/>
      <c r="T595" s="125"/>
      <c r="U595" s="125"/>
      <c r="V595" s="125"/>
    </row>
    <row r="596">
      <c r="A596" s="122" t="s">
        <v>2470</v>
      </c>
      <c r="B596" s="122" t="s">
        <v>2471</v>
      </c>
      <c r="C596" s="125">
        <v>0.0</v>
      </c>
      <c r="D596" s="125">
        <v>0.0</v>
      </c>
      <c r="E596" s="125">
        <v>0.0</v>
      </c>
      <c r="F596" s="125">
        <v>0.0</v>
      </c>
      <c r="G596" s="125">
        <v>0.0</v>
      </c>
      <c r="H596" s="125">
        <v>0.0</v>
      </c>
      <c r="I596" s="125">
        <v>0.0</v>
      </c>
      <c r="J596" s="125">
        <v>0.0</v>
      </c>
      <c r="K596" s="125">
        <v>0.0</v>
      </c>
      <c r="L596" s="125">
        <v>0.0</v>
      </c>
      <c r="M596" s="125">
        <v>0.0</v>
      </c>
      <c r="N596" s="125">
        <v>0.0</v>
      </c>
      <c r="O596" s="125"/>
      <c r="P596" s="125"/>
      <c r="Q596" s="125"/>
      <c r="R596" s="125"/>
      <c r="S596" s="125"/>
      <c r="T596" s="125"/>
      <c r="U596" s="125"/>
      <c r="V596" s="125"/>
    </row>
    <row r="597">
      <c r="A597" s="122" t="s">
        <v>2472</v>
      </c>
      <c r="B597" s="122" t="s">
        <v>2473</v>
      </c>
      <c r="C597" s="125">
        <v>0.0</v>
      </c>
      <c r="D597" s="125">
        <v>0.0</v>
      </c>
      <c r="E597" s="125">
        <v>0.0</v>
      </c>
      <c r="F597" s="125">
        <v>0.0</v>
      </c>
      <c r="G597" s="125">
        <v>0.0</v>
      </c>
      <c r="H597" s="125">
        <v>0.0</v>
      </c>
      <c r="I597" s="125">
        <v>0.0</v>
      </c>
      <c r="J597" s="125">
        <v>0.0</v>
      </c>
      <c r="K597" s="125">
        <v>0.0</v>
      </c>
      <c r="L597" s="125">
        <v>0.0</v>
      </c>
      <c r="M597" s="125">
        <v>0.0</v>
      </c>
      <c r="N597" s="125">
        <v>0.0</v>
      </c>
      <c r="O597" s="125"/>
      <c r="P597" s="125"/>
      <c r="Q597" s="125"/>
      <c r="R597" s="125"/>
      <c r="S597" s="125"/>
      <c r="T597" s="125"/>
      <c r="U597" s="125"/>
      <c r="V597" s="125"/>
    </row>
    <row r="598">
      <c r="A598" s="122" t="s">
        <v>2474</v>
      </c>
      <c r="B598" s="122" t="s">
        <v>2475</v>
      </c>
      <c r="C598" s="125">
        <v>0.0</v>
      </c>
      <c r="D598" s="125">
        <v>0.0</v>
      </c>
      <c r="E598" s="125">
        <v>0.0</v>
      </c>
      <c r="F598" s="125">
        <v>0.0</v>
      </c>
      <c r="G598" s="125">
        <v>0.0</v>
      </c>
      <c r="H598" s="125">
        <v>0.0</v>
      </c>
      <c r="I598" s="125">
        <v>0.0</v>
      </c>
      <c r="J598" s="125">
        <v>0.0</v>
      </c>
      <c r="K598" s="125">
        <v>0.0</v>
      </c>
      <c r="L598" s="125">
        <v>0.0</v>
      </c>
      <c r="M598" s="125">
        <v>0.0</v>
      </c>
      <c r="N598" s="125">
        <v>0.0</v>
      </c>
      <c r="O598" s="125"/>
      <c r="P598" s="125"/>
      <c r="Q598" s="125"/>
      <c r="R598" s="125"/>
      <c r="S598" s="125"/>
      <c r="T598" s="125"/>
      <c r="U598" s="125"/>
      <c r="V598" s="125"/>
    </row>
    <row r="599">
      <c r="A599" s="127" t="s">
        <v>2476</v>
      </c>
      <c r="B599" s="122" t="s">
        <v>2477</v>
      </c>
      <c r="C599" s="125">
        <v>0.0</v>
      </c>
      <c r="D599" s="125">
        <v>0.0</v>
      </c>
      <c r="E599" s="125">
        <v>0.0</v>
      </c>
      <c r="F599" s="125">
        <v>0.0</v>
      </c>
      <c r="G599" s="125">
        <v>0.0</v>
      </c>
      <c r="H599" s="125">
        <v>0.0</v>
      </c>
      <c r="I599" s="125">
        <v>0.0</v>
      </c>
      <c r="J599" s="125">
        <v>0.0</v>
      </c>
      <c r="K599" s="125">
        <v>0.0</v>
      </c>
      <c r="L599" s="125">
        <v>0.0</v>
      </c>
      <c r="M599" s="125">
        <v>0.0</v>
      </c>
      <c r="N599" s="125">
        <v>0.0</v>
      </c>
      <c r="O599" s="125"/>
      <c r="P599" s="125"/>
      <c r="Q599" s="125"/>
      <c r="R599" s="125"/>
      <c r="S599" s="125"/>
      <c r="T599" s="125"/>
      <c r="U599" s="125"/>
      <c r="V599" s="125"/>
    </row>
    <row r="600">
      <c r="A600" s="126">
        <v>5.94832E17</v>
      </c>
      <c r="B600" s="122" t="s">
        <v>2478</v>
      </c>
      <c r="C600" s="125">
        <v>0.0</v>
      </c>
      <c r="D600" s="125">
        <v>0.0</v>
      </c>
      <c r="E600" s="125">
        <v>0.0</v>
      </c>
      <c r="F600" s="125">
        <v>0.0</v>
      </c>
      <c r="G600" s="125">
        <v>0.0</v>
      </c>
      <c r="H600" s="125">
        <v>0.0</v>
      </c>
      <c r="I600" s="125">
        <v>0.0</v>
      </c>
      <c r="J600" s="125">
        <v>0.0</v>
      </c>
      <c r="K600" s="125">
        <v>0.0</v>
      </c>
      <c r="L600" s="125">
        <v>0.0</v>
      </c>
      <c r="M600" s="125">
        <v>0.0</v>
      </c>
      <c r="N600" s="125">
        <v>0.0</v>
      </c>
      <c r="O600" s="125"/>
      <c r="P600" s="125"/>
      <c r="Q600" s="125"/>
      <c r="R600" s="125"/>
      <c r="S600" s="125"/>
      <c r="T600" s="125"/>
      <c r="U600" s="125"/>
      <c r="V600" s="125"/>
    </row>
    <row r="601">
      <c r="A601" s="127" t="s">
        <v>83</v>
      </c>
      <c r="B601" s="122" t="s">
        <v>3060</v>
      </c>
      <c r="C601" s="125">
        <v>1667820.0</v>
      </c>
      <c r="D601" s="125">
        <v>1667820.0</v>
      </c>
      <c r="E601" s="125">
        <v>24.0</v>
      </c>
      <c r="F601" s="125">
        <v>0.0</v>
      </c>
      <c r="G601" s="125">
        <v>1224761.0</v>
      </c>
      <c r="H601" s="125">
        <v>443059.0</v>
      </c>
      <c r="I601" s="125" t="s">
        <v>3061</v>
      </c>
      <c r="J601" s="125">
        <v>731304.0</v>
      </c>
      <c r="K601" s="125">
        <v>158870.0</v>
      </c>
      <c r="L601" s="125">
        <v>302.0</v>
      </c>
      <c r="M601" s="125">
        <v>218220.0</v>
      </c>
      <c r="N601" s="125">
        <v>-116065.0</v>
      </c>
      <c r="O601" s="125"/>
      <c r="P601" s="125"/>
      <c r="Q601" s="125"/>
      <c r="R601" s="125"/>
      <c r="S601" s="125"/>
      <c r="T601" s="125"/>
      <c r="U601" s="125"/>
      <c r="V601" s="125"/>
    </row>
    <row r="602">
      <c r="A602" s="122" t="s">
        <v>2479</v>
      </c>
      <c r="B602" s="122" t="s">
        <v>3062</v>
      </c>
      <c r="C602" s="125">
        <v>410216.0</v>
      </c>
      <c r="D602" s="125">
        <v>410216.0</v>
      </c>
      <c r="E602" s="125">
        <v>4.0</v>
      </c>
      <c r="F602" s="125">
        <v>0.0</v>
      </c>
      <c r="G602" s="125">
        <v>253879.0</v>
      </c>
      <c r="H602" s="125">
        <v>156337.0</v>
      </c>
      <c r="I602" s="125" t="s">
        <v>3063</v>
      </c>
      <c r="J602" s="125">
        <v>172784.0</v>
      </c>
      <c r="K602" s="125">
        <v>3969.0</v>
      </c>
      <c r="L602" s="125">
        <v>394.0</v>
      </c>
      <c r="M602" s="125">
        <v>57432.0</v>
      </c>
      <c r="N602" s="125">
        <v>-19300.0</v>
      </c>
      <c r="O602" s="125"/>
      <c r="P602" s="125"/>
      <c r="Q602" s="125"/>
      <c r="R602" s="125"/>
      <c r="S602" s="125"/>
      <c r="T602" s="125"/>
      <c r="U602" s="125"/>
      <c r="V602" s="125"/>
    </row>
    <row r="603">
      <c r="A603" s="122" t="s">
        <v>1616</v>
      </c>
      <c r="B603" s="122" t="s">
        <v>2481</v>
      </c>
      <c r="C603" s="125">
        <v>44990.0</v>
      </c>
      <c r="D603" s="125">
        <v>44990.0</v>
      </c>
      <c r="E603" s="125">
        <v>1.0</v>
      </c>
      <c r="F603" s="125">
        <v>0.0</v>
      </c>
      <c r="G603" s="125">
        <v>26945.0</v>
      </c>
      <c r="H603" s="125">
        <v>18045.0</v>
      </c>
      <c r="I603" s="125" t="s">
        <v>3064</v>
      </c>
      <c r="J603" s="125">
        <v>14399.0</v>
      </c>
      <c r="K603" s="125">
        <v>2573.0</v>
      </c>
      <c r="L603" s="125">
        <v>651.0</v>
      </c>
      <c r="M603" s="125">
        <v>6299.0</v>
      </c>
      <c r="N603" s="125">
        <v>-3023.0</v>
      </c>
      <c r="O603" s="125"/>
      <c r="P603" s="125"/>
      <c r="Q603" s="125"/>
      <c r="R603" s="125"/>
      <c r="S603" s="125"/>
      <c r="T603" s="125"/>
      <c r="U603" s="125"/>
      <c r="V603" s="125"/>
    </row>
    <row r="604">
      <c r="A604" s="122" t="s">
        <v>2482</v>
      </c>
      <c r="B604" s="122" t="s">
        <v>2483</v>
      </c>
      <c r="C604" s="125">
        <v>750670.0</v>
      </c>
      <c r="D604" s="125">
        <v>750670.0</v>
      </c>
      <c r="E604" s="125">
        <v>10.0</v>
      </c>
      <c r="F604" s="125">
        <v>0.0</v>
      </c>
      <c r="G604" s="125">
        <v>434539.0</v>
      </c>
      <c r="H604" s="125">
        <v>316131.0</v>
      </c>
      <c r="I604" s="125" t="s">
        <v>3065</v>
      </c>
      <c r="J604" s="125">
        <v>287970.0</v>
      </c>
      <c r="K604" s="125">
        <v>9248.0</v>
      </c>
      <c r="L604" s="125">
        <v>230.0</v>
      </c>
      <c r="M604" s="125">
        <v>105096.0</v>
      </c>
      <c r="N604" s="125">
        <v>-31995.0</v>
      </c>
      <c r="O604" s="125"/>
      <c r="P604" s="125"/>
      <c r="Q604" s="125"/>
      <c r="R604" s="125"/>
      <c r="S604" s="125"/>
      <c r="T604" s="125"/>
      <c r="U604" s="125"/>
      <c r="V604" s="125"/>
    </row>
    <row r="605">
      <c r="A605" s="122" t="s">
        <v>2498</v>
      </c>
      <c r="B605" s="122" t="s">
        <v>2499</v>
      </c>
      <c r="C605" s="125">
        <v>0.0</v>
      </c>
      <c r="D605" s="125">
        <v>0.0</v>
      </c>
      <c r="E605" s="125">
        <v>0.0</v>
      </c>
      <c r="F605" s="125">
        <v>0.0</v>
      </c>
      <c r="G605" s="125">
        <v>0.0</v>
      </c>
      <c r="H605" s="125">
        <v>0.0</v>
      </c>
      <c r="I605" s="125">
        <v>0.0</v>
      </c>
      <c r="J605" s="125">
        <v>0.0</v>
      </c>
      <c r="K605" s="125">
        <v>0.0</v>
      </c>
      <c r="L605" s="125">
        <v>0.0</v>
      </c>
      <c r="M605" s="125">
        <v>0.0</v>
      </c>
      <c r="N605" s="125">
        <v>0.0</v>
      </c>
      <c r="O605" s="125"/>
      <c r="P605" s="125"/>
      <c r="Q605" s="125"/>
      <c r="R605" s="125"/>
      <c r="S605" s="125"/>
      <c r="T605" s="125"/>
      <c r="U605" s="125"/>
      <c r="V605" s="125"/>
    </row>
    <row r="606">
      <c r="A606" s="122" t="s">
        <v>2500</v>
      </c>
      <c r="B606" s="122" t="s">
        <v>2501</v>
      </c>
      <c r="C606" s="125">
        <v>0.0</v>
      </c>
      <c r="D606" s="125">
        <v>0.0</v>
      </c>
      <c r="E606" s="125">
        <v>0.0</v>
      </c>
      <c r="F606" s="125">
        <v>0.0</v>
      </c>
      <c r="G606" s="125">
        <v>0.0</v>
      </c>
      <c r="H606" s="125">
        <v>0.0</v>
      </c>
      <c r="I606" s="125">
        <v>0.0</v>
      </c>
      <c r="J606" s="125">
        <v>0.0</v>
      </c>
      <c r="K606" s="125">
        <v>0.0</v>
      </c>
      <c r="L606" s="125">
        <v>0.0</v>
      </c>
      <c r="M606" s="125">
        <v>0.0</v>
      </c>
      <c r="N606" s="125">
        <v>0.0</v>
      </c>
      <c r="O606" s="125"/>
      <c r="P606" s="125"/>
      <c r="Q606" s="125"/>
      <c r="R606" s="125"/>
      <c r="S606" s="125"/>
      <c r="T606" s="125"/>
      <c r="U606" s="125"/>
      <c r="V606" s="125"/>
    </row>
    <row r="607">
      <c r="A607" s="122" t="s">
        <v>1195</v>
      </c>
      <c r="B607" s="122" t="s">
        <v>3066</v>
      </c>
      <c r="C607" s="125">
        <v>411880.0</v>
      </c>
      <c r="D607" s="125">
        <v>411880.0</v>
      </c>
      <c r="E607" s="125">
        <v>12.0</v>
      </c>
      <c r="F607" s="125">
        <v>0.0</v>
      </c>
      <c r="G607" s="125">
        <v>238606.0</v>
      </c>
      <c r="H607" s="125">
        <v>173274.0</v>
      </c>
      <c r="I607" s="125" t="s">
        <v>3067</v>
      </c>
      <c r="J607" s="125">
        <v>140940.0</v>
      </c>
      <c r="K607" s="125">
        <v>11200.0</v>
      </c>
      <c r="L607" s="125">
        <v>283.0</v>
      </c>
      <c r="M607" s="125">
        <v>57668.0</v>
      </c>
      <c r="N607" s="125">
        <v>-28515.0</v>
      </c>
      <c r="O607" s="125"/>
      <c r="P607" s="125"/>
      <c r="Q607" s="125"/>
      <c r="R607" s="125"/>
      <c r="S607" s="125"/>
      <c r="T607" s="125"/>
      <c r="U607" s="125"/>
      <c r="V607" s="125"/>
    </row>
    <row r="608">
      <c r="A608" s="122" t="s">
        <v>2484</v>
      </c>
      <c r="B608" s="122" t="s">
        <v>2485</v>
      </c>
      <c r="C608" s="125">
        <v>0.0</v>
      </c>
      <c r="D608" s="125">
        <v>0.0</v>
      </c>
      <c r="E608" s="125">
        <v>0.0</v>
      </c>
      <c r="F608" s="125">
        <v>0.0</v>
      </c>
      <c r="G608" s="125">
        <v>0.0</v>
      </c>
      <c r="H608" s="125">
        <v>0.0</v>
      </c>
      <c r="I608" s="125">
        <v>0.0</v>
      </c>
      <c r="J608" s="125">
        <v>0.0</v>
      </c>
      <c r="K608" s="125">
        <v>0.0</v>
      </c>
      <c r="L608" s="125">
        <v>0.0</v>
      </c>
      <c r="M608" s="125">
        <v>0.0</v>
      </c>
      <c r="N608" s="125">
        <v>0.0</v>
      </c>
      <c r="O608" s="125"/>
      <c r="P608" s="125"/>
      <c r="Q608" s="125"/>
      <c r="R608" s="125"/>
      <c r="S608" s="125"/>
      <c r="T608" s="125"/>
      <c r="U608" s="125"/>
      <c r="V608" s="125"/>
    </row>
    <row r="609">
      <c r="A609" s="122" t="s">
        <v>2486</v>
      </c>
      <c r="B609" s="122" t="s">
        <v>2487</v>
      </c>
      <c r="C609" s="125">
        <v>0.0</v>
      </c>
      <c r="D609" s="125">
        <v>0.0</v>
      </c>
      <c r="E609" s="125">
        <v>0.0</v>
      </c>
      <c r="F609" s="125">
        <v>0.0</v>
      </c>
      <c r="G609" s="125">
        <v>0.0</v>
      </c>
      <c r="H609" s="125">
        <v>0.0</v>
      </c>
      <c r="I609" s="125">
        <v>0.0</v>
      </c>
      <c r="J609" s="125">
        <v>0.0</v>
      </c>
      <c r="K609" s="125">
        <v>0.0</v>
      </c>
      <c r="L609" s="125">
        <v>0.0</v>
      </c>
      <c r="M609" s="125">
        <v>0.0</v>
      </c>
      <c r="N609" s="125">
        <v>0.0</v>
      </c>
      <c r="O609" s="125"/>
      <c r="P609" s="125"/>
      <c r="Q609" s="125"/>
      <c r="R609" s="125"/>
      <c r="S609" s="125"/>
      <c r="T609" s="125"/>
      <c r="U609" s="125"/>
      <c r="V609" s="125"/>
    </row>
    <row r="610">
      <c r="A610" s="122" t="s">
        <v>2488</v>
      </c>
      <c r="B610" s="122" t="s">
        <v>2489</v>
      </c>
      <c r="C610" s="125">
        <v>0.0</v>
      </c>
      <c r="D610" s="125">
        <v>0.0</v>
      </c>
      <c r="E610" s="125">
        <v>0.0</v>
      </c>
      <c r="F610" s="125">
        <v>0.0</v>
      </c>
      <c r="G610" s="125">
        <v>0.0</v>
      </c>
      <c r="H610" s="125">
        <v>0.0</v>
      </c>
      <c r="I610" s="125">
        <v>0.0</v>
      </c>
      <c r="J610" s="125">
        <v>0.0</v>
      </c>
      <c r="K610" s="125">
        <v>0.0</v>
      </c>
      <c r="L610" s="125">
        <v>0.0</v>
      </c>
      <c r="M610" s="125">
        <v>0.0</v>
      </c>
      <c r="N610" s="125">
        <v>0.0</v>
      </c>
      <c r="O610" s="125"/>
      <c r="P610" s="125"/>
      <c r="Q610" s="125"/>
      <c r="R610" s="125"/>
      <c r="S610" s="125"/>
      <c r="T610" s="125"/>
      <c r="U610" s="125"/>
      <c r="V610" s="125"/>
    </row>
    <row r="611">
      <c r="A611" s="122" t="s">
        <v>2490</v>
      </c>
      <c r="B611" s="122" t="s">
        <v>2491</v>
      </c>
      <c r="C611" s="125">
        <v>0.0</v>
      </c>
      <c r="D611" s="125">
        <v>0.0</v>
      </c>
      <c r="E611" s="125">
        <v>0.0</v>
      </c>
      <c r="F611" s="125">
        <v>0.0</v>
      </c>
      <c r="G611" s="125">
        <v>0.0</v>
      </c>
      <c r="H611" s="125">
        <v>0.0</v>
      </c>
      <c r="I611" s="125">
        <v>0.0</v>
      </c>
      <c r="J611" s="125">
        <v>0.0</v>
      </c>
      <c r="K611" s="125">
        <v>0.0</v>
      </c>
      <c r="L611" s="125">
        <v>0.0</v>
      </c>
      <c r="M611" s="125">
        <v>0.0</v>
      </c>
      <c r="N611" s="125">
        <v>0.0</v>
      </c>
      <c r="O611" s="125"/>
      <c r="P611" s="125"/>
      <c r="Q611" s="125"/>
      <c r="R611" s="125"/>
      <c r="S611" s="125"/>
      <c r="T611" s="125"/>
      <c r="U611" s="125"/>
      <c r="V611" s="125"/>
    </row>
    <row r="612">
      <c r="A612" s="122" t="s">
        <v>2492</v>
      </c>
      <c r="B612" s="122" t="s">
        <v>2493</v>
      </c>
      <c r="C612" s="125">
        <v>0.0</v>
      </c>
      <c r="D612" s="125">
        <v>0.0</v>
      </c>
      <c r="E612" s="125">
        <v>0.0</v>
      </c>
      <c r="F612" s="125">
        <v>0.0</v>
      </c>
      <c r="G612" s="125">
        <v>0.0</v>
      </c>
      <c r="H612" s="125">
        <v>0.0</v>
      </c>
      <c r="I612" s="125">
        <v>0.0</v>
      </c>
      <c r="J612" s="125">
        <v>0.0</v>
      </c>
      <c r="K612" s="125">
        <v>0.0</v>
      </c>
      <c r="L612" s="125">
        <v>0.0</v>
      </c>
      <c r="M612" s="125">
        <v>0.0</v>
      </c>
      <c r="N612" s="125">
        <v>0.0</v>
      </c>
      <c r="O612" s="125"/>
      <c r="P612" s="125"/>
      <c r="Q612" s="125"/>
      <c r="R612" s="125"/>
      <c r="S612" s="125"/>
      <c r="T612" s="125"/>
      <c r="U612" s="125"/>
      <c r="V612" s="125"/>
    </row>
    <row r="613">
      <c r="A613" s="122" t="s">
        <v>2494</v>
      </c>
      <c r="B613" s="122" t="s">
        <v>2495</v>
      </c>
      <c r="C613" s="125">
        <v>0.0</v>
      </c>
      <c r="D613" s="125">
        <v>0.0</v>
      </c>
      <c r="E613" s="125">
        <v>0.0</v>
      </c>
      <c r="F613" s="125">
        <v>0.0</v>
      </c>
      <c r="G613" s="125">
        <v>0.0</v>
      </c>
      <c r="H613" s="125">
        <v>0.0</v>
      </c>
      <c r="I613" s="125">
        <v>0.0</v>
      </c>
      <c r="J613" s="125">
        <v>0.0</v>
      </c>
      <c r="K613" s="125">
        <v>0.0</v>
      </c>
      <c r="L613" s="125">
        <v>0.0</v>
      </c>
      <c r="M613" s="125">
        <v>0.0</v>
      </c>
      <c r="N613" s="125">
        <v>0.0</v>
      </c>
      <c r="O613" s="125"/>
      <c r="P613" s="125"/>
      <c r="Q613" s="125"/>
      <c r="R613" s="125"/>
      <c r="S613" s="125"/>
      <c r="T613" s="125"/>
      <c r="U613" s="125"/>
      <c r="V613" s="125"/>
    </row>
    <row r="614">
      <c r="A614" s="122" t="s">
        <v>2496</v>
      </c>
      <c r="B614" s="122" t="s">
        <v>2497</v>
      </c>
      <c r="C614" s="125">
        <v>0.0</v>
      </c>
      <c r="D614" s="125">
        <v>0.0</v>
      </c>
      <c r="E614" s="125">
        <v>0.0</v>
      </c>
      <c r="F614" s="125">
        <v>0.0</v>
      </c>
      <c r="G614" s="125">
        <v>0.0</v>
      </c>
      <c r="H614" s="125">
        <v>0.0</v>
      </c>
      <c r="I614" s="125">
        <v>0.0</v>
      </c>
      <c r="J614" s="125">
        <v>0.0</v>
      </c>
      <c r="K614" s="125">
        <v>0.0</v>
      </c>
      <c r="L614" s="125">
        <v>0.0</v>
      </c>
      <c r="M614" s="125">
        <v>0.0</v>
      </c>
      <c r="N614" s="125">
        <v>0.0</v>
      </c>
      <c r="O614" s="125"/>
      <c r="P614" s="125"/>
      <c r="Q614" s="125"/>
      <c r="R614" s="125"/>
      <c r="S614" s="125"/>
      <c r="T614" s="125"/>
      <c r="U614" s="125"/>
      <c r="V614" s="125"/>
    </row>
    <row r="615">
      <c r="A615" s="122" t="s">
        <v>2502</v>
      </c>
      <c r="B615" s="122" t="s">
        <v>2503</v>
      </c>
      <c r="C615" s="125">
        <v>0.0</v>
      </c>
      <c r="D615" s="125">
        <v>0.0</v>
      </c>
      <c r="E615" s="125">
        <v>0.0</v>
      </c>
      <c r="F615" s="125">
        <v>0.0</v>
      </c>
      <c r="G615" s="125">
        <v>0.0</v>
      </c>
      <c r="H615" s="125">
        <v>0.0</v>
      </c>
      <c r="I615" s="125">
        <v>0.0</v>
      </c>
      <c r="J615" s="125">
        <v>0.0</v>
      </c>
      <c r="K615" s="125">
        <v>0.0</v>
      </c>
      <c r="L615" s="125">
        <v>0.0</v>
      </c>
      <c r="M615" s="125">
        <v>0.0</v>
      </c>
      <c r="N615" s="125">
        <v>0.0</v>
      </c>
      <c r="O615" s="125"/>
      <c r="P615" s="125"/>
      <c r="Q615" s="125"/>
      <c r="R615" s="125"/>
      <c r="S615" s="125"/>
      <c r="T615" s="125"/>
      <c r="U615" s="125"/>
      <c r="V615" s="125"/>
    </row>
    <row r="616">
      <c r="A616" s="122" t="s">
        <v>2504</v>
      </c>
      <c r="B616" s="122" t="s">
        <v>2505</v>
      </c>
      <c r="C616" s="125">
        <v>0.0</v>
      </c>
      <c r="D616" s="125">
        <v>0.0</v>
      </c>
      <c r="E616" s="125">
        <v>0.0</v>
      </c>
      <c r="F616" s="125">
        <v>0.0</v>
      </c>
      <c r="G616" s="125">
        <v>0.0</v>
      </c>
      <c r="H616" s="125">
        <v>0.0</v>
      </c>
      <c r="I616" s="125">
        <v>0.0</v>
      </c>
      <c r="J616" s="125">
        <v>0.0</v>
      </c>
      <c r="K616" s="125">
        <v>0.0</v>
      </c>
      <c r="L616" s="125">
        <v>0.0</v>
      </c>
      <c r="M616" s="125">
        <v>0.0</v>
      </c>
      <c r="N616" s="125">
        <v>0.0</v>
      </c>
      <c r="O616" s="125"/>
      <c r="P616" s="125"/>
      <c r="Q616" s="125"/>
      <c r="R616" s="125"/>
      <c r="S616" s="125"/>
      <c r="T616" s="125"/>
      <c r="U616" s="125"/>
      <c r="V616" s="125"/>
    </row>
    <row r="617">
      <c r="A617" s="122" t="s">
        <v>2506</v>
      </c>
      <c r="B617" s="122" t="s">
        <v>2507</v>
      </c>
      <c r="C617" s="125">
        <v>0.0</v>
      </c>
      <c r="D617" s="125">
        <v>0.0</v>
      </c>
      <c r="E617" s="125">
        <v>0.0</v>
      </c>
      <c r="F617" s="125">
        <v>0.0</v>
      </c>
      <c r="G617" s="125">
        <v>0.0</v>
      </c>
      <c r="H617" s="125">
        <v>0.0</v>
      </c>
      <c r="I617" s="125">
        <v>0.0</v>
      </c>
      <c r="J617" s="125">
        <v>0.0</v>
      </c>
      <c r="K617" s="125">
        <v>0.0</v>
      </c>
      <c r="L617" s="125">
        <v>0.0</v>
      </c>
      <c r="M617" s="125">
        <v>0.0</v>
      </c>
      <c r="N617" s="125">
        <v>0.0</v>
      </c>
      <c r="O617" s="125"/>
      <c r="P617" s="125"/>
      <c r="Q617" s="125"/>
      <c r="R617" s="125"/>
      <c r="S617" s="125"/>
      <c r="T617" s="125"/>
      <c r="U617" s="125"/>
      <c r="V617" s="125"/>
    </row>
    <row r="618">
      <c r="A618" s="122" t="s">
        <v>2508</v>
      </c>
      <c r="B618" s="122" t="s">
        <v>2509</v>
      </c>
      <c r="C618" s="125">
        <v>0.0</v>
      </c>
      <c r="D618" s="125">
        <v>0.0</v>
      </c>
      <c r="E618" s="125">
        <v>0.0</v>
      </c>
      <c r="F618" s="125">
        <v>0.0</v>
      </c>
      <c r="G618" s="125">
        <v>0.0</v>
      </c>
      <c r="H618" s="125">
        <v>0.0</v>
      </c>
      <c r="I618" s="125">
        <v>0.0</v>
      </c>
      <c r="J618" s="125">
        <v>0.0</v>
      </c>
      <c r="K618" s="125">
        <v>0.0</v>
      </c>
      <c r="L618" s="125">
        <v>0.0</v>
      </c>
      <c r="M618" s="125">
        <v>0.0</v>
      </c>
      <c r="N618" s="125">
        <v>0.0</v>
      </c>
      <c r="O618" s="125"/>
      <c r="P618" s="125"/>
      <c r="Q618" s="125"/>
      <c r="R618" s="125"/>
      <c r="S618" s="125"/>
      <c r="T618" s="125"/>
      <c r="U618" s="125"/>
      <c r="V618" s="125"/>
    </row>
    <row r="619">
      <c r="A619" s="122" t="s">
        <v>2510</v>
      </c>
      <c r="B619" s="122" t="s">
        <v>2511</v>
      </c>
      <c r="C619" s="125">
        <v>0.0</v>
      </c>
      <c r="D619" s="125">
        <v>0.0</v>
      </c>
      <c r="E619" s="125">
        <v>0.0</v>
      </c>
      <c r="F619" s="125">
        <v>0.0</v>
      </c>
      <c r="G619" s="125">
        <v>0.0</v>
      </c>
      <c r="H619" s="125">
        <v>0.0</v>
      </c>
      <c r="I619" s="125">
        <v>0.0</v>
      </c>
      <c r="J619" s="125">
        <v>0.0</v>
      </c>
      <c r="K619" s="125">
        <v>0.0</v>
      </c>
      <c r="L619" s="125">
        <v>0.0</v>
      </c>
      <c r="M619" s="125">
        <v>0.0</v>
      </c>
      <c r="N619" s="125">
        <v>0.0</v>
      </c>
      <c r="O619" s="125"/>
      <c r="P619" s="125"/>
      <c r="Q619" s="125"/>
      <c r="R619" s="125"/>
      <c r="S619" s="125"/>
      <c r="T619" s="125"/>
      <c r="U619" s="125"/>
      <c r="V619" s="125"/>
    </row>
    <row r="620">
      <c r="A620" s="122" t="s">
        <v>2514</v>
      </c>
      <c r="B620" s="122" t="s">
        <v>2515</v>
      </c>
      <c r="C620" s="125">
        <v>0.0</v>
      </c>
      <c r="D620" s="125">
        <v>0.0</v>
      </c>
      <c r="E620" s="125">
        <v>0.0</v>
      </c>
      <c r="F620" s="125">
        <v>0.0</v>
      </c>
      <c r="G620" s="125">
        <v>0.0</v>
      </c>
      <c r="H620" s="125">
        <v>0.0</v>
      </c>
      <c r="I620" s="125">
        <v>0.0</v>
      </c>
      <c r="J620" s="125">
        <v>0.0</v>
      </c>
      <c r="K620" s="125">
        <v>0.0</v>
      </c>
      <c r="L620" s="125">
        <v>0.0</v>
      </c>
      <c r="M620" s="125">
        <v>0.0</v>
      </c>
      <c r="N620" s="125">
        <v>0.0</v>
      </c>
      <c r="O620" s="125"/>
      <c r="P620" s="125"/>
      <c r="Q620" s="125"/>
      <c r="R620" s="125"/>
      <c r="S620" s="125"/>
      <c r="T620" s="125"/>
      <c r="U620" s="125"/>
      <c r="V620" s="125"/>
    </row>
    <row r="621">
      <c r="A621" s="122" t="s">
        <v>2516</v>
      </c>
      <c r="B621" s="122" t="s">
        <v>2517</v>
      </c>
      <c r="C621" s="125">
        <v>0.0</v>
      </c>
      <c r="D621" s="125">
        <v>0.0</v>
      </c>
      <c r="E621" s="125">
        <v>0.0</v>
      </c>
      <c r="F621" s="125">
        <v>0.0</v>
      </c>
      <c r="G621" s="125">
        <v>0.0</v>
      </c>
      <c r="H621" s="125">
        <v>0.0</v>
      </c>
      <c r="I621" s="125">
        <v>0.0</v>
      </c>
      <c r="J621" s="125">
        <v>0.0</v>
      </c>
      <c r="K621" s="125">
        <v>0.0</v>
      </c>
      <c r="L621" s="125">
        <v>0.0</v>
      </c>
      <c r="M621" s="125">
        <v>0.0</v>
      </c>
      <c r="N621" s="125">
        <v>0.0</v>
      </c>
      <c r="O621" s="125"/>
      <c r="P621" s="125"/>
      <c r="Q621" s="125"/>
      <c r="R621" s="125"/>
      <c r="S621" s="125"/>
      <c r="T621" s="125"/>
      <c r="U621" s="125"/>
      <c r="V621" s="125"/>
    </row>
    <row r="622">
      <c r="A622" s="122" t="s">
        <v>2518</v>
      </c>
      <c r="B622" s="122" t="s">
        <v>2519</v>
      </c>
      <c r="C622" s="125">
        <v>0.0</v>
      </c>
      <c r="D622" s="125">
        <v>0.0</v>
      </c>
      <c r="E622" s="125">
        <v>0.0</v>
      </c>
      <c r="F622" s="125">
        <v>0.0</v>
      </c>
      <c r="G622" s="125">
        <v>0.0</v>
      </c>
      <c r="H622" s="125">
        <v>0.0</v>
      </c>
      <c r="I622" s="125">
        <v>0.0</v>
      </c>
      <c r="J622" s="125">
        <v>0.0</v>
      </c>
      <c r="K622" s="125">
        <v>0.0</v>
      </c>
      <c r="L622" s="125">
        <v>0.0</v>
      </c>
      <c r="M622" s="125">
        <v>0.0</v>
      </c>
      <c r="N622" s="125">
        <v>0.0</v>
      </c>
      <c r="O622" s="125"/>
      <c r="P622" s="125"/>
      <c r="Q622" s="125"/>
      <c r="R622" s="125"/>
      <c r="S622" s="125"/>
      <c r="T622" s="125"/>
      <c r="U622" s="125"/>
      <c r="V622" s="125"/>
    </row>
    <row r="623">
      <c r="A623" s="122" t="s">
        <v>2520</v>
      </c>
      <c r="B623" s="122" t="s">
        <v>2521</v>
      </c>
      <c r="C623" s="125">
        <v>0.0</v>
      </c>
      <c r="D623" s="125">
        <v>0.0</v>
      </c>
      <c r="E623" s="125">
        <v>0.0</v>
      </c>
      <c r="F623" s="125">
        <v>0.0</v>
      </c>
      <c r="G623" s="125">
        <v>0.0</v>
      </c>
      <c r="H623" s="125">
        <v>0.0</v>
      </c>
      <c r="I623" s="125">
        <v>0.0</v>
      </c>
      <c r="J623" s="125">
        <v>0.0</v>
      </c>
      <c r="K623" s="125">
        <v>0.0</v>
      </c>
      <c r="L623" s="125">
        <v>0.0</v>
      </c>
      <c r="M623" s="125">
        <v>0.0</v>
      </c>
      <c r="N623" s="125">
        <v>0.0</v>
      </c>
      <c r="O623" s="125"/>
      <c r="P623" s="125"/>
      <c r="Q623" s="125"/>
      <c r="R623" s="125"/>
      <c r="S623" s="125"/>
      <c r="T623" s="125"/>
      <c r="U623" s="125"/>
      <c r="V623" s="125"/>
    </row>
    <row r="624">
      <c r="A624" s="122" t="s">
        <v>2522</v>
      </c>
      <c r="B624" s="122" t="s">
        <v>2523</v>
      </c>
      <c r="C624" s="125">
        <v>0.0</v>
      </c>
      <c r="D624" s="125">
        <v>0.0</v>
      </c>
      <c r="E624" s="125">
        <v>0.0</v>
      </c>
      <c r="F624" s="125">
        <v>0.0</v>
      </c>
      <c r="G624" s="125">
        <v>0.0</v>
      </c>
      <c r="H624" s="125">
        <v>0.0</v>
      </c>
      <c r="I624" s="125">
        <v>0.0</v>
      </c>
      <c r="J624" s="125">
        <v>0.0</v>
      </c>
      <c r="K624" s="125">
        <v>0.0</v>
      </c>
      <c r="L624" s="125">
        <v>0.0</v>
      </c>
      <c r="M624" s="125">
        <v>0.0</v>
      </c>
      <c r="N624" s="125">
        <v>0.0</v>
      </c>
      <c r="O624" s="125"/>
      <c r="P624" s="125"/>
      <c r="Q624" s="125"/>
      <c r="R624" s="125"/>
      <c r="S624" s="125"/>
      <c r="T624" s="125"/>
      <c r="U624" s="125"/>
      <c r="V624" s="125"/>
    </row>
    <row r="625">
      <c r="A625" s="122" t="s">
        <v>2524</v>
      </c>
      <c r="B625" s="122" t="s">
        <v>2525</v>
      </c>
      <c r="C625" s="125">
        <v>0.0</v>
      </c>
      <c r="D625" s="125">
        <v>0.0</v>
      </c>
      <c r="E625" s="125">
        <v>0.0</v>
      </c>
      <c r="F625" s="125">
        <v>0.0</v>
      </c>
      <c r="G625" s="125">
        <v>0.0</v>
      </c>
      <c r="H625" s="125">
        <v>0.0</v>
      </c>
      <c r="I625" s="125">
        <v>0.0</v>
      </c>
      <c r="J625" s="125">
        <v>0.0</v>
      </c>
      <c r="K625" s="125">
        <v>0.0</v>
      </c>
      <c r="L625" s="125">
        <v>0.0</v>
      </c>
      <c r="M625" s="125">
        <v>0.0</v>
      </c>
      <c r="N625" s="125">
        <v>0.0</v>
      </c>
      <c r="O625" s="125"/>
      <c r="P625" s="125"/>
      <c r="Q625" s="125"/>
      <c r="R625" s="125"/>
      <c r="S625" s="125"/>
      <c r="T625" s="125"/>
      <c r="U625" s="125"/>
      <c r="V625" s="125"/>
    </row>
    <row r="626">
      <c r="A626" s="122" t="s">
        <v>2526</v>
      </c>
      <c r="B626" s="122" t="s">
        <v>2527</v>
      </c>
      <c r="C626" s="125">
        <v>0.0</v>
      </c>
      <c r="D626" s="125">
        <v>0.0</v>
      </c>
      <c r="E626" s="125">
        <v>0.0</v>
      </c>
      <c r="F626" s="125">
        <v>0.0</v>
      </c>
      <c r="G626" s="125">
        <v>0.0</v>
      </c>
      <c r="H626" s="125">
        <v>0.0</v>
      </c>
      <c r="I626" s="125">
        <v>0.0</v>
      </c>
      <c r="J626" s="125">
        <v>0.0</v>
      </c>
      <c r="K626" s="125">
        <v>0.0</v>
      </c>
      <c r="L626" s="125">
        <v>0.0</v>
      </c>
      <c r="M626" s="125">
        <v>0.0</v>
      </c>
      <c r="N626" s="125">
        <v>0.0</v>
      </c>
      <c r="O626" s="125"/>
      <c r="P626" s="125"/>
      <c r="Q626" s="125"/>
      <c r="R626" s="125"/>
      <c r="S626" s="125"/>
      <c r="T626" s="125"/>
      <c r="U626" s="125"/>
      <c r="V626" s="125"/>
    </row>
    <row r="627">
      <c r="A627" s="122" t="s">
        <v>2528</v>
      </c>
      <c r="B627" s="122" t="s">
        <v>2529</v>
      </c>
      <c r="C627" s="125">
        <v>0.0</v>
      </c>
      <c r="D627" s="125">
        <v>0.0</v>
      </c>
      <c r="E627" s="125">
        <v>0.0</v>
      </c>
      <c r="F627" s="125">
        <v>0.0</v>
      </c>
      <c r="G627" s="125">
        <v>0.0</v>
      </c>
      <c r="H627" s="125">
        <v>0.0</v>
      </c>
      <c r="I627" s="125">
        <v>0.0</v>
      </c>
      <c r="J627" s="125">
        <v>0.0</v>
      </c>
      <c r="K627" s="125">
        <v>0.0</v>
      </c>
      <c r="L627" s="125">
        <v>0.0</v>
      </c>
      <c r="M627" s="125">
        <v>0.0</v>
      </c>
      <c r="N627" s="125">
        <v>0.0</v>
      </c>
      <c r="O627" s="125"/>
      <c r="P627" s="125"/>
      <c r="Q627" s="125"/>
      <c r="R627" s="125"/>
      <c r="S627" s="125"/>
      <c r="T627" s="125"/>
      <c r="U627" s="125"/>
      <c r="V627" s="125"/>
    </row>
    <row r="628">
      <c r="A628" s="122" t="s">
        <v>2530</v>
      </c>
      <c r="B628" s="122" t="s">
        <v>2531</v>
      </c>
      <c r="C628" s="125">
        <v>0.0</v>
      </c>
      <c r="D628" s="125">
        <v>0.0</v>
      </c>
      <c r="E628" s="125">
        <v>0.0</v>
      </c>
      <c r="F628" s="125">
        <v>0.0</v>
      </c>
      <c r="G628" s="125">
        <v>0.0</v>
      </c>
      <c r="H628" s="125">
        <v>0.0</v>
      </c>
      <c r="I628" s="125">
        <v>0.0</v>
      </c>
      <c r="J628" s="125">
        <v>0.0</v>
      </c>
      <c r="K628" s="125">
        <v>0.0</v>
      </c>
      <c r="L628" s="125">
        <v>0.0</v>
      </c>
      <c r="M628" s="125">
        <v>0.0</v>
      </c>
      <c r="N628" s="125">
        <v>0.0</v>
      </c>
      <c r="O628" s="125"/>
      <c r="P628" s="125"/>
      <c r="Q628" s="125"/>
      <c r="R628" s="125"/>
      <c r="S628" s="125"/>
      <c r="T628" s="125"/>
      <c r="U628" s="125"/>
      <c r="V628" s="125"/>
    </row>
    <row r="629">
      <c r="A629" s="122" t="s">
        <v>2532</v>
      </c>
      <c r="B629" s="122" t="s">
        <v>2533</v>
      </c>
      <c r="C629" s="125">
        <v>0.0</v>
      </c>
      <c r="D629" s="125">
        <v>0.0</v>
      </c>
      <c r="E629" s="125">
        <v>0.0</v>
      </c>
      <c r="F629" s="125">
        <v>0.0</v>
      </c>
      <c r="G629" s="125">
        <v>0.0</v>
      </c>
      <c r="H629" s="125">
        <v>0.0</v>
      </c>
      <c r="I629" s="125">
        <v>0.0</v>
      </c>
      <c r="J629" s="125">
        <v>0.0</v>
      </c>
      <c r="K629" s="125">
        <v>0.0</v>
      </c>
      <c r="L629" s="125">
        <v>0.0</v>
      </c>
      <c r="M629" s="125">
        <v>0.0</v>
      </c>
      <c r="N629" s="125">
        <v>0.0</v>
      </c>
      <c r="O629" s="125"/>
      <c r="P629" s="125"/>
      <c r="Q629" s="125"/>
      <c r="R629" s="125"/>
      <c r="S629" s="125"/>
      <c r="T629" s="125"/>
      <c r="U629" s="125"/>
      <c r="V629" s="125"/>
    </row>
    <row r="630">
      <c r="A630" s="122" t="s">
        <v>2534</v>
      </c>
      <c r="B630" s="122" t="s">
        <v>2535</v>
      </c>
      <c r="C630" s="125">
        <v>0.0</v>
      </c>
      <c r="D630" s="125">
        <v>0.0</v>
      </c>
      <c r="E630" s="125">
        <v>0.0</v>
      </c>
      <c r="F630" s="125">
        <v>0.0</v>
      </c>
      <c r="G630" s="125">
        <v>0.0</v>
      </c>
      <c r="H630" s="125">
        <v>0.0</v>
      </c>
      <c r="I630" s="125">
        <v>0.0</v>
      </c>
      <c r="J630" s="125">
        <v>0.0</v>
      </c>
      <c r="K630" s="125">
        <v>0.0</v>
      </c>
      <c r="L630" s="125">
        <v>0.0</v>
      </c>
      <c r="M630" s="125">
        <v>0.0</v>
      </c>
      <c r="N630" s="125">
        <v>0.0</v>
      </c>
      <c r="O630" s="125"/>
      <c r="P630" s="125"/>
      <c r="Q630" s="125"/>
      <c r="R630" s="125"/>
      <c r="S630" s="125"/>
      <c r="T630" s="125"/>
      <c r="U630" s="125"/>
      <c r="V630" s="125"/>
    </row>
    <row r="631">
      <c r="A631" s="122" t="s">
        <v>2536</v>
      </c>
      <c r="B631" s="122" t="s">
        <v>2537</v>
      </c>
      <c r="C631" s="125">
        <v>0.0</v>
      </c>
      <c r="D631" s="125">
        <v>0.0</v>
      </c>
      <c r="E631" s="125">
        <v>0.0</v>
      </c>
      <c r="F631" s="125">
        <v>0.0</v>
      </c>
      <c r="G631" s="125">
        <v>0.0</v>
      </c>
      <c r="H631" s="125">
        <v>0.0</v>
      </c>
      <c r="I631" s="125">
        <v>0.0</v>
      </c>
      <c r="J631" s="125">
        <v>0.0</v>
      </c>
      <c r="K631" s="125">
        <v>0.0</v>
      </c>
      <c r="L631" s="125">
        <v>0.0</v>
      </c>
      <c r="M631" s="125">
        <v>0.0</v>
      </c>
      <c r="N631" s="125">
        <v>0.0</v>
      </c>
      <c r="O631" s="125"/>
      <c r="P631" s="125"/>
      <c r="Q631" s="125"/>
      <c r="R631" s="125"/>
      <c r="S631" s="125"/>
      <c r="T631" s="125"/>
      <c r="U631" s="125"/>
      <c r="V631" s="125"/>
    </row>
    <row r="632">
      <c r="A632" s="122" t="s">
        <v>2538</v>
      </c>
      <c r="B632" s="122" t="s">
        <v>2539</v>
      </c>
      <c r="C632" s="125">
        <v>0.0</v>
      </c>
      <c r="D632" s="125">
        <v>0.0</v>
      </c>
      <c r="E632" s="125">
        <v>0.0</v>
      </c>
      <c r="F632" s="125">
        <v>0.0</v>
      </c>
      <c r="G632" s="125">
        <v>0.0</v>
      </c>
      <c r="H632" s="125">
        <v>0.0</v>
      </c>
      <c r="I632" s="125">
        <v>0.0</v>
      </c>
      <c r="J632" s="125">
        <v>0.0</v>
      </c>
      <c r="K632" s="125">
        <v>0.0</v>
      </c>
      <c r="L632" s="125">
        <v>0.0</v>
      </c>
      <c r="M632" s="125">
        <v>0.0</v>
      </c>
      <c r="N632" s="125">
        <v>0.0</v>
      </c>
      <c r="O632" s="125"/>
      <c r="P632" s="125"/>
      <c r="Q632" s="125"/>
      <c r="R632" s="125"/>
      <c r="S632" s="125"/>
      <c r="T632" s="125"/>
      <c r="U632" s="125"/>
      <c r="V632" s="125"/>
    </row>
    <row r="633">
      <c r="A633" s="122" t="s">
        <v>2540</v>
      </c>
      <c r="B633" s="122" t="s">
        <v>2541</v>
      </c>
      <c r="C633" s="125">
        <v>0.0</v>
      </c>
      <c r="D633" s="125">
        <v>0.0</v>
      </c>
      <c r="E633" s="125">
        <v>0.0</v>
      </c>
      <c r="F633" s="125">
        <v>0.0</v>
      </c>
      <c r="G633" s="125">
        <v>0.0</v>
      </c>
      <c r="H633" s="125">
        <v>0.0</v>
      </c>
      <c r="I633" s="125">
        <v>0.0</v>
      </c>
      <c r="J633" s="125">
        <v>0.0</v>
      </c>
      <c r="K633" s="125">
        <v>0.0</v>
      </c>
      <c r="L633" s="125">
        <v>0.0</v>
      </c>
      <c r="M633" s="125">
        <v>0.0</v>
      </c>
      <c r="N633" s="125">
        <v>0.0</v>
      </c>
      <c r="O633" s="125"/>
      <c r="P633" s="125"/>
      <c r="Q633" s="125"/>
      <c r="R633" s="125"/>
      <c r="S633" s="125"/>
      <c r="T633" s="125"/>
      <c r="U633" s="125"/>
      <c r="V633" s="125"/>
    </row>
    <row r="634">
      <c r="A634" s="122" t="s">
        <v>2542</v>
      </c>
      <c r="B634" s="122" t="s">
        <v>2543</v>
      </c>
      <c r="C634" s="125">
        <v>0.0</v>
      </c>
      <c r="D634" s="125">
        <v>0.0</v>
      </c>
      <c r="E634" s="125">
        <v>0.0</v>
      </c>
      <c r="F634" s="125">
        <v>0.0</v>
      </c>
      <c r="G634" s="125">
        <v>0.0</v>
      </c>
      <c r="H634" s="125">
        <v>0.0</v>
      </c>
      <c r="I634" s="125">
        <v>0.0</v>
      </c>
      <c r="J634" s="125">
        <v>0.0</v>
      </c>
      <c r="K634" s="125">
        <v>0.0</v>
      </c>
      <c r="L634" s="125">
        <v>0.0</v>
      </c>
      <c r="M634" s="125">
        <v>0.0</v>
      </c>
      <c r="N634" s="125">
        <v>0.0</v>
      </c>
      <c r="O634" s="125"/>
      <c r="P634" s="125"/>
      <c r="Q634" s="125"/>
      <c r="R634" s="125"/>
      <c r="S634" s="125"/>
      <c r="T634" s="125"/>
      <c r="U634" s="125"/>
      <c r="V634" s="125"/>
    </row>
    <row r="635">
      <c r="A635" s="122" t="s">
        <v>2544</v>
      </c>
      <c r="B635" s="122" t="s">
        <v>2545</v>
      </c>
      <c r="C635" s="125">
        <v>0.0</v>
      </c>
      <c r="D635" s="125">
        <v>0.0</v>
      </c>
      <c r="E635" s="125">
        <v>0.0</v>
      </c>
      <c r="F635" s="125">
        <v>0.0</v>
      </c>
      <c r="G635" s="125">
        <v>0.0</v>
      </c>
      <c r="H635" s="125">
        <v>0.0</v>
      </c>
      <c r="I635" s="125">
        <v>0.0</v>
      </c>
      <c r="J635" s="125">
        <v>0.0</v>
      </c>
      <c r="K635" s="125">
        <v>0.0</v>
      </c>
      <c r="L635" s="125">
        <v>0.0</v>
      </c>
      <c r="M635" s="125">
        <v>0.0</v>
      </c>
      <c r="N635" s="125">
        <v>0.0</v>
      </c>
      <c r="O635" s="125"/>
      <c r="P635" s="125"/>
      <c r="Q635" s="125"/>
      <c r="R635" s="125"/>
      <c r="S635" s="125"/>
      <c r="T635" s="125"/>
      <c r="U635" s="125"/>
      <c r="V635" s="125"/>
    </row>
    <row r="636">
      <c r="A636" s="122" t="s">
        <v>2546</v>
      </c>
      <c r="B636" s="122" t="s">
        <v>2547</v>
      </c>
      <c r="C636" s="125">
        <v>0.0</v>
      </c>
      <c r="D636" s="125">
        <v>0.0</v>
      </c>
      <c r="E636" s="125">
        <v>0.0</v>
      </c>
      <c r="F636" s="125">
        <v>0.0</v>
      </c>
      <c r="G636" s="125">
        <v>0.0</v>
      </c>
      <c r="H636" s="125">
        <v>0.0</v>
      </c>
      <c r="I636" s="125">
        <v>0.0</v>
      </c>
      <c r="J636" s="125">
        <v>0.0</v>
      </c>
      <c r="K636" s="125">
        <v>0.0</v>
      </c>
      <c r="L636" s="125">
        <v>0.0</v>
      </c>
      <c r="M636" s="125">
        <v>0.0</v>
      </c>
      <c r="N636" s="125">
        <v>0.0</v>
      </c>
      <c r="O636" s="125"/>
      <c r="P636" s="125"/>
      <c r="Q636" s="125"/>
      <c r="R636" s="125"/>
      <c r="S636" s="125"/>
      <c r="T636" s="125"/>
      <c r="U636" s="125"/>
      <c r="V636" s="125"/>
    </row>
    <row r="637">
      <c r="A637" s="122" t="s">
        <v>2548</v>
      </c>
      <c r="B637" s="122" t="s">
        <v>2549</v>
      </c>
      <c r="C637" s="125">
        <v>0.0</v>
      </c>
      <c r="D637" s="125">
        <v>0.0</v>
      </c>
      <c r="E637" s="125">
        <v>0.0</v>
      </c>
      <c r="F637" s="125">
        <v>0.0</v>
      </c>
      <c r="G637" s="125">
        <v>0.0</v>
      </c>
      <c r="H637" s="125">
        <v>0.0</v>
      </c>
      <c r="I637" s="125">
        <v>0.0</v>
      </c>
      <c r="J637" s="125">
        <v>0.0</v>
      </c>
      <c r="K637" s="125">
        <v>0.0</v>
      </c>
      <c r="L637" s="125">
        <v>0.0</v>
      </c>
      <c r="M637" s="125">
        <v>0.0</v>
      </c>
      <c r="N637" s="125">
        <v>0.0</v>
      </c>
      <c r="O637" s="125"/>
      <c r="P637" s="125"/>
      <c r="Q637" s="125"/>
      <c r="R637" s="125"/>
      <c r="S637" s="125"/>
      <c r="T637" s="125"/>
      <c r="U637" s="125"/>
      <c r="V637" s="125"/>
    </row>
    <row r="638">
      <c r="A638" s="122" t="s">
        <v>2550</v>
      </c>
      <c r="B638" s="122" t="s">
        <v>2551</v>
      </c>
      <c r="C638" s="125">
        <v>0.0</v>
      </c>
      <c r="D638" s="125">
        <v>0.0</v>
      </c>
      <c r="E638" s="125">
        <v>0.0</v>
      </c>
      <c r="F638" s="125">
        <v>0.0</v>
      </c>
      <c r="G638" s="125">
        <v>0.0</v>
      </c>
      <c r="H638" s="125">
        <v>0.0</v>
      </c>
      <c r="I638" s="125">
        <v>0.0</v>
      </c>
      <c r="J638" s="125">
        <v>0.0</v>
      </c>
      <c r="K638" s="125">
        <v>0.0</v>
      </c>
      <c r="L638" s="125">
        <v>0.0</v>
      </c>
      <c r="M638" s="125">
        <v>0.0</v>
      </c>
      <c r="N638" s="125">
        <v>0.0</v>
      </c>
      <c r="O638" s="125"/>
      <c r="P638" s="125"/>
      <c r="Q638" s="125"/>
      <c r="R638" s="125"/>
      <c r="S638" s="125"/>
      <c r="T638" s="125"/>
      <c r="U638" s="125"/>
      <c r="V638" s="125"/>
    </row>
    <row r="639">
      <c r="A639" s="122" t="s">
        <v>2552</v>
      </c>
      <c r="B639" s="122" t="s">
        <v>2553</v>
      </c>
      <c r="C639" s="125">
        <v>0.0</v>
      </c>
      <c r="D639" s="125">
        <v>0.0</v>
      </c>
      <c r="E639" s="125">
        <v>0.0</v>
      </c>
      <c r="F639" s="125">
        <v>0.0</v>
      </c>
      <c r="G639" s="125">
        <v>0.0</v>
      </c>
      <c r="H639" s="125">
        <v>0.0</v>
      </c>
      <c r="I639" s="125">
        <v>0.0</v>
      </c>
      <c r="J639" s="125">
        <v>0.0</v>
      </c>
      <c r="K639" s="125">
        <v>0.0</v>
      </c>
      <c r="L639" s="125">
        <v>0.0</v>
      </c>
      <c r="M639" s="125">
        <v>0.0</v>
      </c>
      <c r="N639" s="125">
        <v>0.0</v>
      </c>
      <c r="O639" s="125"/>
      <c r="P639" s="125"/>
      <c r="Q639" s="125"/>
      <c r="R639" s="125"/>
      <c r="S639" s="125"/>
      <c r="T639" s="125"/>
      <c r="U639" s="125"/>
      <c r="V639" s="125"/>
    </row>
    <row r="640">
      <c r="A640" s="122" t="s">
        <v>2554</v>
      </c>
      <c r="B640" s="122" t="s">
        <v>2555</v>
      </c>
      <c r="C640" s="125">
        <v>0.0</v>
      </c>
      <c r="D640" s="125">
        <v>0.0</v>
      </c>
      <c r="E640" s="125">
        <v>0.0</v>
      </c>
      <c r="F640" s="125">
        <v>0.0</v>
      </c>
      <c r="G640" s="125">
        <v>0.0</v>
      </c>
      <c r="H640" s="125">
        <v>0.0</v>
      </c>
      <c r="I640" s="125">
        <v>0.0</v>
      </c>
      <c r="J640" s="125">
        <v>0.0</v>
      </c>
      <c r="K640" s="125">
        <v>0.0</v>
      </c>
      <c r="L640" s="125">
        <v>0.0</v>
      </c>
      <c r="M640" s="125">
        <v>0.0</v>
      </c>
      <c r="N640" s="125">
        <v>0.0</v>
      </c>
      <c r="O640" s="125"/>
      <c r="P640" s="125"/>
      <c r="Q640" s="125"/>
      <c r="R640" s="125"/>
      <c r="S640" s="125"/>
      <c r="T640" s="125"/>
      <c r="U640" s="125"/>
      <c r="V640" s="125"/>
    </row>
    <row r="641">
      <c r="A641" s="122" t="s">
        <v>2556</v>
      </c>
      <c r="B641" s="122" t="s">
        <v>2557</v>
      </c>
      <c r="C641" s="125">
        <v>0.0</v>
      </c>
      <c r="D641" s="125">
        <v>0.0</v>
      </c>
      <c r="E641" s="125">
        <v>0.0</v>
      </c>
      <c r="F641" s="125">
        <v>0.0</v>
      </c>
      <c r="G641" s="125">
        <v>0.0</v>
      </c>
      <c r="H641" s="125">
        <v>0.0</v>
      </c>
      <c r="I641" s="125">
        <v>0.0</v>
      </c>
      <c r="J641" s="125">
        <v>0.0</v>
      </c>
      <c r="K641" s="125">
        <v>0.0</v>
      </c>
      <c r="L641" s="125">
        <v>0.0</v>
      </c>
      <c r="M641" s="125">
        <v>0.0</v>
      </c>
      <c r="N641" s="125">
        <v>0.0</v>
      </c>
      <c r="O641" s="125"/>
      <c r="P641" s="125"/>
      <c r="Q641" s="125"/>
      <c r="R641" s="125"/>
      <c r="S641" s="125"/>
      <c r="T641" s="125"/>
      <c r="U641" s="125"/>
      <c r="V641" s="125"/>
    </row>
    <row r="642">
      <c r="A642" s="122" t="s">
        <v>2558</v>
      </c>
      <c r="B642" s="122" t="s">
        <v>2559</v>
      </c>
      <c r="C642" s="125">
        <v>0.0</v>
      </c>
      <c r="D642" s="125">
        <v>0.0</v>
      </c>
      <c r="E642" s="125">
        <v>0.0</v>
      </c>
      <c r="F642" s="125">
        <v>0.0</v>
      </c>
      <c r="G642" s="125">
        <v>0.0</v>
      </c>
      <c r="H642" s="125">
        <v>0.0</v>
      </c>
      <c r="I642" s="125">
        <v>0.0</v>
      </c>
      <c r="J642" s="125">
        <v>0.0</v>
      </c>
      <c r="K642" s="125">
        <v>0.0</v>
      </c>
      <c r="L642" s="125">
        <v>0.0</v>
      </c>
      <c r="M642" s="125">
        <v>0.0</v>
      </c>
      <c r="N642" s="125">
        <v>0.0</v>
      </c>
      <c r="O642" s="125"/>
      <c r="P642" s="125"/>
      <c r="Q642" s="125"/>
      <c r="R642" s="125"/>
      <c r="S642" s="125"/>
      <c r="T642" s="125"/>
      <c r="U642" s="125"/>
      <c r="V642" s="125"/>
    </row>
    <row r="643">
      <c r="A643" s="122" t="s">
        <v>2560</v>
      </c>
      <c r="B643" s="122" t="s">
        <v>2561</v>
      </c>
      <c r="C643" s="125">
        <v>0.0</v>
      </c>
      <c r="D643" s="125">
        <v>0.0</v>
      </c>
      <c r="E643" s="125">
        <v>0.0</v>
      </c>
      <c r="F643" s="125">
        <v>0.0</v>
      </c>
      <c r="G643" s="125">
        <v>0.0</v>
      </c>
      <c r="H643" s="125">
        <v>0.0</v>
      </c>
      <c r="I643" s="125">
        <v>0.0</v>
      </c>
      <c r="J643" s="125">
        <v>0.0</v>
      </c>
      <c r="K643" s="125">
        <v>0.0</v>
      </c>
      <c r="L643" s="125">
        <v>0.0</v>
      </c>
      <c r="M643" s="125">
        <v>0.0</v>
      </c>
      <c r="N643" s="125">
        <v>0.0</v>
      </c>
      <c r="O643" s="125"/>
      <c r="P643" s="125"/>
      <c r="Q643" s="125"/>
      <c r="R643" s="125"/>
      <c r="S643" s="125"/>
      <c r="T643" s="125"/>
      <c r="U643" s="125"/>
      <c r="V643" s="125"/>
    </row>
    <row r="644">
      <c r="A644" s="122" t="s">
        <v>2562</v>
      </c>
      <c r="B644" s="122" t="s">
        <v>2563</v>
      </c>
      <c r="C644" s="125">
        <v>0.0</v>
      </c>
      <c r="D644" s="125">
        <v>0.0</v>
      </c>
      <c r="E644" s="125">
        <v>0.0</v>
      </c>
      <c r="F644" s="125">
        <v>0.0</v>
      </c>
      <c r="G644" s="125">
        <v>0.0</v>
      </c>
      <c r="H644" s="125">
        <v>0.0</v>
      </c>
      <c r="I644" s="125">
        <v>0.0</v>
      </c>
      <c r="J644" s="125">
        <v>0.0</v>
      </c>
      <c r="K644" s="125">
        <v>0.0</v>
      </c>
      <c r="L644" s="125">
        <v>0.0</v>
      </c>
      <c r="M644" s="125">
        <v>0.0</v>
      </c>
      <c r="N644" s="125">
        <v>0.0</v>
      </c>
      <c r="O644" s="125"/>
      <c r="P644" s="125"/>
      <c r="Q644" s="125"/>
      <c r="R644" s="125"/>
      <c r="S644" s="125"/>
      <c r="T644" s="125"/>
      <c r="U644" s="125"/>
      <c r="V644" s="125"/>
    </row>
    <row r="645">
      <c r="A645" s="122" t="s">
        <v>2564</v>
      </c>
      <c r="B645" s="122" t="s">
        <v>2565</v>
      </c>
      <c r="C645" s="125">
        <v>0.0</v>
      </c>
      <c r="D645" s="125">
        <v>0.0</v>
      </c>
      <c r="E645" s="125">
        <v>0.0</v>
      </c>
      <c r="F645" s="125">
        <v>0.0</v>
      </c>
      <c r="G645" s="125">
        <v>0.0</v>
      </c>
      <c r="H645" s="125">
        <v>0.0</v>
      </c>
      <c r="I645" s="125">
        <v>0.0</v>
      </c>
      <c r="J645" s="125">
        <v>0.0</v>
      </c>
      <c r="K645" s="125">
        <v>0.0</v>
      </c>
      <c r="L645" s="125">
        <v>0.0</v>
      </c>
      <c r="M645" s="125">
        <v>0.0</v>
      </c>
      <c r="N645" s="125">
        <v>0.0</v>
      </c>
      <c r="O645" s="125"/>
      <c r="P645" s="125"/>
      <c r="Q645" s="125"/>
      <c r="R645" s="125"/>
      <c r="S645" s="125"/>
      <c r="T645" s="125"/>
      <c r="U645" s="125"/>
      <c r="V645" s="125"/>
    </row>
    <row r="646">
      <c r="A646" s="122" t="s">
        <v>2566</v>
      </c>
      <c r="B646" s="122" t="s">
        <v>2567</v>
      </c>
      <c r="C646" s="125">
        <v>0.0</v>
      </c>
      <c r="D646" s="125">
        <v>0.0</v>
      </c>
      <c r="E646" s="125">
        <v>0.0</v>
      </c>
      <c r="F646" s="125">
        <v>0.0</v>
      </c>
      <c r="G646" s="125">
        <v>0.0</v>
      </c>
      <c r="H646" s="125">
        <v>0.0</v>
      </c>
      <c r="I646" s="125">
        <v>0.0</v>
      </c>
      <c r="J646" s="125">
        <v>0.0</v>
      </c>
      <c r="K646" s="125">
        <v>0.0</v>
      </c>
      <c r="L646" s="125">
        <v>0.0</v>
      </c>
      <c r="M646" s="125">
        <v>0.0</v>
      </c>
      <c r="N646" s="125">
        <v>0.0</v>
      </c>
      <c r="O646" s="125"/>
      <c r="P646" s="125"/>
      <c r="Q646" s="125"/>
      <c r="R646" s="125"/>
      <c r="S646" s="125"/>
      <c r="T646" s="125"/>
      <c r="U646" s="125"/>
      <c r="V646" s="125"/>
    </row>
    <row r="647">
      <c r="A647" s="122" t="s">
        <v>2568</v>
      </c>
      <c r="B647" s="122" t="s">
        <v>2569</v>
      </c>
      <c r="C647" s="125">
        <v>0.0</v>
      </c>
      <c r="D647" s="125">
        <v>0.0</v>
      </c>
      <c r="E647" s="125">
        <v>0.0</v>
      </c>
      <c r="F647" s="125">
        <v>0.0</v>
      </c>
      <c r="G647" s="125">
        <v>0.0</v>
      </c>
      <c r="H647" s="125">
        <v>0.0</v>
      </c>
      <c r="I647" s="125">
        <v>0.0</v>
      </c>
      <c r="J647" s="125">
        <v>0.0</v>
      </c>
      <c r="K647" s="125">
        <v>0.0</v>
      </c>
      <c r="L647" s="125">
        <v>0.0</v>
      </c>
      <c r="M647" s="125">
        <v>0.0</v>
      </c>
      <c r="N647" s="125">
        <v>0.0</v>
      </c>
      <c r="O647" s="125"/>
      <c r="P647" s="125"/>
      <c r="Q647" s="125"/>
      <c r="R647" s="125"/>
      <c r="S647" s="125"/>
      <c r="T647" s="125"/>
      <c r="U647" s="125"/>
      <c r="V647" s="125"/>
    </row>
    <row r="648">
      <c r="A648" s="122" t="s">
        <v>2570</v>
      </c>
      <c r="B648" s="122" t="s">
        <v>2571</v>
      </c>
      <c r="C648" s="125">
        <v>0.0</v>
      </c>
      <c r="D648" s="125">
        <v>0.0</v>
      </c>
      <c r="E648" s="125">
        <v>0.0</v>
      </c>
      <c r="F648" s="125">
        <v>0.0</v>
      </c>
      <c r="G648" s="125">
        <v>0.0</v>
      </c>
      <c r="H648" s="125">
        <v>0.0</v>
      </c>
      <c r="I648" s="125">
        <v>0.0</v>
      </c>
      <c r="J648" s="125">
        <v>0.0</v>
      </c>
      <c r="K648" s="125">
        <v>0.0</v>
      </c>
      <c r="L648" s="125">
        <v>0.0</v>
      </c>
      <c r="M648" s="125">
        <v>0.0</v>
      </c>
      <c r="N648" s="125">
        <v>0.0</v>
      </c>
      <c r="O648" s="125"/>
      <c r="P648" s="125"/>
      <c r="Q648" s="125"/>
      <c r="R648" s="125"/>
      <c r="S648" s="125"/>
      <c r="T648" s="125"/>
      <c r="U648" s="125"/>
      <c r="V648" s="125"/>
    </row>
    <row r="649">
      <c r="A649" s="122" t="s">
        <v>2572</v>
      </c>
      <c r="B649" s="122" t="s">
        <v>2573</v>
      </c>
      <c r="C649" s="125">
        <v>0.0</v>
      </c>
      <c r="D649" s="125">
        <v>0.0</v>
      </c>
      <c r="E649" s="125">
        <v>0.0</v>
      </c>
      <c r="F649" s="125">
        <v>0.0</v>
      </c>
      <c r="G649" s="125">
        <v>0.0</v>
      </c>
      <c r="H649" s="125">
        <v>0.0</v>
      </c>
      <c r="I649" s="125">
        <v>0.0</v>
      </c>
      <c r="J649" s="125">
        <v>0.0</v>
      </c>
      <c r="K649" s="125">
        <v>0.0</v>
      </c>
      <c r="L649" s="125">
        <v>0.0</v>
      </c>
      <c r="M649" s="125">
        <v>0.0</v>
      </c>
      <c r="N649" s="125">
        <v>0.0</v>
      </c>
      <c r="O649" s="125"/>
      <c r="P649" s="125"/>
      <c r="Q649" s="125"/>
      <c r="R649" s="125"/>
      <c r="S649" s="125"/>
      <c r="T649" s="125"/>
      <c r="U649" s="125"/>
      <c r="V649" s="125"/>
    </row>
    <row r="650">
      <c r="A650" s="122" t="s">
        <v>2574</v>
      </c>
      <c r="B650" s="122" t="s">
        <v>2575</v>
      </c>
      <c r="C650" s="125">
        <v>0.0</v>
      </c>
      <c r="D650" s="125">
        <v>0.0</v>
      </c>
      <c r="E650" s="125">
        <v>0.0</v>
      </c>
      <c r="F650" s="125">
        <v>0.0</v>
      </c>
      <c r="G650" s="125">
        <v>0.0</v>
      </c>
      <c r="H650" s="125">
        <v>0.0</v>
      </c>
      <c r="I650" s="125">
        <v>0.0</v>
      </c>
      <c r="J650" s="125">
        <v>0.0</v>
      </c>
      <c r="K650" s="125">
        <v>0.0</v>
      </c>
      <c r="L650" s="125">
        <v>0.0</v>
      </c>
      <c r="M650" s="125">
        <v>0.0</v>
      </c>
      <c r="N650" s="125">
        <v>0.0</v>
      </c>
      <c r="O650" s="125"/>
      <c r="P650" s="125"/>
      <c r="Q650" s="125"/>
      <c r="R650" s="125"/>
      <c r="S650" s="125"/>
      <c r="T650" s="125"/>
      <c r="U650" s="125"/>
      <c r="V650" s="125"/>
    </row>
    <row r="651">
      <c r="A651" s="122" t="s">
        <v>2576</v>
      </c>
      <c r="B651" s="122" t="s">
        <v>2577</v>
      </c>
      <c r="C651" s="125">
        <v>0.0</v>
      </c>
      <c r="D651" s="125">
        <v>0.0</v>
      </c>
      <c r="E651" s="125">
        <v>0.0</v>
      </c>
      <c r="F651" s="125">
        <v>0.0</v>
      </c>
      <c r="G651" s="125">
        <v>0.0</v>
      </c>
      <c r="H651" s="125">
        <v>0.0</v>
      </c>
      <c r="I651" s="125">
        <v>0.0</v>
      </c>
      <c r="J651" s="125">
        <v>0.0</v>
      </c>
      <c r="K651" s="125">
        <v>0.0</v>
      </c>
      <c r="L651" s="125">
        <v>0.0</v>
      </c>
      <c r="M651" s="125">
        <v>0.0</v>
      </c>
      <c r="N651" s="125">
        <v>0.0</v>
      </c>
      <c r="O651" s="125"/>
      <c r="P651" s="125"/>
      <c r="Q651" s="125"/>
      <c r="R651" s="125"/>
      <c r="S651" s="125"/>
      <c r="T651" s="125"/>
      <c r="U651" s="125"/>
      <c r="V651" s="125"/>
    </row>
    <row r="652">
      <c r="A652" s="122" t="s">
        <v>2578</v>
      </c>
      <c r="B652" s="122" t="s">
        <v>2579</v>
      </c>
      <c r="C652" s="125">
        <v>0.0</v>
      </c>
      <c r="D652" s="125">
        <v>0.0</v>
      </c>
      <c r="E652" s="125">
        <v>0.0</v>
      </c>
      <c r="F652" s="125">
        <v>0.0</v>
      </c>
      <c r="G652" s="125">
        <v>0.0</v>
      </c>
      <c r="H652" s="125">
        <v>0.0</v>
      </c>
      <c r="I652" s="125">
        <v>0.0</v>
      </c>
      <c r="J652" s="125">
        <v>0.0</v>
      </c>
      <c r="K652" s="125">
        <v>0.0</v>
      </c>
      <c r="L652" s="125">
        <v>0.0</v>
      </c>
      <c r="M652" s="125">
        <v>0.0</v>
      </c>
      <c r="N652" s="125">
        <v>0.0</v>
      </c>
      <c r="O652" s="125"/>
      <c r="P652" s="125"/>
      <c r="Q652" s="125"/>
      <c r="R652" s="125"/>
      <c r="S652" s="125"/>
      <c r="T652" s="125"/>
      <c r="U652" s="125"/>
      <c r="V652" s="125"/>
    </row>
    <row r="653">
      <c r="A653" s="122" t="s">
        <v>2580</v>
      </c>
      <c r="B653" s="122" t="s">
        <v>2581</v>
      </c>
      <c r="C653" s="125">
        <v>0.0</v>
      </c>
      <c r="D653" s="125">
        <v>0.0</v>
      </c>
      <c r="E653" s="125">
        <v>0.0</v>
      </c>
      <c r="F653" s="125">
        <v>0.0</v>
      </c>
      <c r="G653" s="125">
        <v>0.0</v>
      </c>
      <c r="H653" s="125">
        <v>0.0</v>
      </c>
      <c r="I653" s="125">
        <v>0.0</v>
      </c>
      <c r="J653" s="125">
        <v>0.0</v>
      </c>
      <c r="K653" s="125">
        <v>0.0</v>
      </c>
      <c r="L653" s="125">
        <v>0.0</v>
      </c>
      <c r="M653" s="125">
        <v>0.0</v>
      </c>
      <c r="N653" s="125">
        <v>0.0</v>
      </c>
      <c r="O653" s="125"/>
      <c r="P653" s="125"/>
      <c r="Q653" s="125"/>
      <c r="R653" s="125"/>
      <c r="S653" s="125"/>
      <c r="T653" s="125"/>
      <c r="U653" s="125"/>
      <c r="V653" s="125"/>
    </row>
    <row r="654">
      <c r="A654" s="122" t="s">
        <v>2582</v>
      </c>
      <c r="B654" s="122" t="s">
        <v>2583</v>
      </c>
      <c r="C654" s="125">
        <v>0.0</v>
      </c>
      <c r="D654" s="125">
        <v>0.0</v>
      </c>
      <c r="E654" s="125">
        <v>0.0</v>
      </c>
      <c r="F654" s="125">
        <v>0.0</v>
      </c>
      <c r="G654" s="125">
        <v>0.0</v>
      </c>
      <c r="H654" s="125">
        <v>0.0</v>
      </c>
      <c r="I654" s="125">
        <v>0.0</v>
      </c>
      <c r="J654" s="125">
        <v>0.0</v>
      </c>
      <c r="K654" s="125">
        <v>0.0</v>
      </c>
      <c r="L654" s="125">
        <v>0.0</v>
      </c>
      <c r="M654" s="125">
        <v>0.0</v>
      </c>
      <c r="N654" s="125">
        <v>0.0</v>
      </c>
      <c r="O654" s="125"/>
      <c r="P654" s="125"/>
      <c r="Q654" s="125"/>
      <c r="R654" s="125"/>
      <c r="S654" s="125"/>
      <c r="T654" s="125"/>
      <c r="U654" s="125"/>
      <c r="V654" s="125"/>
    </row>
    <row r="655">
      <c r="A655" s="122" t="s">
        <v>2584</v>
      </c>
      <c r="B655" s="122" t="s">
        <v>2585</v>
      </c>
      <c r="C655" s="125">
        <v>0.0</v>
      </c>
      <c r="D655" s="125">
        <v>0.0</v>
      </c>
      <c r="E655" s="125">
        <v>0.0</v>
      </c>
      <c r="F655" s="125">
        <v>0.0</v>
      </c>
      <c r="G655" s="125">
        <v>0.0</v>
      </c>
      <c r="H655" s="125">
        <v>0.0</v>
      </c>
      <c r="I655" s="125">
        <v>0.0</v>
      </c>
      <c r="J655" s="125">
        <v>0.0</v>
      </c>
      <c r="K655" s="125">
        <v>0.0</v>
      </c>
      <c r="L655" s="125">
        <v>0.0</v>
      </c>
      <c r="M655" s="125">
        <v>0.0</v>
      </c>
      <c r="N655" s="125">
        <v>0.0</v>
      </c>
      <c r="O655" s="125"/>
      <c r="P655" s="125"/>
      <c r="Q655" s="125"/>
      <c r="R655" s="125"/>
      <c r="S655" s="125"/>
      <c r="T655" s="125"/>
      <c r="U655" s="125"/>
      <c r="V655" s="125"/>
    </row>
    <row r="656">
      <c r="A656" s="122" t="s">
        <v>2586</v>
      </c>
      <c r="B656" s="122" t="s">
        <v>2587</v>
      </c>
      <c r="C656" s="125">
        <v>0.0</v>
      </c>
      <c r="D656" s="125">
        <v>0.0</v>
      </c>
      <c r="E656" s="125">
        <v>0.0</v>
      </c>
      <c r="F656" s="125">
        <v>0.0</v>
      </c>
      <c r="G656" s="125">
        <v>0.0</v>
      </c>
      <c r="H656" s="125">
        <v>0.0</v>
      </c>
      <c r="I656" s="125">
        <v>0.0</v>
      </c>
      <c r="J656" s="125">
        <v>0.0</v>
      </c>
      <c r="K656" s="125">
        <v>0.0</v>
      </c>
      <c r="L656" s="125">
        <v>0.0</v>
      </c>
      <c r="M656" s="125">
        <v>0.0</v>
      </c>
      <c r="N656" s="125">
        <v>0.0</v>
      </c>
      <c r="O656" s="125"/>
      <c r="P656" s="125"/>
      <c r="Q656" s="125"/>
      <c r="R656" s="125"/>
      <c r="S656" s="125"/>
      <c r="T656" s="125"/>
      <c r="U656" s="125"/>
      <c r="V656" s="125"/>
    </row>
    <row r="657">
      <c r="A657" s="122" t="s">
        <v>2588</v>
      </c>
      <c r="B657" s="122" t="s">
        <v>2589</v>
      </c>
      <c r="C657" s="125">
        <v>0.0</v>
      </c>
      <c r="D657" s="125">
        <v>0.0</v>
      </c>
      <c r="E657" s="125">
        <v>0.0</v>
      </c>
      <c r="F657" s="125">
        <v>0.0</v>
      </c>
      <c r="G657" s="125">
        <v>0.0</v>
      </c>
      <c r="H657" s="125">
        <v>0.0</v>
      </c>
      <c r="I657" s="125">
        <v>0.0</v>
      </c>
      <c r="J657" s="125">
        <v>0.0</v>
      </c>
      <c r="K657" s="125">
        <v>0.0</v>
      </c>
      <c r="L657" s="125">
        <v>0.0</v>
      </c>
      <c r="M657" s="125">
        <v>0.0</v>
      </c>
      <c r="N657" s="125">
        <v>0.0</v>
      </c>
      <c r="O657" s="125"/>
      <c r="P657" s="125"/>
      <c r="Q657" s="125"/>
      <c r="R657" s="125"/>
      <c r="S657" s="125"/>
      <c r="T657" s="125"/>
      <c r="U657" s="125"/>
      <c r="V657" s="125"/>
    </row>
    <row r="658">
      <c r="A658" s="122" t="s">
        <v>1330</v>
      </c>
      <c r="B658" s="122" t="s">
        <v>2311</v>
      </c>
      <c r="C658" s="125">
        <v>3706155.0</v>
      </c>
      <c r="D658" s="125">
        <v>3706155.0</v>
      </c>
      <c r="E658" s="125">
        <v>378.0</v>
      </c>
      <c r="F658" s="125">
        <v>0.0</v>
      </c>
      <c r="G658" s="125">
        <v>2515529.0</v>
      </c>
      <c r="H658" s="125">
        <v>1190626.0</v>
      </c>
      <c r="I658" s="125" t="s">
        <v>3068</v>
      </c>
      <c r="J658" s="125">
        <v>1419090.0</v>
      </c>
      <c r="K658" s="125">
        <v>146525.0</v>
      </c>
      <c r="L658" s="125">
        <v>17293.0</v>
      </c>
      <c r="M658" s="125">
        <v>856960.0</v>
      </c>
      <c r="N658" s="125">
        <v>-75661.0</v>
      </c>
      <c r="O658" s="125"/>
      <c r="P658" s="125"/>
      <c r="Q658" s="125"/>
      <c r="R658" s="125"/>
      <c r="S658" s="125"/>
      <c r="T658" s="125"/>
      <c r="U658" s="125"/>
      <c r="V658" s="125"/>
    </row>
    <row r="659">
      <c r="A659" s="122" t="s">
        <v>1012</v>
      </c>
      <c r="B659" s="122" t="s">
        <v>2591</v>
      </c>
      <c r="C659" s="125">
        <v>0.0</v>
      </c>
      <c r="D659" s="125">
        <v>0.0</v>
      </c>
      <c r="E659" s="125">
        <v>0.0</v>
      </c>
      <c r="F659" s="125">
        <v>0.0</v>
      </c>
      <c r="G659" s="125">
        <v>0.0</v>
      </c>
      <c r="H659" s="125">
        <v>0.0</v>
      </c>
      <c r="I659" s="125">
        <v>0.0</v>
      </c>
      <c r="J659" s="125">
        <v>0.0</v>
      </c>
      <c r="K659" s="125">
        <v>0.0</v>
      </c>
      <c r="L659" s="125">
        <v>0.0</v>
      </c>
      <c r="M659" s="125">
        <v>0.0</v>
      </c>
      <c r="N659" s="125">
        <v>0.0</v>
      </c>
      <c r="O659" s="125"/>
      <c r="P659" s="125"/>
      <c r="Q659" s="125"/>
      <c r="R659" s="125"/>
      <c r="S659" s="125"/>
      <c r="T659" s="125"/>
      <c r="U659" s="125"/>
      <c r="V659" s="125"/>
    </row>
    <row r="660">
      <c r="A660" s="122" t="s">
        <v>97</v>
      </c>
      <c r="B660" s="122" t="s">
        <v>2593</v>
      </c>
      <c r="C660" s="125">
        <v>749602.0</v>
      </c>
      <c r="D660" s="125">
        <v>749602.0</v>
      </c>
      <c r="E660" s="125">
        <v>4.0</v>
      </c>
      <c r="F660" s="125">
        <v>0.0</v>
      </c>
      <c r="G660" s="125">
        <v>478833.0</v>
      </c>
      <c r="H660" s="125">
        <v>270769.0</v>
      </c>
      <c r="I660" s="125" t="s">
        <v>3069</v>
      </c>
      <c r="J660" s="125">
        <v>231980.0</v>
      </c>
      <c r="K660" s="125">
        <v>87577.0</v>
      </c>
      <c r="L660" s="125">
        <v>1040.0</v>
      </c>
      <c r="M660" s="125">
        <v>119936.0</v>
      </c>
      <c r="N660" s="125">
        <v>-38300.0</v>
      </c>
      <c r="O660" s="125"/>
      <c r="P660" s="125"/>
      <c r="Q660" s="125"/>
      <c r="R660" s="125"/>
      <c r="S660" s="125"/>
      <c r="T660" s="125"/>
      <c r="U660" s="125"/>
      <c r="V660" s="125"/>
    </row>
    <row r="661">
      <c r="A661" s="122" t="s">
        <v>105</v>
      </c>
      <c r="B661" s="122" t="s">
        <v>3070</v>
      </c>
      <c r="C661" s="125">
        <v>359249.0</v>
      </c>
      <c r="D661" s="125">
        <v>359249.0</v>
      </c>
      <c r="E661" s="125">
        <v>9.0</v>
      </c>
      <c r="F661" s="125">
        <v>0.0</v>
      </c>
      <c r="G661" s="125">
        <v>295478.0</v>
      </c>
      <c r="H661" s="125">
        <v>63771.0</v>
      </c>
      <c r="I661" s="125" t="s">
        <v>2789</v>
      </c>
      <c r="J661" s="125">
        <v>122211.0</v>
      </c>
      <c r="K661" s="125">
        <v>82145.0</v>
      </c>
      <c r="L661" s="125">
        <v>329.0</v>
      </c>
      <c r="M661" s="125">
        <v>57478.0</v>
      </c>
      <c r="N661" s="125">
        <v>-33315.0</v>
      </c>
      <c r="O661" s="125"/>
      <c r="P661" s="125"/>
      <c r="Q661" s="125"/>
      <c r="R661" s="125"/>
      <c r="S661" s="125"/>
      <c r="T661" s="125"/>
      <c r="U661" s="125"/>
      <c r="V661" s="125"/>
    </row>
    <row r="662">
      <c r="A662" s="122" t="s">
        <v>108</v>
      </c>
      <c r="B662" s="122" t="s">
        <v>3071</v>
      </c>
      <c r="C662" s="125">
        <v>129696.0</v>
      </c>
      <c r="D662" s="125">
        <v>129696.0</v>
      </c>
      <c r="E662" s="125">
        <v>7.0</v>
      </c>
      <c r="F662" s="125">
        <v>0.0</v>
      </c>
      <c r="G662" s="125">
        <v>80182.0</v>
      </c>
      <c r="H662" s="125">
        <v>49514.0</v>
      </c>
      <c r="I662" s="125" t="s">
        <v>3072</v>
      </c>
      <c r="J662" s="125">
        <v>44800.0</v>
      </c>
      <c r="K662" s="125">
        <v>5990.0</v>
      </c>
      <c r="L662" s="125">
        <v>176.0</v>
      </c>
      <c r="M662" s="125">
        <v>19266.0</v>
      </c>
      <c r="N662" s="125">
        <v>-9950.0</v>
      </c>
      <c r="O662" s="125"/>
      <c r="P662" s="125"/>
      <c r="Q662" s="125"/>
      <c r="R662" s="125"/>
      <c r="S662" s="125"/>
      <c r="T662" s="125"/>
      <c r="U662" s="125"/>
      <c r="V662" s="125"/>
    </row>
    <row r="663">
      <c r="A663" s="122" t="s">
        <v>102</v>
      </c>
      <c r="B663" s="122" t="s">
        <v>3073</v>
      </c>
      <c r="C663" s="125">
        <v>7980.0</v>
      </c>
      <c r="D663" s="125">
        <v>7980.0</v>
      </c>
      <c r="E663" s="125">
        <v>2.0</v>
      </c>
      <c r="F663" s="125">
        <v>0.0</v>
      </c>
      <c r="G663" s="125">
        <v>5849.0</v>
      </c>
      <c r="H663" s="125">
        <v>2131.0</v>
      </c>
      <c r="I663" s="125" t="s">
        <v>3074</v>
      </c>
      <c r="J663" s="125">
        <v>838.0</v>
      </c>
      <c r="K663" s="125">
        <v>2062.0</v>
      </c>
      <c r="L663" s="125">
        <v>54.0</v>
      </c>
      <c r="M663" s="125">
        <v>1196.0</v>
      </c>
      <c r="N663" s="125">
        <v>-1699.0</v>
      </c>
      <c r="O663" s="125"/>
      <c r="P663" s="125"/>
      <c r="Q663" s="125"/>
      <c r="R663" s="125"/>
      <c r="S663" s="125"/>
      <c r="T663" s="125"/>
      <c r="U663" s="125"/>
      <c r="V663" s="125"/>
    </row>
    <row r="664">
      <c r="A664" s="122" t="s">
        <v>101</v>
      </c>
      <c r="B664" s="122" t="s">
        <v>3075</v>
      </c>
      <c r="C664" s="125">
        <v>218650.0</v>
      </c>
      <c r="D664" s="125">
        <v>218650.0</v>
      </c>
      <c r="E664" s="125">
        <v>13.0</v>
      </c>
      <c r="F664" s="125">
        <v>0.0</v>
      </c>
      <c r="G664" s="125">
        <v>235661.0</v>
      </c>
      <c r="H664" s="125">
        <v>-17011.0</v>
      </c>
      <c r="I664" s="125" t="s">
        <v>3076</v>
      </c>
      <c r="J664" s="125">
        <v>99632.0</v>
      </c>
      <c r="K664" s="125">
        <v>88191.0</v>
      </c>
      <c r="L664" s="125">
        <v>46.0</v>
      </c>
      <c r="M664" s="125">
        <v>39798.0</v>
      </c>
      <c r="N664" s="125">
        <v>-7994.0</v>
      </c>
      <c r="O664" s="125"/>
      <c r="P664" s="125"/>
      <c r="Q664" s="125"/>
      <c r="R664" s="125"/>
      <c r="S664" s="125"/>
      <c r="T664" s="125"/>
      <c r="U664" s="125"/>
      <c r="V664" s="125"/>
    </row>
    <row r="665">
      <c r="A665" s="122" t="s">
        <v>112</v>
      </c>
      <c r="B665" s="122" t="s">
        <v>3077</v>
      </c>
      <c r="C665" s="125">
        <v>34364.0</v>
      </c>
      <c r="D665" s="125">
        <v>34364.0</v>
      </c>
      <c r="E665" s="125">
        <v>2.0</v>
      </c>
      <c r="F665" s="125">
        <v>0.0</v>
      </c>
      <c r="G665" s="125">
        <v>50322.0</v>
      </c>
      <c r="H665" s="125">
        <v>-15958.0</v>
      </c>
      <c r="I665" s="125" t="s">
        <v>3078</v>
      </c>
      <c r="J665" s="125">
        <v>6308.0</v>
      </c>
      <c r="K665" s="125">
        <v>36396.0</v>
      </c>
      <c r="L665" s="125">
        <v>122.0</v>
      </c>
      <c r="M665" s="125">
        <v>6154.0</v>
      </c>
      <c r="N665" s="125">
        <v>-1342.0</v>
      </c>
      <c r="O665" s="125"/>
      <c r="P665" s="125"/>
      <c r="Q665" s="125"/>
      <c r="R665" s="125"/>
      <c r="S665" s="125"/>
      <c r="T665" s="125"/>
      <c r="U665" s="125"/>
      <c r="V665" s="125"/>
    </row>
    <row r="666">
      <c r="A666" s="122" t="s">
        <v>106</v>
      </c>
      <c r="B666" s="122" t="s">
        <v>3079</v>
      </c>
      <c r="C666" s="125">
        <v>219980.0</v>
      </c>
      <c r="D666" s="125">
        <v>219980.0</v>
      </c>
      <c r="E666" s="125">
        <v>2.0</v>
      </c>
      <c r="F666" s="125">
        <v>0.0</v>
      </c>
      <c r="G666" s="125">
        <v>118877.0</v>
      </c>
      <c r="H666" s="125">
        <v>101103.0</v>
      </c>
      <c r="I666" s="125" t="s">
        <v>3080</v>
      </c>
      <c r="J666" s="125">
        <v>88734.0</v>
      </c>
      <c r="K666" s="125">
        <v>257.0</v>
      </c>
      <c r="L666" s="125">
        <v>204.0</v>
      </c>
      <c r="M666" s="125">
        <v>32998.0</v>
      </c>
      <c r="N666" s="125">
        <v>3316.0</v>
      </c>
      <c r="O666" s="125"/>
      <c r="P666" s="125"/>
      <c r="Q666" s="125"/>
      <c r="R666" s="125"/>
      <c r="S666" s="125"/>
      <c r="T666" s="125"/>
      <c r="U666" s="125"/>
      <c r="V666" s="125"/>
    </row>
    <row r="667">
      <c r="A667" s="122" t="s">
        <v>113</v>
      </c>
      <c r="B667" s="122" t="s">
        <v>3081</v>
      </c>
      <c r="C667" s="125">
        <v>711971.0</v>
      </c>
      <c r="D667" s="125">
        <v>711971.0</v>
      </c>
      <c r="E667" s="125">
        <v>8.0</v>
      </c>
      <c r="F667" s="125">
        <v>0.0</v>
      </c>
      <c r="G667" s="125">
        <v>460327.0</v>
      </c>
      <c r="H667" s="125">
        <v>251644.0</v>
      </c>
      <c r="I667" s="125" t="s">
        <v>3082</v>
      </c>
      <c r="J667" s="125">
        <v>247848.0</v>
      </c>
      <c r="K667" s="125">
        <v>78156.0</v>
      </c>
      <c r="L667" s="125">
        <v>130.0</v>
      </c>
      <c r="M667" s="125">
        <v>106794.0</v>
      </c>
      <c r="N667" s="125">
        <v>-27399.0</v>
      </c>
      <c r="O667" s="125"/>
      <c r="P667" s="125"/>
      <c r="Q667" s="125"/>
      <c r="R667" s="125"/>
      <c r="S667" s="125"/>
      <c r="T667" s="125"/>
      <c r="U667" s="125"/>
      <c r="V667" s="125"/>
    </row>
    <row r="668">
      <c r="A668" s="122" t="s">
        <v>104</v>
      </c>
      <c r="B668" s="122" t="s">
        <v>3083</v>
      </c>
      <c r="C668" s="125">
        <v>486348.0</v>
      </c>
      <c r="D668" s="125">
        <v>486348.0</v>
      </c>
      <c r="E668" s="125">
        <v>19.0</v>
      </c>
      <c r="F668" s="125">
        <v>0.0</v>
      </c>
      <c r="G668" s="125">
        <v>471229.0</v>
      </c>
      <c r="H668" s="125">
        <v>15119.0</v>
      </c>
      <c r="I668" s="125" t="s">
        <v>3084</v>
      </c>
      <c r="J668" s="125">
        <v>145673.0</v>
      </c>
      <c r="K668" s="125">
        <v>178752.0</v>
      </c>
      <c r="L668" s="125">
        <v>285.0</v>
      </c>
      <c r="M668" s="125">
        <v>78816.0</v>
      </c>
      <c r="N668" s="125">
        <v>-67703.0</v>
      </c>
      <c r="O668" s="125"/>
      <c r="P668" s="125"/>
      <c r="Q668" s="125"/>
      <c r="R668" s="125"/>
      <c r="S668" s="125"/>
      <c r="T668" s="125"/>
      <c r="U668" s="125"/>
      <c r="V668" s="125"/>
    </row>
    <row r="669">
      <c r="A669" s="122" t="s">
        <v>100</v>
      </c>
      <c r="B669" s="122" t="s">
        <v>3085</v>
      </c>
      <c r="C669" s="125">
        <v>1406066.0</v>
      </c>
      <c r="D669" s="125">
        <v>1401066.0</v>
      </c>
      <c r="E669" s="125">
        <v>14.0</v>
      </c>
      <c r="F669" s="125">
        <v>5000.0</v>
      </c>
      <c r="G669" s="125">
        <v>580842.0</v>
      </c>
      <c r="H669" s="125">
        <v>825224.0</v>
      </c>
      <c r="I669" s="125" t="s">
        <v>3086</v>
      </c>
      <c r="J669" s="125">
        <v>265384.0</v>
      </c>
      <c r="K669" s="125">
        <v>41377.0</v>
      </c>
      <c r="L669" s="125">
        <v>337.0</v>
      </c>
      <c r="M669" s="125">
        <v>208552.0</v>
      </c>
      <c r="N669" s="125">
        <v>-65192.0</v>
      </c>
      <c r="O669" s="125"/>
      <c r="P669" s="125"/>
      <c r="Q669" s="125"/>
      <c r="R669" s="125"/>
      <c r="S669" s="125"/>
      <c r="T669" s="125"/>
      <c r="U669" s="125"/>
      <c r="V669" s="125"/>
    </row>
    <row r="670">
      <c r="A670" s="122" t="s">
        <v>103</v>
      </c>
      <c r="B670" s="122" t="s">
        <v>3087</v>
      </c>
      <c r="C670" s="125">
        <v>61485.0</v>
      </c>
      <c r="D670" s="125">
        <v>61485.0</v>
      </c>
      <c r="E670" s="125">
        <v>5.0</v>
      </c>
      <c r="F670" s="125">
        <v>0.0</v>
      </c>
      <c r="G670" s="125">
        <v>37973.0</v>
      </c>
      <c r="H670" s="125">
        <v>23512.0</v>
      </c>
      <c r="I670" s="125" t="s">
        <v>3088</v>
      </c>
      <c r="J670" s="125">
        <v>14930.0</v>
      </c>
      <c r="K670" s="125">
        <v>8624.0</v>
      </c>
      <c r="L670" s="125">
        <v>53.0</v>
      </c>
      <c r="M670" s="125">
        <v>10225.0</v>
      </c>
      <c r="N670" s="125">
        <v>-4141.0</v>
      </c>
      <c r="O670" s="125"/>
      <c r="P670" s="125"/>
      <c r="Q670" s="125"/>
      <c r="R670" s="125"/>
      <c r="S670" s="125"/>
      <c r="T670" s="125"/>
      <c r="U670" s="125"/>
      <c r="V670" s="125"/>
    </row>
    <row r="671">
      <c r="A671" s="122" t="s">
        <v>99</v>
      </c>
      <c r="B671" s="122" t="s">
        <v>3089</v>
      </c>
      <c r="C671" s="125">
        <v>1661239.0</v>
      </c>
      <c r="D671" s="125">
        <v>1661239.0</v>
      </c>
      <c r="E671" s="125">
        <v>33.0</v>
      </c>
      <c r="F671" s="125">
        <v>0.0</v>
      </c>
      <c r="G671" s="125">
        <v>1136510.0</v>
      </c>
      <c r="H671" s="125">
        <v>524729.0</v>
      </c>
      <c r="I671" s="125" t="s">
        <v>3090</v>
      </c>
      <c r="J671" s="125">
        <v>550539.0</v>
      </c>
      <c r="K671" s="125">
        <v>206731.0</v>
      </c>
      <c r="L671" s="125">
        <v>289.0</v>
      </c>
      <c r="M671" s="125">
        <v>232570.0</v>
      </c>
      <c r="N671" s="125">
        <v>-146381.0</v>
      </c>
      <c r="O671" s="125"/>
      <c r="P671" s="125"/>
      <c r="Q671" s="125"/>
      <c r="R671" s="125"/>
      <c r="S671" s="125"/>
      <c r="T671" s="125"/>
      <c r="U671" s="125"/>
      <c r="V671" s="125"/>
    </row>
    <row r="672">
      <c r="A672" s="122" t="s">
        <v>110</v>
      </c>
      <c r="B672" s="122" t="s">
        <v>3091</v>
      </c>
      <c r="C672" s="125">
        <v>670994.0</v>
      </c>
      <c r="D672" s="125">
        <v>670994.0</v>
      </c>
      <c r="E672" s="125">
        <v>34.0</v>
      </c>
      <c r="F672" s="125">
        <v>0.0</v>
      </c>
      <c r="G672" s="125">
        <v>519268.0</v>
      </c>
      <c r="H672" s="125">
        <v>151726.0</v>
      </c>
      <c r="I672" s="125" t="s">
        <v>3092</v>
      </c>
      <c r="J672" s="125">
        <v>229194.0</v>
      </c>
      <c r="K672" s="125">
        <v>145551.0</v>
      </c>
      <c r="L672" s="125">
        <v>364.0</v>
      </c>
      <c r="M672" s="125">
        <v>129653.0</v>
      </c>
      <c r="N672" s="125">
        <v>-14506.0</v>
      </c>
      <c r="O672" s="125"/>
      <c r="P672" s="125"/>
      <c r="Q672" s="125"/>
      <c r="R672" s="125"/>
      <c r="S672" s="125"/>
      <c r="T672" s="125"/>
      <c r="U672" s="125"/>
      <c r="V672" s="125"/>
    </row>
    <row r="673">
      <c r="A673" s="122" t="s">
        <v>48</v>
      </c>
      <c r="B673" s="122" t="s">
        <v>3093</v>
      </c>
      <c r="C673" s="125">
        <v>300304.0</v>
      </c>
      <c r="D673" s="125">
        <v>300304.0</v>
      </c>
      <c r="E673" s="125">
        <v>16.0</v>
      </c>
      <c r="F673" s="125">
        <v>0.0</v>
      </c>
      <c r="G673" s="125">
        <v>294013.0</v>
      </c>
      <c r="H673" s="125">
        <v>6291.0</v>
      </c>
      <c r="I673" s="125" t="s">
        <v>3094</v>
      </c>
      <c r="J673" s="125">
        <v>106640.0</v>
      </c>
      <c r="K673" s="125">
        <v>124935.0</v>
      </c>
      <c r="L673" s="125">
        <v>1029.0</v>
      </c>
      <c r="M673" s="125">
        <v>55048.0</v>
      </c>
      <c r="N673" s="125">
        <v>-6361.0</v>
      </c>
      <c r="O673" s="125"/>
      <c r="P673" s="125"/>
      <c r="Q673" s="125"/>
      <c r="R673" s="125"/>
      <c r="S673" s="125"/>
      <c r="T673" s="125"/>
      <c r="U673" s="125"/>
      <c r="V673" s="125"/>
    </row>
    <row r="674">
      <c r="A674" s="122" t="s">
        <v>119</v>
      </c>
      <c r="B674" s="122" t="s">
        <v>3095</v>
      </c>
      <c r="C674" s="125">
        <v>2083558.0</v>
      </c>
      <c r="D674" s="125">
        <v>2083558.0</v>
      </c>
      <c r="E674" s="125">
        <v>17.0</v>
      </c>
      <c r="F674" s="125">
        <v>0.0</v>
      </c>
      <c r="G674" s="125">
        <v>1118799.0</v>
      </c>
      <c r="H674" s="125">
        <v>964759.0</v>
      </c>
      <c r="I674" s="125" t="s">
        <v>3096</v>
      </c>
      <c r="J674" s="125">
        <v>587996.0</v>
      </c>
      <c r="K674" s="125">
        <v>15704.0</v>
      </c>
      <c r="L674" s="125">
        <v>0.0</v>
      </c>
      <c r="M674" s="125">
        <v>312533.0</v>
      </c>
      <c r="N674" s="125">
        <v>-202566.0</v>
      </c>
      <c r="O674" s="125"/>
      <c r="P674" s="125"/>
      <c r="Q674" s="125"/>
      <c r="R674" s="125"/>
      <c r="S674" s="125"/>
      <c r="T674" s="125"/>
      <c r="U674" s="125"/>
      <c r="V674" s="125"/>
    </row>
    <row r="675">
      <c r="A675" s="122" t="s">
        <v>1993</v>
      </c>
      <c r="B675" s="122" t="s">
        <v>2244</v>
      </c>
      <c r="C675" s="125">
        <v>1.5751846E7</v>
      </c>
      <c r="D675" s="125">
        <v>1.5551846E7</v>
      </c>
      <c r="E675" s="125">
        <v>230.0</v>
      </c>
      <c r="F675" s="125">
        <v>200000.0</v>
      </c>
      <c r="G675" s="125">
        <v>1.0018209E7</v>
      </c>
      <c r="H675" s="125">
        <v>5733637.0</v>
      </c>
      <c r="I675" s="125" t="s">
        <v>3097</v>
      </c>
      <c r="J675" s="125">
        <v>6651243.0</v>
      </c>
      <c r="K675" s="125">
        <v>432343.0</v>
      </c>
      <c r="L675" s="125">
        <v>8562.0</v>
      </c>
      <c r="M675" s="125">
        <v>2171029.0</v>
      </c>
      <c r="N675" s="125">
        <v>-755032.0</v>
      </c>
      <c r="O675" s="125"/>
      <c r="P675" s="125"/>
      <c r="Q675" s="125"/>
      <c r="R675" s="125"/>
      <c r="S675" s="125"/>
      <c r="T675" s="125"/>
      <c r="U675" s="125"/>
      <c r="V675" s="125"/>
    </row>
    <row r="676">
      <c r="A676" s="122" t="s">
        <v>98</v>
      </c>
      <c r="B676" s="122" t="s">
        <v>3098</v>
      </c>
      <c r="C676" s="125">
        <v>1486702.0</v>
      </c>
      <c r="D676" s="125">
        <v>1486702.0</v>
      </c>
      <c r="E676" s="125">
        <v>25.0</v>
      </c>
      <c r="F676" s="125">
        <v>0.0</v>
      </c>
      <c r="G676" s="125">
        <v>829855.0</v>
      </c>
      <c r="H676" s="125">
        <v>656847.0</v>
      </c>
      <c r="I676" s="125" t="s">
        <v>3099</v>
      </c>
      <c r="J676" s="125">
        <v>382675.0</v>
      </c>
      <c r="K676" s="125">
        <v>103964.0</v>
      </c>
      <c r="L676" s="125">
        <v>160.0</v>
      </c>
      <c r="M676" s="125">
        <v>237265.0</v>
      </c>
      <c r="N676" s="125">
        <v>-105791.0</v>
      </c>
      <c r="O676" s="125"/>
      <c r="P676" s="125"/>
      <c r="Q676" s="125"/>
      <c r="R676" s="125"/>
      <c r="S676" s="125"/>
      <c r="T676" s="125"/>
      <c r="U676" s="125"/>
      <c r="V676" s="125"/>
    </row>
    <row r="677">
      <c r="A677" s="122" t="s">
        <v>107</v>
      </c>
      <c r="B677" s="122" t="s">
        <v>3100</v>
      </c>
      <c r="C677" s="125">
        <v>25631.0</v>
      </c>
      <c r="D677" s="125">
        <v>25631.0</v>
      </c>
      <c r="E677" s="125">
        <v>1.0</v>
      </c>
      <c r="F677" s="125">
        <v>0.0</v>
      </c>
      <c r="G677" s="125">
        <v>29624.0</v>
      </c>
      <c r="H677" s="125">
        <v>-3993.0</v>
      </c>
      <c r="I677" s="125" t="s">
        <v>3101</v>
      </c>
      <c r="J677" s="125">
        <v>5854.0</v>
      </c>
      <c r="K677" s="125">
        <v>16792.0</v>
      </c>
      <c r="L677" s="125">
        <v>140.0</v>
      </c>
      <c r="M677" s="125">
        <v>3588.0</v>
      </c>
      <c r="N677" s="125">
        <v>-3250.0</v>
      </c>
      <c r="O677" s="125"/>
      <c r="P677" s="125"/>
      <c r="Q677" s="125"/>
      <c r="R677" s="125"/>
      <c r="S677" s="125"/>
      <c r="T677" s="125"/>
      <c r="U677" s="125"/>
      <c r="V677" s="125"/>
    </row>
    <row r="678">
      <c r="A678" s="122" t="s">
        <v>109</v>
      </c>
      <c r="B678" s="122" t="s">
        <v>3102</v>
      </c>
      <c r="C678" s="125">
        <v>95960.0</v>
      </c>
      <c r="D678" s="125">
        <v>95960.0</v>
      </c>
      <c r="E678" s="125">
        <v>4.0</v>
      </c>
      <c r="F678" s="125">
        <v>0.0</v>
      </c>
      <c r="G678" s="125">
        <v>68534.0</v>
      </c>
      <c r="H678" s="125">
        <v>27426.0</v>
      </c>
      <c r="I678" s="125" t="s">
        <v>3103</v>
      </c>
      <c r="J678" s="125">
        <v>18804.0</v>
      </c>
      <c r="K678" s="125">
        <v>24584.0</v>
      </c>
      <c r="L678" s="125">
        <v>384.0</v>
      </c>
      <c r="M678" s="125">
        <v>13436.0</v>
      </c>
      <c r="N678" s="125">
        <v>-11326.0</v>
      </c>
      <c r="O678" s="125"/>
      <c r="P678" s="125"/>
      <c r="Q678" s="125"/>
      <c r="R678" s="125"/>
      <c r="S678" s="125"/>
      <c r="T678" s="125"/>
      <c r="U678" s="125"/>
      <c r="V678" s="125"/>
    </row>
    <row r="679">
      <c r="A679" s="122" t="s">
        <v>178</v>
      </c>
      <c r="B679" s="122" t="s">
        <v>180</v>
      </c>
      <c r="C679" s="125">
        <v>0.0</v>
      </c>
      <c r="D679" s="125">
        <v>0.0</v>
      </c>
      <c r="E679" s="125">
        <v>0.0</v>
      </c>
      <c r="F679" s="125">
        <v>0.0</v>
      </c>
      <c r="G679" s="125">
        <v>0.0</v>
      </c>
      <c r="H679" s="125">
        <v>0.0</v>
      </c>
      <c r="I679" s="125">
        <v>0.0</v>
      </c>
      <c r="J679" s="125">
        <v>0.0</v>
      </c>
      <c r="K679" s="125">
        <v>0.0</v>
      </c>
      <c r="L679" s="125">
        <v>0.0</v>
      </c>
      <c r="M679" s="125">
        <v>0.0</v>
      </c>
      <c r="N679" s="125">
        <v>0.0</v>
      </c>
      <c r="O679" s="125"/>
      <c r="P679" s="125"/>
      <c r="Q679" s="125"/>
      <c r="R679" s="125"/>
      <c r="S679" s="125"/>
      <c r="T679" s="125"/>
      <c r="U679" s="125"/>
      <c r="V679" s="125"/>
    </row>
    <row r="680">
      <c r="A680" s="122" t="s">
        <v>111</v>
      </c>
      <c r="B680" s="122" t="s">
        <v>3104</v>
      </c>
      <c r="C680" s="125">
        <v>219780.0</v>
      </c>
      <c r="D680" s="125">
        <v>219780.0</v>
      </c>
      <c r="E680" s="125">
        <v>11.0</v>
      </c>
      <c r="F680" s="125">
        <v>0.0</v>
      </c>
      <c r="G680" s="125">
        <v>206798.0</v>
      </c>
      <c r="H680" s="125">
        <v>12982.0</v>
      </c>
      <c r="I680" s="125" t="s">
        <v>3105</v>
      </c>
      <c r="J680" s="125">
        <v>98604.0</v>
      </c>
      <c r="K680" s="125">
        <v>43580.0</v>
      </c>
      <c r="L680" s="125">
        <v>359.0</v>
      </c>
      <c r="M680" s="125">
        <v>40967.0</v>
      </c>
      <c r="N680" s="125">
        <v>-23288.0</v>
      </c>
      <c r="O680" s="125"/>
      <c r="P680" s="125"/>
      <c r="Q680" s="125"/>
      <c r="R680" s="125"/>
      <c r="S680" s="125"/>
      <c r="T680" s="125"/>
      <c r="U680" s="125"/>
      <c r="V680" s="125"/>
    </row>
    <row r="681">
      <c r="A681" s="122" t="s">
        <v>96</v>
      </c>
      <c r="B681" s="122" t="s">
        <v>2590</v>
      </c>
      <c r="C681" s="125">
        <v>3860251.0</v>
      </c>
      <c r="D681" s="125">
        <v>3860251.0</v>
      </c>
      <c r="E681" s="125">
        <v>21.0</v>
      </c>
      <c r="F681" s="125">
        <v>0.0</v>
      </c>
      <c r="G681" s="125">
        <v>2286509.0</v>
      </c>
      <c r="H681" s="125">
        <v>1573742.0</v>
      </c>
      <c r="I681" s="125" t="s">
        <v>3106</v>
      </c>
      <c r="J681" s="125">
        <v>1189062.0</v>
      </c>
      <c r="K681" s="125">
        <v>327400.0</v>
      </c>
      <c r="L681" s="125">
        <v>1500.0</v>
      </c>
      <c r="M681" s="125">
        <v>614142.0</v>
      </c>
      <c r="N681" s="125">
        <v>-154405.0</v>
      </c>
    </row>
    <row r="682">
      <c r="A682" s="122" t="s">
        <v>2596</v>
      </c>
      <c r="B682" s="122" t="s">
        <v>2597</v>
      </c>
      <c r="C682" s="125">
        <v>269970.0</v>
      </c>
      <c r="D682" s="125">
        <v>269970.0</v>
      </c>
      <c r="E682" s="125">
        <v>3.0</v>
      </c>
      <c r="F682" s="125">
        <v>0.0</v>
      </c>
      <c r="G682" s="125">
        <v>10100.0</v>
      </c>
      <c r="H682" s="125">
        <v>259870.0</v>
      </c>
      <c r="I682" s="125" t="s">
        <v>3107</v>
      </c>
      <c r="J682" s="125">
        <v>0.0</v>
      </c>
      <c r="K682" s="125">
        <v>0.0</v>
      </c>
      <c r="L682" s="125">
        <v>0.0</v>
      </c>
      <c r="M682" s="125">
        <v>8100.0</v>
      </c>
      <c r="N682" s="125">
        <v>-2000.0</v>
      </c>
    </row>
    <row r="683">
      <c r="A683" s="122" t="s">
        <v>197</v>
      </c>
      <c r="B683" s="122" t="s">
        <v>2601</v>
      </c>
      <c r="C683" s="125">
        <v>0.0</v>
      </c>
      <c r="D683" s="125">
        <v>0.0</v>
      </c>
      <c r="E683" s="125">
        <v>0.0</v>
      </c>
      <c r="F683" s="125">
        <v>0.0</v>
      </c>
      <c r="G683" s="125">
        <v>0.0</v>
      </c>
      <c r="H683" s="125">
        <v>0.0</v>
      </c>
      <c r="I683" s="125">
        <v>0.0</v>
      </c>
      <c r="J683" s="125">
        <v>0.0</v>
      </c>
      <c r="K683" s="125">
        <v>0.0</v>
      </c>
      <c r="L683" s="125">
        <v>0.0</v>
      </c>
      <c r="M683" s="125">
        <v>0.0</v>
      </c>
      <c r="N683" s="125">
        <v>0.0</v>
      </c>
    </row>
    <row r="684">
      <c r="A684" s="122" t="s">
        <v>186</v>
      </c>
      <c r="B684" s="122" t="s">
        <v>2602</v>
      </c>
      <c r="C684" s="125">
        <v>0.0</v>
      </c>
      <c r="D684" s="125">
        <v>0.0</v>
      </c>
      <c r="E684" s="125">
        <v>0.0</v>
      </c>
      <c r="F684" s="125">
        <v>0.0</v>
      </c>
      <c r="G684" s="125">
        <v>0.0</v>
      </c>
      <c r="H684" s="125">
        <v>0.0</v>
      </c>
      <c r="I684" s="125">
        <v>0.0</v>
      </c>
      <c r="J684" s="125">
        <v>0.0</v>
      </c>
      <c r="K684" s="125">
        <v>0.0</v>
      </c>
      <c r="L684" s="125">
        <v>0.0</v>
      </c>
      <c r="M684" s="125">
        <v>0.0</v>
      </c>
      <c r="N684" s="125">
        <v>0.0</v>
      </c>
    </row>
    <row r="685">
      <c r="A685" s="122" t="s">
        <v>207</v>
      </c>
      <c r="B685" s="122" t="s">
        <v>2606</v>
      </c>
      <c r="C685" s="125">
        <v>0.0</v>
      </c>
      <c r="D685" s="125">
        <v>0.0</v>
      </c>
      <c r="E685" s="125">
        <v>0.0</v>
      </c>
      <c r="F685" s="125">
        <v>0.0</v>
      </c>
      <c r="G685" s="125">
        <v>0.0</v>
      </c>
      <c r="H685" s="125">
        <v>0.0</v>
      </c>
      <c r="I685" s="125">
        <v>0.0</v>
      </c>
      <c r="J685" s="125">
        <v>0.0</v>
      </c>
      <c r="K685" s="125">
        <v>0.0</v>
      </c>
      <c r="L685" s="125">
        <v>0.0</v>
      </c>
      <c r="M685" s="125">
        <v>0.0</v>
      </c>
      <c r="N685" s="125">
        <v>0.0</v>
      </c>
    </row>
    <row r="686">
      <c r="A686" s="122" t="s">
        <v>202</v>
      </c>
      <c r="B686" s="122" t="s">
        <v>2607</v>
      </c>
      <c r="C686" s="125">
        <v>0.0</v>
      </c>
      <c r="D686" s="125">
        <v>0.0</v>
      </c>
      <c r="E686" s="125">
        <v>0.0</v>
      </c>
      <c r="F686" s="125">
        <v>0.0</v>
      </c>
      <c r="G686" s="125">
        <v>0.0</v>
      </c>
      <c r="H686" s="125">
        <v>0.0</v>
      </c>
      <c r="I686" s="125">
        <v>0.0</v>
      </c>
      <c r="J686" s="125">
        <v>0.0</v>
      </c>
      <c r="K686" s="125">
        <v>0.0</v>
      </c>
      <c r="L686" s="125">
        <v>0.0</v>
      </c>
      <c r="M686" s="125">
        <v>0.0</v>
      </c>
      <c r="N686" s="125">
        <v>0.0</v>
      </c>
    </row>
    <row r="687">
      <c r="A687" s="122" t="s">
        <v>182</v>
      </c>
      <c r="B687" s="122" t="s">
        <v>2608</v>
      </c>
      <c r="C687" s="125">
        <v>0.0</v>
      </c>
      <c r="D687" s="125">
        <v>0.0</v>
      </c>
      <c r="E687" s="125">
        <v>0.0</v>
      </c>
      <c r="F687" s="125">
        <v>0.0</v>
      </c>
      <c r="G687" s="125">
        <v>0.0</v>
      </c>
      <c r="H687" s="125">
        <v>0.0</v>
      </c>
      <c r="I687" s="125">
        <v>0.0</v>
      </c>
      <c r="J687" s="125">
        <v>0.0</v>
      </c>
      <c r="K687" s="125">
        <v>0.0</v>
      </c>
      <c r="L687" s="125">
        <v>0.0</v>
      </c>
      <c r="M687" s="125">
        <v>0.0</v>
      </c>
      <c r="N687" s="125">
        <v>0.0</v>
      </c>
    </row>
    <row r="688">
      <c r="A688" s="122" t="s">
        <v>135</v>
      </c>
      <c r="B688" s="122" t="s">
        <v>2609</v>
      </c>
      <c r="C688" s="125">
        <v>0.0</v>
      </c>
      <c r="D688" s="125">
        <v>0.0</v>
      </c>
      <c r="E688" s="125">
        <v>0.0</v>
      </c>
      <c r="F688" s="125">
        <v>0.0</v>
      </c>
      <c r="G688" s="125">
        <v>0.0</v>
      </c>
      <c r="H688" s="125">
        <v>0.0</v>
      </c>
      <c r="I688" s="125">
        <v>0.0</v>
      </c>
      <c r="J688" s="125">
        <v>0.0</v>
      </c>
      <c r="K688" s="125">
        <v>0.0</v>
      </c>
      <c r="L688" s="125">
        <v>0.0</v>
      </c>
      <c r="M688" s="125">
        <v>0.0</v>
      </c>
      <c r="N688" s="125">
        <v>0.0</v>
      </c>
    </row>
    <row r="689">
      <c r="A689" s="122" t="s">
        <v>145</v>
      </c>
      <c r="B689" s="122" t="s">
        <v>2610</v>
      </c>
      <c r="C689" s="125">
        <v>0.0</v>
      </c>
      <c r="D689" s="125">
        <v>0.0</v>
      </c>
      <c r="E689" s="125">
        <v>0.0</v>
      </c>
      <c r="F689" s="125">
        <v>0.0</v>
      </c>
      <c r="G689" s="125">
        <v>0.0</v>
      </c>
      <c r="H689" s="125">
        <v>0.0</v>
      </c>
      <c r="I689" s="125">
        <v>0.0</v>
      </c>
      <c r="J689" s="125">
        <v>0.0</v>
      </c>
      <c r="K689" s="125">
        <v>0.0</v>
      </c>
      <c r="L689" s="125">
        <v>0.0</v>
      </c>
      <c r="M689" s="125">
        <v>0.0</v>
      </c>
      <c r="N689" s="125">
        <v>0.0</v>
      </c>
    </row>
    <row r="690">
      <c r="A690" s="122" t="s">
        <v>170</v>
      </c>
      <c r="B690" s="122" t="s">
        <v>171</v>
      </c>
      <c r="C690" s="125">
        <v>0.0</v>
      </c>
      <c r="D690" s="125">
        <v>0.0</v>
      </c>
      <c r="E690" s="125">
        <v>0.0</v>
      </c>
      <c r="F690" s="125">
        <v>0.0</v>
      </c>
      <c r="G690" s="125">
        <v>0.0</v>
      </c>
      <c r="H690" s="125">
        <v>0.0</v>
      </c>
      <c r="I690" s="125">
        <v>0.0</v>
      </c>
      <c r="J690" s="125">
        <v>0.0</v>
      </c>
      <c r="K690" s="125">
        <v>0.0</v>
      </c>
      <c r="L690" s="125">
        <v>0.0</v>
      </c>
      <c r="M690" s="125">
        <v>0.0</v>
      </c>
      <c r="N690" s="125">
        <v>0.0</v>
      </c>
    </row>
    <row r="691">
      <c r="A691" s="122" t="s">
        <v>164</v>
      </c>
      <c r="B691" s="122" t="s">
        <v>165</v>
      </c>
      <c r="C691" s="125">
        <v>0.0</v>
      </c>
      <c r="D691" s="125">
        <v>0.0</v>
      </c>
      <c r="E691" s="125">
        <v>0.0</v>
      </c>
      <c r="F691" s="125">
        <v>0.0</v>
      </c>
      <c r="G691" s="125">
        <v>0.0</v>
      </c>
      <c r="H691" s="125">
        <v>0.0</v>
      </c>
      <c r="I691" s="125">
        <v>0.0</v>
      </c>
      <c r="J691" s="125">
        <v>0.0</v>
      </c>
      <c r="K691" s="125">
        <v>0.0</v>
      </c>
      <c r="L691" s="125">
        <v>0.0</v>
      </c>
      <c r="M691" s="125">
        <v>0.0</v>
      </c>
      <c r="N691" s="125">
        <v>0.0</v>
      </c>
    </row>
    <row r="692">
      <c r="A692" s="122" t="s">
        <v>177</v>
      </c>
      <c r="B692" s="122" t="s">
        <v>3108</v>
      </c>
      <c r="C692" s="125">
        <v>0.0</v>
      </c>
      <c r="D692" s="125">
        <v>0.0</v>
      </c>
      <c r="E692" s="125">
        <v>0.0</v>
      </c>
      <c r="F692" s="125">
        <v>0.0</v>
      </c>
      <c r="G692" s="125">
        <v>0.0</v>
      </c>
      <c r="H692" s="125">
        <v>0.0</v>
      </c>
      <c r="I692" s="125">
        <v>0.0</v>
      </c>
      <c r="J692" s="125">
        <v>0.0</v>
      </c>
      <c r="K692" s="125">
        <v>0.0</v>
      </c>
      <c r="L692" s="125">
        <v>0.0</v>
      </c>
      <c r="M692" s="125">
        <v>0.0</v>
      </c>
      <c r="N692" s="125">
        <v>0.0</v>
      </c>
    </row>
    <row r="693">
      <c r="A693" s="122" t="s">
        <v>150</v>
      </c>
      <c r="B693" s="122" t="s">
        <v>2611</v>
      </c>
      <c r="C693" s="125">
        <v>0.0</v>
      </c>
      <c r="D693" s="125">
        <v>0.0</v>
      </c>
      <c r="E693" s="125">
        <v>0.0</v>
      </c>
      <c r="F693" s="125">
        <v>0.0</v>
      </c>
      <c r="G693" s="125">
        <v>0.0</v>
      </c>
      <c r="H693" s="125">
        <v>0.0</v>
      </c>
      <c r="I693" s="125">
        <v>0.0</v>
      </c>
      <c r="J693" s="125">
        <v>0.0</v>
      </c>
      <c r="K693" s="125">
        <v>0.0</v>
      </c>
      <c r="L693" s="125">
        <v>0.0</v>
      </c>
      <c r="M693" s="125">
        <v>0.0</v>
      </c>
      <c r="N693" s="125">
        <v>0.0</v>
      </c>
    </row>
    <row r="694">
      <c r="A694" s="122" t="s">
        <v>140</v>
      </c>
      <c r="B694" s="122" t="s">
        <v>2612</v>
      </c>
      <c r="C694" s="125">
        <v>0.0</v>
      </c>
      <c r="D694" s="125">
        <v>0.0</v>
      </c>
      <c r="E694" s="125">
        <v>0.0</v>
      </c>
      <c r="F694" s="125">
        <v>0.0</v>
      </c>
      <c r="G694" s="125">
        <v>0.0</v>
      </c>
      <c r="H694" s="125">
        <v>0.0</v>
      </c>
      <c r="I694" s="125">
        <v>0.0</v>
      </c>
      <c r="J694" s="125">
        <v>0.0</v>
      </c>
      <c r="K694" s="125">
        <v>0.0</v>
      </c>
      <c r="L694" s="125">
        <v>0.0</v>
      </c>
      <c r="M694" s="125">
        <v>0.0</v>
      </c>
      <c r="N694" s="125">
        <v>0.0</v>
      </c>
    </row>
    <row r="695">
      <c r="A695" s="122" t="s">
        <v>192</v>
      </c>
      <c r="B695" s="122" t="s">
        <v>2613</v>
      </c>
      <c r="C695" s="125">
        <v>0.0</v>
      </c>
      <c r="D695" s="125">
        <v>0.0</v>
      </c>
      <c r="E695" s="125">
        <v>0.0</v>
      </c>
      <c r="F695" s="125">
        <v>0.0</v>
      </c>
      <c r="G695" s="125">
        <v>0.0</v>
      </c>
      <c r="H695" s="125">
        <v>0.0</v>
      </c>
      <c r="I695" s="125">
        <v>0.0</v>
      </c>
      <c r="J695" s="125">
        <v>0.0</v>
      </c>
      <c r="K695" s="125">
        <v>0.0</v>
      </c>
      <c r="L695" s="125">
        <v>0.0</v>
      </c>
      <c r="M695" s="125">
        <v>0.0</v>
      </c>
      <c r="N695" s="125">
        <v>0.0</v>
      </c>
    </row>
    <row r="696">
      <c r="A696" s="122" t="s">
        <v>217</v>
      </c>
      <c r="B696" s="122" t="s">
        <v>2614</v>
      </c>
      <c r="C696" s="125">
        <v>0.0</v>
      </c>
      <c r="D696" s="125">
        <v>0.0</v>
      </c>
      <c r="E696" s="125">
        <v>0.0</v>
      </c>
      <c r="F696" s="125">
        <v>0.0</v>
      </c>
      <c r="G696" s="125">
        <v>0.0</v>
      </c>
      <c r="H696" s="125">
        <v>0.0</v>
      </c>
      <c r="I696" s="125">
        <v>0.0</v>
      </c>
      <c r="J696" s="125">
        <v>0.0</v>
      </c>
      <c r="K696" s="125">
        <v>0.0</v>
      </c>
      <c r="L696" s="125">
        <v>0.0</v>
      </c>
      <c r="M696" s="125">
        <v>0.0</v>
      </c>
      <c r="N696" s="125">
        <v>0.0</v>
      </c>
    </row>
    <row r="697">
      <c r="A697" s="122" t="s">
        <v>212</v>
      </c>
      <c r="B697" s="122" t="s">
        <v>214</v>
      </c>
      <c r="C697" s="125">
        <v>0.0</v>
      </c>
      <c r="D697" s="125">
        <v>0.0</v>
      </c>
      <c r="E697" s="125">
        <v>0.0</v>
      </c>
      <c r="F697" s="125">
        <v>0.0</v>
      </c>
      <c r="G697" s="125">
        <v>0.0</v>
      </c>
      <c r="H697" s="125">
        <v>0.0</v>
      </c>
      <c r="I697" s="125">
        <v>0.0</v>
      </c>
      <c r="J697" s="125">
        <v>0.0</v>
      </c>
      <c r="K697" s="125">
        <v>0.0</v>
      </c>
      <c r="L697" s="125">
        <v>0.0</v>
      </c>
      <c r="M697" s="125">
        <v>0.0</v>
      </c>
      <c r="N697" s="125">
        <v>0.0</v>
      </c>
    </row>
    <row r="698">
      <c r="A698" s="122" t="s">
        <v>176</v>
      </c>
      <c r="B698" s="122" t="s">
        <v>3109</v>
      </c>
      <c r="C698" s="125">
        <v>0.0</v>
      </c>
      <c r="D698" s="125">
        <v>0.0</v>
      </c>
      <c r="E698" s="125">
        <v>0.0</v>
      </c>
      <c r="F698" s="125">
        <v>0.0</v>
      </c>
      <c r="G698" s="125">
        <v>0.0</v>
      </c>
      <c r="H698" s="125">
        <v>0.0</v>
      </c>
      <c r="I698" s="125">
        <v>0.0</v>
      </c>
      <c r="J698" s="125">
        <v>0.0</v>
      </c>
      <c r="K698" s="125">
        <v>0.0</v>
      </c>
      <c r="L698" s="125">
        <v>0.0</v>
      </c>
      <c r="M698" s="125">
        <v>0.0</v>
      </c>
      <c r="N698" s="12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75"/>
    <col customWidth="1" min="3" max="3" width="56.25"/>
    <col customWidth="1" min="8" max="8" width="9.88"/>
  </cols>
  <sheetData>
    <row r="1">
      <c r="A1" s="19" t="s">
        <v>3110</v>
      </c>
      <c r="B1" s="19" t="s">
        <v>54</v>
      </c>
      <c r="C1" s="19" t="s">
        <v>3111</v>
      </c>
      <c r="D1" s="19" t="s">
        <v>3112</v>
      </c>
      <c r="E1" s="19" t="s">
        <v>3113</v>
      </c>
      <c r="F1" s="19" t="s">
        <v>3114</v>
      </c>
      <c r="G1" s="19" t="s">
        <v>77</v>
      </c>
      <c r="H1" s="19" t="s">
        <v>3115</v>
      </c>
    </row>
    <row r="2">
      <c r="A2" s="19">
        <v>7.99192123009E11</v>
      </c>
      <c r="B2" s="19" t="s">
        <v>931</v>
      </c>
      <c r="C2" s="19" t="s">
        <v>933</v>
      </c>
      <c r="D2" s="19">
        <v>16.0</v>
      </c>
      <c r="E2" s="19">
        <v>28.5</v>
      </c>
      <c r="F2" s="19">
        <v>32.0</v>
      </c>
      <c r="G2" s="19">
        <v>10.55</v>
      </c>
      <c r="H2" s="128"/>
    </row>
    <row r="3">
      <c r="A3" s="19">
        <v>7.99192122996E11</v>
      </c>
      <c r="B3" s="19" t="s">
        <v>928</v>
      </c>
      <c r="C3" s="19" t="s">
        <v>930</v>
      </c>
      <c r="D3" s="129">
        <v>19.5</v>
      </c>
      <c r="E3" s="129">
        <v>34.0</v>
      </c>
      <c r="F3" s="129">
        <v>40.0</v>
      </c>
      <c r="G3" s="129">
        <v>20.4</v>
      </c>
      <c r="H3" s="128"/>
    </row>
    <row r="4">
      <c r="A4" s="19">
        <v>7.9919241109E11</v>
      </c>
      <c r="B4" s="19" t="s">
        <v>1219</v>
      </c>
      <c r="C4" s="19" t="s">
        <v>1221</v>
      </c>
      <c r="D4" s="129">
        <v>17.0</v>
      </c>
      <c r="E4" s="129">
        <v>15.0</v>
      </c>
      <c r="F4" s="129">
        <v>33.0</v>
      </c>
      <c r="G4" s="129">
        <v>10.5</v>
      </c>
      <c r="H4" s="128"/>
    </row>
    <row r="5">
      <c r="A5" s="19">
        <v>7.99192123153E11</v>
      </c>
      <c r="B5" s="19" t="s">
        <v>967</v>
      </c>
      <c r="C5" s="19" t="s">
        <v>969</v>
      </c>
      <c r="D5" s="129">
        <v>15.0</v>
      </c>
      <c r="E5" s="129">
        <v>29.0</v>
      </c>
      <c r="F5" s="129">
        <v>57.0</v>
      </c>
      <c r="G5" s="129">
        <v>21.27</v>
      </c>
      <c r="H5" s="128"/>
    </row>
    <row r="6">
      <c r="A6" s="19">
        <v>7.99192410826E11</v>
      </c>
      <c r="B6" s="19" t="s">
        <v>1145</v>
      </c>
      <c r="C6" s="19" t="s">
        <v>1147</v>
      </c>
      <c r="D6" s="129">
        <v>29.0</v>
      </c>
      <c r="E6" s="129">
        <v>21.0</v>
      </c>
      <c r="F6" s="129">
        <v>60.0</v>
      </c>
      <c r="G6" s="129">
        <v>31.4</v>
      </c>
      <c r="H6" s="128"/>
    </row>
    <row r="7">
      <c r="A7" s="19">
        <v>6.59525537913E11</v>
      </c>
      <c r="B7" s="19" t="s">
        <v>510</v>
      </c>
      <c r="C7" s="19" t="s">
        <v>512</v>
      </c>
      <c r="D7" s="129">
        <v>27.0</v>
      </c>
      <c r="E7" s="129">
        <v>27.0</v>
      </c>
      <c r="F7" s="129">
        <v>90.0</v>
      </c>
      <c r="G7" s="129" t="s">
        <v>3116</v>
      </c>
      <c r="H7" s="128"/>
    </row>
    <row r="8">
      <c r="A8" s="19">
        <v>7.45853202224E11</v>
      </c>
      <c r="B8" s="19" t="s">
        <v>798</v>
      </c>
      <c r="C8" s="19" t="s">
        <v>800</v>
      </c>
      <c r="D8" s="129">
        <v>8.5</v>
      </c>
      <c r="E8" s="129">
        <v>60.0</v>
      </c>
      <c r="F8" s="129">
        <v>60.0</v>
      </c>
      <c r="G8" s="129">
        <v>2.5</v>
      </c>
      <c r="H8" s="129" t="s">
        <v>3117</v>
      </c>
    </row>
    <row r="9">
      <c r="A9" s="19">
        <v>7.45853202187E11</v>
      </c>
      <c r="B9" s="19" t="s">
        <v>786</v>
      </c>
      <c r="C9" s="19" t="s">
        <v>788</v>
      </c>
      <c r="D9" s="129">
        <v>8.0</v>
      </c>
      <c r="E9" s="129">
        <v>60.0</v>
      </c>
      <c r="F9" s="129">
        <v>60.0</v>
      </c>
      <c r="G9" s="129">
        <v>1.8</v>
      </c>
      <c r="H9" s="129" t="s">
        <v>3118</v>
      </c>
    </row>
    <row r="10">
      <c r="A10" s="19">
        <v>7.45853202217E11</v>
      </c>
      <c r="B10" s="19" t="s">
        <v>795</v>
      </c>
      <c r="C10" s="19" t="s">
        <v>797</v>
      </c>
      <c r="D10" s="129">
        <v>8.0</v>
      </c>
      <c r="E10" s="129">
        <v>60.0</v>
      </c>
      <c r="F10" s="129">
        <v>60.0</v>
      </c>
      <c r="G10" s="129">
        <v>1.8</v>
      </c>
      <c r="H10" s="129" t="s">
        <v>3119</v>
      </c>
    </row>
    <row r="11">
      <c r="A11" s="19">
        <v>7.99192122576E11</v>
      </c>
      <c r="B11" s="19" t="s">
        <v>839</v>
      </c>
      <c r="C11" s="19" t="s">
        <v>841</v>
      </c>
      <c r="D11" s="129">
        <v>13.0</v>
      </c>
      <c r="E11" s="129">
        <v>12.0</v>
      </c>
      <c r="F11" s="129">
        <v>28.0</v>
      </c>
      <c r="G11" s="129">
        <v>5.3</v>
      </c>
      <c r="H11" s="128"/>
    </row>
    <row r="12">
      <c r="A12" s="19">
        <v>7.99192122583E11</v>
      </c>
      <c r="B12" s="19" t="s">
        <v>842</v>
      </c>
      <c r="C12" s="19" t="s">
        <v>844</v>
      </c>
      <c r="D12" s="129">
        <v>14.0</v>
      </c>
      <c r="E12" s="129">
        <v>13.0</v>
      </c>
      <c r="F12" s="129">
        <v>30.0</v>
      </c>
      <c r="G12" s="129">
        <v>7.7</v>
      </c>
      <c r="H12" s="12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12" max="12" width="20.75"/>
  </cols>
  <sheetData>
    <row r="1">
      <c r="A1" s="1" t="s">
        <v>54</v>
      </c>
      <c r="B1" s="1" t="s">
        <v>3120</v>
      </c>
      <c r="C1" s="1" t="s">
        <v>3121</v>
      </c>
      <c r="D1" s="1" t="s">
        <v>3122</v>
      </c>
      <c r="E1" s="1" t="s">
        <v>3123</v>
      </c>
      <c r="F1" s="2" t="s">
        <v>3115</v>
      </c>
      <c r="K1" s="1" t="s">
        <v>3124</v>
      </c>
      <c r="L1" s="1" t="s">
        <v>54</v>
      </c>
      <c r="M1" s="1" t="s">
        <v>3120</v>
      </c>
      <c r="N1" s="1" t="s">
        <v>3121</v>
      </c>
      <c r="O1" s="1" t="s">
        <v>3122</v>
      </c>
      <c r="P1" s="1" t="s">
        <v>3123</v>
      </c>
    </row>
    <row r="2">
      <c r="A2" s="130" t="s">
        <v>176</v>
      </c>
      <c r="B2" s="131" t="s">
        <v>3125</v>
      </c>
      <c r="C2" s="132"/>
      <c r="D2" s="132"/>
      <c r="E2" s="132"/>
      <c r="L2" s="2" t="s">
        <v>107</v>
      </c>
      <c r="M2" s="2" t="s">
        <v>3126</v>
      </c>
      <c r="N2" s="2" t="s">
        <v>3126</v>
      </c>
      <c r="O2" s="2" t="s">
        <v>3126</v>
      </c>
    </row>
    <row r="3">
      <c r="A3" s="130" t="s">
        <v>164</v>
      </c>
      <c r="B3" s="131" t="s">
        <v>3125</v>
      </c>
      <c r="C3" s="132"/>
      <c r="D3" s="132"/>
      <c r="E3" s="132"/>
      <c r="L3" s="2" t="s">
        <v>105</v>
      </c>
      <c r="M3" s="2" t="s">
        <v>3126</v>
      </c>
      <c r="N3" s="2" t="s">
        <v>3126</v>
      </c>
      <c r="O3" s="2" t="s">
        <v>3126</v>
      </c>
    </row>
    <row r="4">
      <c r="A4" s="130" t="s">
        <v>177</v>
      </c>
      <c r="B4" s="131" t="s">
        <v>3125</v>
      </c>
      <c r="C4" s="132"/>
      <c r="D4" s="132"/>
      <c r="E4" s="132"/>
      <c r="L4" s="2" t="s">
        <v>104</v>
      </c>
      <c r="M4" s="2" t="s">
        <v>3126</v>
      </c>
      <c r="N4" s="2" t="s">
        <v>3126</v>
      </c>
      <c r="O4" s="2" t="s">
        <v>3126</v>
      </c>
    </row>
    <row r="5">
      <c r="A5" s="130" t="s">
        <v>170</v>
      </c>
      <c r="B5" s="131" t="s">
        <v>3125</v>
      </c>
      <c r="C5" s="132"/>
      <c r="D5" s="132"/>
      <c r="E5" s="132"/>
      <c r="L5" s="2" t="s">
        <v>108</v>
      </c>
      <c r="M5" s="2" t="s">
        <v>3126</v>
      </c>
      <c r="N5" s="2" t="s">
        <v>3126</v>
      </c>
    </row>
    <row r="6">
      <c r="A6" s="133" t="s">
        <v>135</v>
      </c>
      <c r="B6" s="134" t="s">
        <v>3125</v>
      </c>
      <c r="F6" s="2" t="s">
        <v>3127</v>
      </c>
      <c r="L6" s="2" t="s">
        <v>110</v>
      </c>
      <c r="M6" s="2" t="s">
        <v>3126</v>
      </c>
      <c r="N6" s="2" t="s">
        <v>3126</v>
      </c>
    </row>
    <row r="7">
      <c r="A7" s="2" t="s">
        <v>121</v>
      </c>
      <c r="B7" s="132"/>
      <c r="C7" s="132"/>
      <c r="D7" s="132"/>
      <c r="E7" s="132"/>
      <c r="L7" s="2" t="s">
        <v>101</v>
      </c>
      <c r="M7" s="2" t="s">
        <v>3126</v>
      </c>
      <c r="N7" s="2" t="s">
        <v>3126</v>
      </c>
    </row>
    <row r="8">
      <c r="A8" s="2" t="s">
        <v>126</v>
      </c>
      <c r="B8" s="132"/>
      <c r="C8" s="132"/>
      <c r="D8" s="132"/>
      <c r="E8" s="132"/>
      <c r="L8" s="2" t="s">
        <v>103</v>
      </c>
      <c r="M8" s="2" t="s">
        <v>3126</v>
      </c>
      <c r="N8" s="2" t="s">
        <v>3126</v>
      </c>
    </row>
    <row r="9">
      <c r="A9" s="2" t="s">
        <v>131</v>
      </c>
      <c r="B9" s="132"/>
      <c r="C9" s="132"/>
      <c r="D9" s="132"/>
      <c r="E9" s="132"/>
      <c r="L9" s="2" t="s">
        <v>102</v>
      </c>
      <c r="M9" s="2" t="s">
        <v>3126</v>
      </c>
      <c r="N9" s="2" t="s">
        <v>3126</v>
      </c>
    </row>
    <row r="10">
      <c r="A10" s="130" t="s">
        <v>140</v>
      </c>
      <c r="B10" s="131" t="s">
        <v>3125</v>
      </c>
      <c r="C10" s="132"/>
      <c r="D10" s="132"/>
      <c r="E10" s="132"/>
      <c r="F10" s="2" t="s">
        <v>3128</v>
      </c>
      <c r="L10" s="2" t="s">
        <v>113</v>
      </c>
      <c r="M10" s="2" t="s">
        <v>3126</v>
      </c>
      <c r="N10" s="2" t="s">
        <v>3126</v>
      </c>
    </row>
    <row r="11">
      <c r="A11" s="130" t="s">
        <v>145</v>
      </c>
      <c r="B11" s="131" t="s">
        <v>3125</v>
      </c>
      <c r="C11" s="132"/>
      <c r="D11" s="132"/>
      <c r="E11" s="132"/>
      <c r="F11" s="2" t="s">
        <v>3129</v>
      </c>
      <c r="L11" s="2" t="s">
        <v>106</v>
      </c>
      <c r="M11" s="2" t="s">
        <v>3126</v>
      </c>
      <c r="N11" s="2" t="s">
        <v>3126</v>
      </c>
    </row>
    <row r="12">
      <c r="A12" s="130" t="s">
        <v>150</v>
      </c>
      <c r="B12" s="131" t="s">
        <v>3125</v>
      </c>
      <c r="C12" s="132"/>
      <c r="D12" s="132"/>
      <c r="E12" s="132"/>
      <c r="F12" s="2" t="s">
        <v>3128</v>
      </c>
      <c r="L12" s="2" t="s">
        <v>115</v>
      </c>
      <c r="M12" s="2" t="s">
        <v>3126</v>
      </c>
      <c r="N12" s="2" t="s">
        <v>3126</v>
      </c>
    </row>
    <row r="13">
      <c r="A13" s="2" t="s">
        <v>178</v>
      </c>
      <c r="B13" s="134" t="s">
        <v>3125</v>
      </c>
      <c r="C13" s="132"/>
      <c r="D13" s="132"/>
      <c r="E13" s="132"/>
      <c r="F13" s="2" t="s">
        <v>3130</v>
      </c>
      <c r="L13" s="2" t="s">
        <v>1303</v>
      </c>
      <c r="M13" s="2" t="s">
        <v>3126</v>
      </c>
      <c r="N13" s="2" t="s">
        <v>3126</v>
      </c>
    </row>
    <row r="14">
      <c r="A14" s="2" t="s">
        <v>182</v>
      </c>
      <c r="B14" s="134" t="s">
        <v>3125</v>
      </c>
      <c r="C14" s="134"/>
      <c r="D14" s="132"/>
      <c r="E14" s="132"/>
      <c r="L14" s="2" t="s">
        <v>1563</v>
      </c>
      <c r="M14" s="2" t="s">
        <v>3126</v>
      </c>
      <c r="N14" s="2" t="s">
        <v>3126</v>
      </c>
    </row>
    <row r="15">
      <c r="A15" s="2" t="s">
        <v>186</v>
      </c>
      <c r="B15" s="134" t="s">
        <v>3125</v>
      </c>
      <c r="C15" s="132"/>
      <c r="D15" s="132"/>
      <c r="E15" s="132"/>
      <c r="L15" s="2" t="s">
        <v>86</v>
      </c>
      <c r="M15" s="2" t="s">
        <v>3126</v>
      </c>
      <c r="N15" s="2" t="s">
        <v>3126</v>
      </c>
    </row>
    <row r="16">
      <c r="A16" s="2" t="s">
        <v>197</v>
      </c>
      <c r="B16" s="134" t="s">
        <v>3125</v>
      </c>
      <c r="C16" s="132"/>
      <c r="D16" s="132"/>
      <c r="E16" s="132"/>
      <c r="L16" s="2" t="s">
        <v>1360</v>
      </c>
      <c r="M16" s="2" t="s">
        <v>3126</v>
      </c>
      <c r="N16" s="2" t="s">
        <v>3126</v>
      </c>
    </row>
    <row r="17">
      <c r="A17" s="2" t="s">
        <v>202</v>
      </c>
      <c r="B17" s="134" t="s">
        <v>3125</v>
      </c>
      <c r="C17" s="132"/>
      <c r="D17" s="132"/>
      <c r="E17" s="132"/>
    </row>
    <row r="18">
      <c r="A18" s="2" t="s">
        <v>207</v>
      </c>
      <c r="B18" s="134" t="s">
        <v>3125</v>
      </c>
      <c r="C18" s="132"/>
      <c r="D18" s="132"/>
      <c r="E18" s="132"/>
    </row>
    <row r="19">
      <c r="A19" s="135" t="s">
        <v>192</v>
      </c>
      <c r="B19" s="134" t="s">
        <v>3125</v>
      </c>
    </row>
    <row r="20">
      <c r="A20" s="136" t="s">
        <v>212</v>
      </c>
      <c r="B20" s="134" t="s">
        <v>3125</v>
      </c>
    </row>
    <row r="21">
      <c r="A21" s="136" t="s">
        <v>217</v>
      </c>
      <c r="B21" s="134" t="s">
        <v>3125</v>
      </c>
    </row>
    <row r="22">
      <c r="A22" s="136" t="s">
        <v>223</v>
      </c>
      <c r="B22" s="132"/>
      <c r="C22" s="132"/>
      <c r="D22" s="132"/>
      <c r="E22" s="132"/>
    </row>
    <row r="23">
      <c r="A23" s="136" t="s">
        <v>229</v>
      </c>
      <c r="B23" s="132"/>
      <c r="C23" s="132"/>
      <c r="D23" s="132"/>
      <c r="E23" s="132"/>
    </row>
    <row r="24">
      <c r="A24" s="136" t="s">
        <v>234</v>
      </c>
      <c r="B24" s="132"/>
      <c r="C24" s="132"/>
      <c r="D24" s="132"/>
      <c r="E24" s="132"/>
    </row>
    <row r="25">
      <c r="A25" s="136" t="s">
        <v>240</v>
      </c>
      <c r="B25" s="132"/>
      <c r="C25" s="132"/>
      <c r="D25" s="132"/>
      <c r="E25" s="132"/>
    </row>
    <row r="26">
      <c r="A26" s="136" t="s">
        <v>246</v>
      </c>
      <c r="B26" s="132"/>
      <c r="C26" s="132"/>
      <c r="D26" s="132"/>
      <c r="E26" s="132"/>
    </row>
    <row r="27">
      <c r="A27" s="136" t="s">
        <v>252</v>
      </c>
      <c r="B27" s="132"/>
      <c r="C27" s="132"/>
      <c r="D27" s="132"/>
      <c r="E27" s="132"/>
    </row>
    <row r="28">
      <c r="A28" s="136" t="s">
        <v>257</v>
      </c>
      <c r="B28" s="132"/>
      <c r="C28" s="132"/>
      <c r="D28" s="132"/>
      <c r="E28" s="132"/>
    </row>
    <row r="29">
      <c r="A29" s="136" t="s">
        <v>263</v>
      </c>
      <c r="B29" s="132"/>
      <c r="C29" s="132"/>
      <c r="D29" s="132"/>
      <c r="E29" s="132"/>
    </row>
    <row r="30">
      <c r="A30" s="136" t="s">
        <v>268</v>
      </c>
      <c r="B30" s="132"/>
      <c r="C30" s="132"/>
      <c r="D30" s="132"/>
      <c r="E30" s="132"/>
    </row>
    <row r="31">
      <c r="A31" s="136" t="s">
        <v>274</v>
      </c>
      <c r="B31" s="132"/>
      <c r="C31" s="132"/>
      <c r="D31" s="132"/>
      <c r="E31" s="132"/>
    </row>
    <row r="32">
      <c r="A32" s="136" t="s">
        <v>280</v>
      </c>
      <c r="B32" s="132"/>
      <c r="C32" s="132"/>
      <c r="D32" s="132"/>
      <c r="E32" s="132"/>
    </row>
    <row r="33">
      <c r="A33" s="136" t="s">
        <v>286</v>
      </c>
      <c r="B33" s="132"/>
      <c r="C33" s="132"/>
      <c r="D33" s="132"/>
      <c r="E33" s="132"/>
    </row>
    <row r="34">
      <c r="A34" s="136" t="s">
        <v>291</v>
      </c>
      <c r="B34" s="132"/>
      <c r="C34" s="132"/>
      <c r="D34" s="132"/>
      <c r="E34" s="132"/>
    </row>
    <row r="35">
      <c r="A35" s="136" t="s">
        <v>296</v>
      </c>
      <c r="B35" s="132"/>
      <c r="C35" s="132"/>
      <c r="D35" s="132"/>
      <c r="E35" s="132"/>
    </row>
    <row r="36">
      <c r="A36" s="136" t="s">
        <v>302</v>
      </c>
      <c r="B36" s="132"/>
      <c r="C36" s="132"/>
      <c r="D36" s="132"/>
      <c r="E36" s="132"/>
    </row>
    <row r="37">
      <c r="A37" s="136" t="s">
        <v>308</v>
      </c>
      <c r="B37" s="132"/>
      <c r="C37" s="132"/>
      <c r="D37" s="132"/>
      <c r="E37" s="132"/>
    </row>
    <row r="38">
      <c r="A38" s="136" t="s">
        <v>314</v>
      </c>
      <c r="B38" s="132"/>
      <c r="C38" s="132"/>
      <c r="D38" s="132"/>
      <c r="E38" s="132"/>
    </row>
    <row r="39">
      <c r="A39" s="136" t="s">
        <v>319</v>
      </c>
      <c r="B39" s="132"/>
      <c r="C39" s="132"/>
      <c r="D39" s="132"/>
      <c r="E39" s="132"/>
    </row>
    <row r="40">
      <c r="A40" s="136" t="s">
        <v>325</v>
      </c>
      <c r="B40" s="132"/>
      <c r="C40" s="132"/>
      <c r="D40" s="132"/>
      <c r="E40" s="132"/>
    </row>
    <row r="41">
      <c r="A41" s="136" t="s">
        <v>330</v>
      </c>
      <c r="B41" s="132"/>
      <c r="C41" s="132"/>
      <c r="D41" s="132"/>
      <c r="E41" s="132"/>
    </row>
    <row r="42">
      <c r="A42" s="136" t="s">
        <v>334</v>
      </c>
      <c r="B42" s="132"/>
      <c r="C42" s="132"/>
      <c r="D42" s="132"/>
      <c r="E42" s="132"/>
    </row>
    <row r="43">
      <c r="A43" s="136" t="s">
        <v>339</v>
      </c>
      <c r="B43" s="132"/>
      <c r="C43" s="132"/>
      <c r="D43" s="132"/>
      <c r="E43" s="132"/>
    </row>
    <row r="44">
      <c r="A44" s="136" t="s">
        <v>345</v>
      </c>
      <c r="B44" s="132"/>
      <c r="C44" s="132"/>
      <c r="D44" s="132"/>
      <c r="E44" s="132"/>
    </row>
    <row r="45">
      <c r="A45" s="136" t="s">
        <v>350</v>
      </c>
      <c r="B45" s="132"/>
      <c r="C45" s="132"/>
      <c r="D45" s="132"/>
      <c r="E45" s="132"/>
    </row>
    <row r="46">
      <c r="A46" s="136" t="s">
        <v>356</v>
      </c>
      <c r="B46" s="132"/>
      <c r="C46" s="132"/>
      <c r="D46" s="132"/>
      <c r="E46" s="132"/>
    </row>
    <row r="47">
      <c r="A47" s="136" t="s">
        <v>361</v>
      </c>
      <c r="B47" s="132"/>
      <c r="C47" s="132"/>
      <c r="D47" s="132"/>
      <c r="E47" s="132"/>
    </row>
    <row r="48">
      <c r="A48" s="136" t="s">
        <v>367</v>
      </c>
      <c r="B48" s="132"/>
      <c r="C48" s="132"/>
      <c r="D48" s="132"/>
      <c r="E48" s="132"/>
    </row>
    <row r="49">
      <c r="A49" s="136" t="s">
        <v>372</v>
      </c>
      <c r="B49" s="132"/>
      <c r="C49" s="132"/>
      <c r="D49" s="132"/>
      <c r="E49" s="132"/>
    </row>
    <row r="50">
      <c r="A50" s="136" t="s">
        <v>378</v>
      </c>
      <c r="B50" s="132"/>
      <c r="C50" s="132"/>
      <c r="D50" s="132"/>
      <c r="E50" s="132"/>
    </row>
    <row r="51">
      <c r="A51" s="136" t="s">
        <v>382</v>
      </c>
      <c r="B51" s="132"/>
      <c r="C51" s="132"/>
      <c r="D51" s="132"/>
      <c r="E51" s="132"/>
    </row>
    <row r="52">
      <c r="A52" s="136" t="s">
        <v>387</v>
      </c>
      <c r="B52" s="132"/>
      <c r="C52" s="132"/>
      <c r="D52" s="132"/>
      <c r="E52" s="132"/>
    </row>
    <row r="53">
      <c r="A53" s="136" t="s">
        <v>391</v>
      </c>
      <c r="B53" s="132"/>
      <c r="C53" s="132"/>
      <c r="D53" s="132"/>
      <c r="E53" s="132"/>
    </row>
    <row r="54">
      <c r="A54" s="136" t="s">
        <v>395</v>
      </c>
      <c r="B54" s="132"/>
      <c r="C54" s="132"/>
      <c r="D54" s="132"/>
      <c r="E54" s="132"/>
    </row>
  </sheetData>
  <drawing r:id="rId1"/>
</worksheet>
</file>